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sbewaji\Documents\Transactions Volume Forecast Model\Production - 2021\"/>
    </mc:Choice>
  </mc:AlternateContent>
  <xr:revisionPtr revIDLastSave="0" documentId="13_ncr:1_{E3067025-A528-42E1-855C-8FDA8CA16DC1}" xr6:coauthVersionLast="36" xr6:coauthVersionMax="36" xr10:uidLastSave="{00000000-0000-0000-0000-000000000000}"/>
  <bookViews>
    <workbookView xWindow="0" yWindow="16800" windowWidth="20330" windowHeight="3340" tabRatio="781" xr2:uid="{00000000-000D-0000-FFFF-FFFF00000000}"/>
  </bookViews>
  <sheets>
    <sheet name="ROYCCA" sheetId="17" r:id="rId1"/>
    <sheet name="TDOMCA" sheetId="19" r:id="rId2"/>
    <sheet name="NOSCCA" sheetId="16" r:id="rId3"/>
    <sheet name="CIBCCA" sheetId="13" r:id="rId4"/>
    <sheet name="CCDQCA" sheetId="12" r:id="rId5"/>
    <sheet name="ATBRCA" sheetId="6" r:id="rId6"/>
    <sheet name="BCANCA" sheetId="3" r:id="rId7"/>
    <sheet name="BLCMCA" sheetId="8" r:id="rId8"/>
    <sheet name="BNDCCA" sheetId="7" r:id="rId9"/>
    <sheet name="BNPACA" sheetId="9" r:id="rId10"/>
    <sheet name="BOFACA" sheetId="10" r:id="rId11"/>
    <sheet name="BOFMCA" sheetId="11" r:id="rId12"/>
    <sheet name="CUCXCA" sheetId="14" r:id="rId13"/>
    <sheet name="HKBCCA" sheetId="15" r:id="rId14"/>
    <sheet name="ICICCA" sheetId="22" r:id="rId15"/>
    <sheet name="MCBTCA" sheetId="20" r:id="rId16"/>
    <sheet name="SBOSCA" sheetId="18" r:id="rId17"/>
    <sheet name="Porfolio Forecast" sheetId="24" r:id="rId18"/>
    <sheet name="Totals" sheetId="23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3" i="18" l="1"/>
  <c r="F43" i="18"/>
  <c r="P43" i="20"/>
  <c r="F43" i="20"/>
  <c r="P43" i="22"/>
  <c r="F43" i="22"/>
  <c r="P43" i="15"/>
  <c r="F43" i="15"/>
  <c r="P43" i="14"/>
  <c r="F43" i="14"/>
  <c r="P43" i="11"/>
  <c r="F43" i="11"/>
  <c r="P43" i="10"/>
  <c r="F43" i="10"/>
  <c r="P43" i="9"/>
  <c r="F43" i="9"/>
  <c r="P43" i="7"/>
  <c r="F43" i="7"/>
  <c r="P43" i="8"/>
  <c r="F43" i="8"/>
  <c r="P43" i="3"/>
  <c r="F43" i="3"/>
  <c r="P43" i="6"/>
  <c r="F43" i="6"/>
  <c r="P43" i="12"/>
  <c r="F43" i="12"/>
  <c r="P43" i="13"/>
  <c r="F43" i="13"/>
  <c r="P43" i="16"/>
  <c r="F43" i="16"/>
  <c r="P43" i="19"/>
  <c r="F43" i="19"/>
  <c r="P43" i="17"/>
  <c r="F43" i="17"/>
  <c r="P43" i="24"/>
  <c r="Q73" i="23" l="1"/>
  <c r="O73" i="23"/>
  <c r="N73" i="23"/>
  <c r="L73" i="23"/>
  <c r="G73" i="23"/>
  <c r="E73" i="23"/>
  <c r="D73" i="23"/>
  <c r="B73" i="23"/>
  <c r="Q72" i="23"/>
  <c r="O72" i="23"/>
  <c r="N72" i="23"/>
  <c r="L72" i="23"/>
  <c r="G72" i="23"/>
  <c r="E72" i="23"/>
  <c r="D72" i="23"/>
  <c r="B72" i="23"/>
  <c r="Q71" i="23"/>
  <c r="O71" i="23"/>
  <c r="N71" i="23"/>
  <c r="L71" i="23"/>
  <c r="G71" i="23"/>
  <c r="E71" i="23"/>
  <c r="D71" i="23"/>
  <c r="B71" i="23"/>
  <c r="Q70" i="23"/>
  <c r="O70" i="23"/>
  <c r="N70" i="23"/>
  <c r="L70" i="23"/>
  <c r="G70" i="23"/>
  <c r="E70" i="23"/>
  <c r="D70" i="23"/>
  <c r="B70" i="23"/>
  <c r="Q69" i="23"/>
  <c r="O69" i="23"/>
  <c r="N69" i="23"/>
  <c r="L69" i="23"/>
  <c r="G69" i="23"/>
  <c r="E69" i="23"/>
  <c r="D69" i="23"/>
  <c r="B69" i="23"/>
  <c r="Q68" i="23"/>
  <c r="O68" i="23"/>
  <c r="N68" i="23"/>
  <c r="L68" i="23"/>
  <c r="G68" i="23"/>
  <c r="E68" i="23"/>
  <c r="D68" i="23"/>
  <c r="B68" i="23"/>
  <c r="Q67" i="23"/>
  <c r="O67" i="23"/>
  <c r="N67" i="23"/>
  <c r="L67" i="23"/>
  <c r="G67" i="23"/>
  <c r="E67" i="23"/>
  <c r="D67" i="23"/>
  <c r="B67" i="23"/>
  <c r="Q66" i="23"/>
  <c r="O66" i="23"/>
  <c r="N66" i="23"/>
  <c r="L66" i="23"/>
  <c r="G66" i="23"/>
  <c r="E66" i="23"/>
  <c r="D66" i="23"/>
  <c r="B66" i="23"/>
  <c r="Q65" i="23"/>
  <c r="O65" i="23"/>
  <c r="N65" i="23"/>
  <c r="L65" i="23"/>
  <c r="G65" i="23"/>
  <c r="E65" i="23"/>
  <c r="D65" i="23"/>
  <c r="B65" i="23"/>
  <c r="Q64" i="23"/>
  <c r="O64" i="23"/>
  <c r="N64" i="23"/>
  <c r="L64" i="23"/>
  <c r="G64" i="23"/>
  <c r="E64" i="23"/>
  <c r="D64" i="23"/>
  <c r="B64" i="23"/>
  <c r="Q63" i="23"/>
  <c r="O63" i="23"/>
  <c r="N63" i="23"/>
  <c r="L63" i="23"/>
  <c r="G63" i="23"/>
  <c r="E63" i="23"/>
  <c r="D63" i="23"/>
  <c r="B63" i="23"/>
  <c r="Q62" i="23"/>
  <c r="O62" i="23"/>
  <c r="N62" i="23"/>
  <c r="L62" i="23"/>
  <c r="G62" i="23"/>
  <c r="E62" i="23"/>
  <c r="D62" i="23"/>
  <c r="B62" i="23"/>
  <c r="Q61" i="23"/>
  <c r="O61" i="23"/>
  <c r="N61" i="23"/>
  <c r="L61" i="23"/>
  <c r="G61" i="23"/>
  <c r="E61" i="23"/>
  <c r="D61" i="23"/>
  <c r="B61" i="23"/>
  <c r="Q60" i="23"/>
  <c r="O60" i="23"/>
  <c r="N60" i="23"/>
  <c r="L60" i="23"/>
  <c r="G60" i="23"/>
  <c r="E60" i="23"/>
  <c r="D60" i="23"/>
  <c r="B60" i="23"/>
  <c r="Q59" i="23"/>
  <c r="O59" i="23"/>
  <c r="N59" i="23"/>
  <c r="L59" i="23"/>
  <c r="G59" i="23"/>
  <c r="E59" i="23"/>
  <c r="D59" i="23"/>
  <c r="B59" i="23"/>
  <c r="Q58" i="23"/>
  <c r="O58" i="23"/>
  <c r="N58" i="23"/>
  <c r="L58" i="23"/>
  <c r="G58" i="23"/>
  <c r="E58" i="23"/>
  <c r="D58" i="23"/>
  <c r="B58" i="23"/>
  <c r="Q57" i="23"/>
  <c r="O57" i="23"/>
  <c r="N57" i="23"/>
  <c r="L57" i="23"/>
  <c r="G57" i="23"/>
  <c r="E57" i="23"/>
  <c r="D57" i="23"/>
  <c r="B57" i="23"/>
  <c r="Q56" i="23"/>
  <c r="O56" i="23"/>
  <c r="N56" i="23"/>
  <c r="L56" i="23"/>
  <c r="G56" i="23"/>
  <c r="E56" i="23"/>
  <c r="D56" i="23"/>
  <c r="B56" i="23"/>
  <c r="Q55" i="23"/>
  <c r="O55" i="23"/>
  <c r="N55" i="23"/>
  <c r="L55" i="23"/>
  <c r="G55" i="23"/>
  <c r="E55" i="23"/>
  <c r="D55" i="23"/>
  <c r="B55" i="23"/>
  <c r="Q54" i="23"/>
  <c r="O54" i="23"/>
  <c r="N54" i="23"/>
  <c r="L54" i="23"/>
  <c r="G54" i="23"/>
  <c r="E54" i="23"/>
  <c r="D54" i="23"/>
  <c r="B54" i="23"/>
  <c r="Q53" i="23"/>
  <c r="O53" i="23"/>
  <c r="N53" i="23"/>
  <c r="L53" i="23"/>
  <c r="G53" i="23"/>
  <c r="E53" i="23"/>
  <c r="D53" i="23"/>
  <c r="B53" i="23"/>
  <c r="Q52" i="23"/>
  <c r="O52" i="23"/>
  <c r="N52" i="23"/>
  <c r="L52" i="23"/>
  <c r="G52" i="23"/>
  <c r="E52" i="23"/>
  <c r="D52" i="23"/>
  <c r="B52" i="23"/>
  <c r="Q51" i="23"/>
  <c r="O51" i="23"/>
  <c r="N51" i="23"/>
  <c r="L51" i="23"/>
  <c r="G51" i="23"/>
  <c r="E51" i="23"/>
  <c r="D51" i="23"/>
  <c r="B51" i="23"/>
  <c r="Q50" i="23"/>
  <c r="O50" i="23"/>
  <c r="N50" i="23"/>
  <c r="L50" i="23"/>
  <c r="G50" i="23"/>
  <c r="E50" i="23"/>
  <c r="D50" i="23"/>
  <c r="B50" i="23"/>
  <c r="Q49" i="23"/>
  <c r="O49" i="23"/>
  <c r="N49" i="23"/>
  <c r="L49" i="23"/>
  <c r="G49" i="23"/>
  <c r="E49" i="23"/>
  <c r="D49" i="23"/>
  <c r="B49" i="23"/>
  <c r="Q48" i="23"/>
  <c r="O48" i="23"/>
  <c r="N48" i="23"/>
  <c r="L48" i="23"/>
  <c r="G48" i="23"/>
  <c r="E48" i="23"/>
  <c r="D48" i="23"/>
  <c r="B48" i="23"/>
  <c r="Q47" i="23"/>
  <c r="O47" i="23"/>
  <c r="N47" i="23"/>
  <c r="L47" i="23"/>
  <c r="G47" i="23"/>
  <c r="E47" i="23"/>
  <c r="D47" i="23"/>
  <c r="B47" i="23"/>
  <c r="Q46" i="23"/>
  <c r="O46" i="23"/>
  <c r="N46" i="23"/>
  <c r="L46" i="23"/>
  <c r="G46" i="23"/>
  <c r="E46" i="23"/>
  <c r="D46" i="23"/>
  <c r="B46" i="23"/>
  <c r="Q45" i="23"/>
  <c r="O45" i="23"/>
  <c r="N45" i="23"/>
  <c r="L45" i="23"/>
  <c r="G45" i="23"/>
  <c r="E45" i="23"/>
  <c r="D45" i="23"/>
  <c r="B45" i="23"/>
  <c r="Q44" i="23"/>
  <c r="O44" i="23"/>
  <c r="N44" i="23"/>
  <c r="L44" i="23"/>
  <c r="G44" i="23"/>
  <c r="E44" i="23"/>
  <c r="D44" i="23"/>
  <c r="B44" i="23"/>
  <c r="Q43" i="23"/>
  <c r="O43" i="23"/>
  <c r="N43" i="23"/>
  <c r="L43" i="23"/>
  <c r="G43" i="23"/>
  <c r="E43" i="23"/>
  <c r="D43" i="23"/>
  <c r="B43" i="23"/>
  <c r="Q42" i="23"/>
  <c r="O42" i="23"/>
  <c r="N42" i="23"/>
  <c r="L42" i="23"/>
  <c r="G42" i="23"/>
  <c r="E42" i="23"/>
  <c r="D42" i="23"/>
  <c r="B42" i="23"/>
  <c r="F43" i="24"/>
  <c r="A35" i="24"/>
  <c r="K75" i="24" s="1"/>
  <c r="X34" i="24"/>
  <c r="G35" i="24" s="1"/>
  <c r="W34" i="24"/>
  <c r="F35" i="24" s="1"/>
  <c r="V34" i="24"/>
  <c r="E35" i="24" s="1"/>
  <c r="R34" i="24"/>
  <c r="Q34" i="24"/>
  <c r="D35" i="24" s="1"/>
  <c r="P34" i="24"/>
  <c r="C35" i="24" s="1"/>
  <c r="O34" i="24"/>
  <c r="B35" i="24" s="1"/>
  <c r="A34" i="24"/>
  <c r="A74" i="24" s="1"/>
  <c r="X33" i="24"/>
  <c r="G34" i="24" s="1"/>
  <c r="W33" i="24"/>
  <c r="F34" i="24" s="1"/>
  <c r="V33" i="24"/>
  <c r="E34" i="24" s="1"/>
  <c r="R33" i="24"/>
  <c r="Q33" i="24"/>
  <c r="D34" i="24" s="1"/>
  <c r="P33" i="24"/>
  <c r="C34" i="24" s="1"/>
  <c r="O33" i="24"/>
  <c r="B34" i="24" s="1"/>
  <c r="A33" i="24"/>
  <c r="K73" i="24" s="1"/>
  <c r="X32" i="24"/>
  <c r="G33" i="24" s="1"/>
  <c r="W32" i="24"/>
  <c r="F33" i="24" s="1"/>
  <c r="V32" i="24"/>
  <c r="E33" i="24" s="1"/>
  <c r="R32" i="24"/>
  <c r="Q32" i="24"/>
  <c r="D33" i="24" s="1"/>
  <c r="P32" i="24"/>
  <c r="C33" i="24" s="1"/>
  <c r="O32" i="24"/>
  <c r="B33" i="24" s="1"/>
  <c r="A32" i="24"/>
  <c r="A72" i="24" s="1"/>
  <c r="X31" i="24"/>
  <c r="G32" i="24" s="1"/>
  <c r="W31" i="24"/>
  <c r="F32" i="24" s="1"/>
  <c r="V31" i="24"/>
  <c r="E32" i="24" s="1"/>
  <c r="R31" i="24"/>
  <c r="Q31" i="24"/>
  <c r="D32" i="24" s="1"/>
  <c r="P31" i="24"/>
  <c r="C32" i="24" s="1"/>
  <c r="O31" i="24"/>
  <c r="B32" i="24" s="1"/>
  <c r="A31" i="24"/>
  <c r="K71" i="24" s="1"/>
  <c r="X30" i="24"/>
  <c r="G31" i="24" s="1"/>
  <c r="W30" i="24"/>
  <c r="F31" i="24" s="1"/>
  <c r="V30" i="24"/>
  <c r="E31" i="24" s="1"/>
  <c r="R30" i="24"/>
  <c r="Q30" i="24"/>
  <c r="D31" i="24" s="1"/>
  <c r="P30" i="24"/>
  <c r="C31" i="24" s="1"/>
  <c r="O30" i="24"/>
  <c r="B31" i="24" s="1"/>
  <c r="A30" i="24"/>
  <c r="A70" i="24" s="1"/>
  <c r="X29" i="24"/>
  <c r="G30" i="24" s="1"/>
  <c r="W29" i="24"/>
  <c r="F30" i="24" s="1"/>
  <c r="V29" i="24"/>
  <c r="E30" i="24" s="1"/>
  <c r="R29" i="24"/>
  <c r="Q29" i="24"/>
  <c r="D30" i="24" s="1"/>
  <c r="P29" i="24"/>
  <c r="C30" i="24" s="1"/>
  <c r="O29" i="24"/>
  <c r="B30" i="24" s="1"/>
  <c r="A29" i="24"/>
  <c r="K69" i="24" s="1"/>
  <c r="X28" i="24"/>
  <c r="G29" i="24" s="1"/>
  <c r="W28" i="24"/>
  <c r="F29" i="24" s="1"/>
  <c r="V28" i="24"/>
  <c r="E29" i="24" s="1"/>
  <c r="R28" i="24"/>
  <c r="Q28" i="24"/>
  <c r="D29" i="24" s="1"/>
  <c r="P28" i="24"/>
  <c r="C29" i="24" s="1"/>
  <c r="O28" i="24"/>
  <c r="B29" i="24" s="1"/>
  <c r="A28" i="24"/>
  <c r="A68" i="24" s="1"/>
  <c r="X27" i="24"/>
  <c r="G28" i="24" s="1"/>
  <c r="W27" i="24"/>
  <c r="F28" i="24" s="1"/>
  <c r="V27" i="24"/>
  <c r="E28" i="24" s="1"/>
  <c r="R27" i="24"/>
  <c r="Q27" i="24"/>
  <c r="D28" i="24" s="1"/>
  <c r="P27" i="24"/>
  <c r="C28" i="24" s="1"/>
  <c r="O27" i="24"/>
  <c r="B28" i="24" s="1"/>
  <c r="A27" i="24"/>
  <c r="K67" i="24" s="1"/>
  <c r="X26" i="24"/>
  <c r="G27" i="24" s="1"/>
  <c r="W26" i="24"/>
  <c r="F27" i="24" s="1"/>
  <c r="V26" i="24"/>
  <c r="E27" i="24" s="1"/>
  <c r="R26" i="24"/>
  <c r="Q26" i="24"/>
  <c r="D27" i="24" s="1"/>
  <c r="P26" i="24"/>
  <c r="C27" i="24" s="1"/>
  <c r="O26" i="24"/>
  <c r="B27" i="24" s="1"/>
  <c r="A26" i="24"/>
  <c r="A66" i="24" s="1"/>
  <c r="X25" i="24"/>
  <c r="G26" i="24" s="1"/>
  <c r="W25" i="24"/>
  <c r="F26" i="24" s="1"/>
  <c r="V25" i="24"/>
  <c r="E26" i="24" s="1"/>
  <c r="R25" i="24"/>
  <c r="Q25" i="24"/>
  <c r="D26" i="24" s="1"/>
  <c r="P25" i="24"/>
  <c r="C26" i="24" s="1"/>
  <c r="O25" i="24"/>
  <c r="B26" i="24" s="1"/>
  <c r="A25" i="24"/>
  <c r="K65" i="24" s="1"/>
  <c r="X24" i="24"/>
  <c r="G25" i="24" s="1"/>
  <c r="W24" i="24"/>
  <c r="F25" i="24" s="1"/>
  <c r="V24" i="24"/>
  <c r="E25" i="24" s="1"/>
  <c r="R24" i="24"/>
  <c r="Q24" i="24"/>
  <c r="D25" i="24" s="1"/>
  <c r="P24" i="24"/>
  <c r="C25" i="24" s="1"/>
  <c r="O24" i="24"/>
  <c r="B25" i="24" s="1"/>
  <c r="A24" i="24"/>
  <c r="A64" i="24" s="1"/>
  <c r="X23" i="24"/>
  <c r="G24" i="24" s="1"/>
  <c r="W23" i="24"/>
  <c r="F24" i="24" s="1"/>
  <c r="V23" i="24"/>
  <c r="E24" i="24" s="1"/>
  <c r="R23" i="24"/>
  <c r="Q23" i="24"/>
  <c r="D24" i="24" s="1"/>
  <c r="P23" i="24"/>
  <c r="C24" i="24" s="1"/>
  <c r="O23" i="24"/>
  <c r="B24" i="24" s="1"/>
  <c r="A23" i="24"/>
  <c r="K63" i="24" s="1"/>
  <c r="X22" i="24"/>
  <c r="G23" i="24" s="1"/>
  <c r="W22" i="24"/>
  <c r="F23" i="24" s="1"/>
  <c r="V22" i="24"/>
  <c r="E23" i="24" s="1"/>
  <c r="R22" i="24"/>
  <c r="Q22" i="24"/>
  <c r="D23" i="24" s="1"/>
  <c r="P22" i="24"/>
  <c r="C23" i="24" s="1"/>
  <c r="O22" i="24"/>
  <c r="B23" i="24" s="1"/>
  <c r="A22" i="24"/>
  <c r="A62" i="24" s="1"/>
  <c r="X21" i="24"/>
  <c r="G22" i="24" s="1"/>
  <c r="W21" i="24"/>
  <c r="F22" i="24" s="1"/>
  <c r="V21" i="24"/>
  <c r="E22" i="24" s="1"/>
  <c r="R21" i="24"/>
  <c r="Q21" i="24"/>
  <c r="D22" i="24" s="1"/>
  <c r="P21" i="24"/>
  <c r="C22" i="24" s="1"/>
  <c r="O21" i="24"/>
  <c r="B22" i="24" s="1"/>
  <c r="A21" i="24"/>
  <c r="K61" i="24" s="1"/>
  <c r="X20" i="24"/>
  <c r="G21" i="24" s="1"/>
  <c r="W20" i="24"/>
  <c r="F21" i="24" s="1"/>
  <c r="V20" i="24"/>
  <c r="E21" i="24" s="1"/>
  <c r="R20" i="24"/>
  <c r="Q20" i="24"/>
  <c r="D21" i="24" s="1"/>
  <c r="P20" i="24"/>
  <c r="C21" i="24" s="1"/>
  <c r="O20" i="24"/>
  <c r="B21" i="24" s="1"/>
  <c r="A20" i="24"/>
  <c r="A60" i="24" s="1"/>
  <c r="X19" i="24"/>
  <c r="G20" i="24" s="1"/>
  <c r="W19" i="24"/>
  <c r="F20" i="24" s="1"/>
  <c r="V19" i="24"/>
  <c r="E20" i="24" s="1"/>
  <c r="R19" i="24"/>
  <c r="Q19" i="24"/>
  <c r="D20" i="24" s="1"/>
  <c r="P19" i="24"/>
  <c r="C20" i="24" s="1"/>
  <c r="O19" i="24"/>
  <c r="B20" i="24" s="1"/>
  <c r="A19" i="24"/>
  <c r="K59" i="24" s="1"/>
  <c r="X18" i="24"/>
  <c r="G19" i="24" s="1"/>
  <c r="W18" i="24"/>
  <c r="F19" i="24" s="1"/>
  <c r="V18" i="24"/>
  <c r="E19" i="24" s="1"/>
  <c r="R18" i="24"/>
  <c r="Q18" i="24"/>
  <c r="D19" i="24" s="1"/>
  <c r="P18" i="24"/>
  <c r="C19" i="24" s="1"/>
  <c r="O18" i="24"/>
  <c r="B19" i="24" s="1"/>
  <c r="A18" i="24"/>
  <c r="A58" i="24" s="1"/>
  <c r="X17" i="24"/>
  <c r="G18" i="24" s="1"/>
  <c r="W17" i="24"/>
  <c r="F18" i="24" s="1"/>
  <c r="V17" i="24"/>
  <c r="E18" i="24" s="1"/>
  <c r="R17" i="24"/>
  <c r="Q17" i="24"/>
  <c r="D18" i="24" s="1"/>
  <c r="P17" i="24"/>
  <c r="C18" i="24" s="1"/>
  <c r="O17" i="24"/>
  <c r="B18" i="24" s="1"/>
  <c r="A17" i="24"/>
  <c r="K57" i="24" s="1"/>
  <c r="X16" i="24"/>
  <c r="G17" i="24" s="1"/>
  <c r="W16" i="24"/>
  <c r="F17" i="24" s="1"/>
  <c r="V16" i="24"/>
  <c r="E17" i="24" s="1"/>
  <c r="R16" i="24"/>
  <c r="Q16" i="24"/>
  <c r="D17" i="24" s="1"/>
  <c r="P16" i="24"/>
  <c r="C17" i="24" s="1"/>
  <c r="O16" i="24"/>
  <c r="B17" i="24" s="1"/>
  <c r="A16" i="24"/>
  <c r="A56" i="24" s="1"/>
  <c r="X15" i="24"/>
  <c r="G16" i="24" s="1"/>
  <c r="W15" i="24"/>
  <c r="F16" i="24" s="1"/>
  <c r="V15" i="24"/>
  <c r="E16" i="24" s="1"/>
  <c r="R15" i="24"/>
  <c r="Q15" i="24"/>
  <c r="D16" i="24" s="1"/>
  <c r="P15" i="24"/>
  <c r="C16" i="24" s="1"/>
  <c r="O15" i="24"/>
  <c r="B16" i="24" s="1"/>
  <c r="A15" i="24"/>
  <c r="K55" i="24" s="1"/>
  <c r="X14" i="24"/>
  <c r="G15" i="24" s="1"/>
  <c r="W14" i="24"/>
  <c r="F15" i="24" s="1"/>
  <c r="V14" i="24"/>
  <c r="E15" i="24" s="1"/>
  <c r="R14" i="24"/>
  <c r="Q14" i="24"/>
  <c r="D15" i="24" s="1"/>
  <c r="P14" i="24"/>
  <c r="C15" i="24" s="1"/>
  <c r="O14" i="24"/>
  <c r="B15" i="24" s="1"/>
  <c r="A14" i="24"/>
  <c r="A54" i="24" s="1"/>
  <c r="X13" i="24"/>
  <c r="G14" i="24" s="1"/>
  <c r="W13" i="24"/>
  <c r="F14" i="24" s="1"/>
  <c r="V13" i="24"/>
  <c r="E14" i="24" s="1"/>
  <c r="R13" i="24"/>
  <c r="Q13" i="24"/>
  <c r="D14" i="24" s="1"/>
  <c r="P13" i="24"/>
  <c r="C14" i="24" s="1"/>
  <c r="O13" i="24"/>
  <c r="B14" i="24" s="1"/>
  <c r="A13" i="24"/>
  <c r="K53" i="24" s="1"/>
  <c r="X12" i="24"/>
  <c r="G13" i="24" s="1"/>
  <c r="W12" i="24"/>
  <c r="F13" i="24" s="1"/>
  <c r="V12" i="24"/>
  <c r="E13" i="24" s="1"/>
  <c r="R12" i="24"/>
  <c r="Q12" i="24"/>
  <c r="D13" i="24" s="1"/>
  <c r="P12" i="24"/>
  <c r="C13" i="24" s="1"/>
  <c r="O12" i="24"/>
  <c r="B13" i="24" s="1"/>
  <c r="A12" i="24"/>
  <c r="A52" i="24" s="1"/>
  <c r="X11" i="24"/>
  <c r="G12" i="24" s="1"/>
  <c r="W11" i="24"/>
  <c r="F12" i="24" s="1"/>
  <c r="V11" i="24"/>
  <c r="E12" i="24" s="1"/>
  <c r="R11" i="24"/>
  <c r="Q11" i="24"/>
  <c r="D12" i="24" s="1"/>
  <c r="P11" i="24"/>
  <c r="C12" i="24" s="1"/>
  <c r="O11" i="24"/>
  <c r="B12" i="24" s="1"/>
  <c r="A11" i="24"/>
  <c r="K51" i="24" s="1"/>
  <c r="X10" i="24"/>
  <c r="G11" i="24" s="1"/>
  <c r="W10" i="24"/>
  <c r="F11" i="24" s="1"/>
  <c r="V10" i="24"/>
  <c r="E11" i="24" s="1"/>
  <c r="R10" i="24"/>
  <c r="Q10" i="24"/>
  <c r="D11" i="24" s="1"/>
  <c r="P10" i="24"/>
  <c r="C11" i="24" s="1"/>
  <c r="O10" i="24"/>
  <c r="B11" i="24" s="1"/>
  <c r="A10" i="24"/>
  <c r="A50" i="24" s="1"/>
  <c r="X9" i="24"/>
  <c r="G10" i="24" s="1"/>
  <c r="W9" i="24"/>
  <c r="F10" i="24" s="1"/>
  <c r="V9" i="24"/>
  <c r="E10" i="24" s="1"/>
  <c r="R9" i="24"/>
  <c r="Q9" i="24"/>
  <c r="D10" i="24" s="1"/>
  <c r="P9" i="24"/>
  <c r="C10" i="24" s="1"/>
  <c r="O9" i="24"/>
  <c r="B10" i="24" s="1"/>
  <c r="A9" i="24"/>
  <c r="K49" i="24" s="1"/>
  <c r="X8" i="24"/>
  <c r="G9" i="24" s="1"/>
  <c r="W8" i="24"/>
  <c r="F9" i="24" s="1"/>
  <c r="V8" i="24"/>
  <c r="E9" i="24" s="1"/>
  <c r="R8" i="24"/>
  <c r="Q8" i="24"/>
  <c r="D9" i="24" s="1"/>
  <c r="P8" i="24"/>
  <c r="C9" i="24" s="1"/>
  <c r="O8" i="24"/>
  <c r="B9" i="24" s="1"/>
  <c r="A8" i="24"/>
  <c r="A48" i="24" s="1"/>
  <c r="X7" i="24"/>
  <c r="G8" i="24" s="1"/>
  <c r="W7" i="24"/>
  <c r="F8" i="24" s="1"/>
  <c r="V7" i="24"/>
  <c r="E8" i="24" s="1"/>
  <c r="R7" i="24"/>
  <c r="Q7" i="24"/>
  <c r="D8" i="24" s="1"/>
  <c r="P7" i="24"/>
  <c r="C8" i="24" s="1"/>
  <c r="O7" i="24"/>
  <c r="B8" i="24" s="1"/>
  <c r="A7" i="24"/>
  <c r="K47" i="24" s="1"/>
  <c r="X6" i="24"/>
  <c r="G7" i="24" s="1"/>
  <c r="W6" i="24"/>
  <c r="F7" i="24" s="1"/>
  <c r="V6" i="24"/>
  <c r="E7" i="24" s="1"/>
  <c r="R6" i="24"/>
  <c r="Q6" i="24"/>
  <c r="D7" i="24" s="1"/>
  <c r="P6" i="24"/>
  <c r="C7" i="24" s="1"/>
  <c r="O6" i="24"/>
  <c r="B7" i="24" s="1"/>
  <c r="A6" i="24"/>
  <c r="A46" i="24" s="1"/>
  <c r="X5" i="24"/>
  <c r="G6" i="24" s="1"/>
  <c r="W5" i="24"/>
  <c r="F6" i="24" s="1"/>
  <c r="V5" i="24"/>
  <c r="E6" i="24" s="1"/>
  <c r="R5" i="24"/>
  <c r="Q5" i="24"/>
  <c r="D6" i="24" s="1"/>
  <c r="P5" i="24"/>
  <c r="C6" i="24" s="1"/>
  <c r="O5" i="24"/>
  <c r="B6" i="24" s="1"/>
  <c r="A5" i="24"/>
  <c r="K45" i="24" s="1"/>
  <c r="X4" i="24"/>
  <c r="G5" i="24" s="1"/>
  <c r="W4" i="24"/>
  <c r="F5" i="24" s="1"/>
  <c r="V4" i="24"/>
  <c r="E5" i="24" s="1"/>
  <c r="R4" i="24"/>
  <c r="Q4" i="24"/>
  <c r="D5" i="24" s="1"/>
  <c r="P4" i="24"/>
  <c r="C5" i="24" s="1"/>
  <c r="O4" i="24"/>
  <c r="B5" i="24" s="1"/>
  <c r="A4" i="24"/>
  <c r="A44" i="24" s="1"/>
  <c r="X3" i="24"/>
  <c r="G4" i="24" s="1"/>
  <c r="W3" i="24"/>
  <c r="F4" i="24" s="1"/>
  <c r="V3" i="24"/>
  <c r="E4" i="24" s="1"/>
  <c r="R3" i="24"/>
  <c r="Q3" i="24"/>
  <c r="D4" i="24" s="1"/>
  <c r="P3" i="24"/>
  <c r="C4" i="24" s="1"/>
  <c r="O3" i="24"/>
  <c r="B4" i="24" s="1"/>
  <c r="C38" i="18"/>
  <c r="A35" i="18"/>
  <c r="K75" i="18" s="1"/>
  <c r="K73" i="23" s="1"/>
  <c r="X34" i="18"/>
  <c r="G35" i="18" s="1"/>
  <c r="W34" i="18"/>
  <c r="F35" i="18" s="1"/>
  <c r="V34" i="18"/>
  <c r="E35" i="18" s="1"/>
  <c r="R34" i="18"/>
  <c r="Q34" i="18"/>
  <c r="P34" i="18"/>
  <c r="O34" i="18"/>
  <c r="A34" i="18"/>
  <c r="K74" i="18" s="1"/>
  <c r="K72" i="23" s="1"/>
  <c r="X33" i="18"/>
  <c r="G34" i="18" s="1"/>
  <c r="W33" i="18"/>
  <c r="F34" i="18" s="1"/>
  <c r="V33" i="18"/>
  <c r="E34" i="18" s="1"/>
  <c r="R33" i="18"/>
  <c r="Q33" i="18"/>
  <c r="P33" i="18"/>
  <c r="O33" i="18"/>
  <c r="A33" i="18"/>
  <c r="A33" i="23" s="1"/>
  <c r="K33" i="23" s="1"/>
  <c r="X32" i="18"/>
  <c r="G33" i="18" s="1"/>
  <c r="W32" i="18"/>
  <c r="F33" i="18" s="1"/>
  <c r="V32" i="18"/>
  <c r="E33" i="18" s="1"/>
  <c r="R32" i="18"/>
  <c r="Q32" i="18"/>
  <c r="P32" i="18"/>
  <c r="O32" i="18"/>
  <c r="A32" i="18"/>
  <c r="K72" i="18" s="1"/>
  <c r="K70" i="23" s="1"/>
  <c r="X31" i="18"/>
  <c r="G32" i="18" s="1"/>
  <c r="W31" i="18"/>
  <c r="F32" i="18" s="1"/>
  <c r="V31" i="18"/>
  <c r="E32" i="18" s="1"/>
  <c r="R31" i="18"/>
  <c r="Q31" i="18"/>
  <c r="P31" i="18"/>
  <c r="O31" i="18"/>
  <c r="A31" i="18"/>
  <c r="A31" i="23" s="1"/>
  <c r="K31" i="23" s="1"/>
  <c r="X30" i="18"/>
  <c r="G31" i="18" s="1"/>
  <c r="W30" i="18"/>
  <c r="F31" i="18" s="1"/>
  <c r="V30" i="18"/>
  <c r="E31" i="18" s="1"/>
  <c r="R30" i="18"/>
  <c r="Q30" i="18"/>
  <c r="P30" i="18"/>
  <c r="O30" i="18"/>
  <c r="A30" i="18"/>
  <c r="K70" i="18" s="1"/>
  <c r="K68" i="23" s="1"/>
  <c r="X29" i="18"/>
  <c r="G30" i="18" s="1"/>
  <c r="W29" i="18"/>
  <c r="F30" i="18" s="1"/>
  <c r="V29" i="18"/>
  <c r="E30" i="18" s="1"/>
  <c r="R29" i="18"/>
  <c r="Q29" i="18"/>
  <c r="P29" i="18"/>
  <c r="O29" i="18"/>
  <c r="A29" i="18"/>
  <c r="K69" i="18" s="1"/>
  <c r="K67" i="23" s="1"/>
  <c r="X28" i="18"/>
  <c r="G29" i="18" s="1"/>
  <c r="W28" i="18"/>
  <c r="F29" i="18" s="1"/>
  <c r="V28" i="18"/>
  <c r="E29" i="18" s="1"/>
  <c r="R28" i="18"/>
  <c r="Q28" i="18"/>
  <c r="P28" i="18"/>
  <c r="O28" i="18"/>
  <c r="A28" i="18"/>
  <c r="A28" i="23" s="1"/>
  <c r="K28" i="23" s="1"/>
  <c r="X27" i="18"/>
  <c r="G28" i="18" s="1"/>
  <c r="W27" i="18"/>
  <c r="F28" i="18" s="1"/>
  <c r="V27" i="18"/>
  <c r="E28" i="18" s="1"/>
  <c r="R27" i="18"/>
  <c r="Q27" i="18"/>
  <c r="P27" i="18"/>
  <c r="O27" i="18"/>
  <c r="A27" i="18"/>
  <c r="A27" i="23" s="1"/>
  <c r="K27" i="23" s="1"/>
  <c r="X26" i="18"/>
  <c r="G27" i="18" s="1"/>
  <c r="W26" i="18"/>
  <c r="F27" i="18" s="1"/>
  <c r="V26" i="18"/>
  <c r="E27" i="18" s="1"/>
  <c r="R26" i="18"/>
  <c r="Q26" i="18"/>
  <c r="P26" i="18"/>
  <c r="O26" i="18"/>
  <c r="A26" i="18"/>
  <c r="K66" i="18" s="1"/>
  <c r="K64" i="23" s="1"/>
  <c r="X25" i="18"/>
  <c r="G26" i="18" s="1"/>
  <c r="W25" i="18"/>
  <c r="F26" i="18" s="1"/>
  <c r="V25" i="18"/>
  <c r="E26" i="18" s="1"/>
  <c r="R25" i="18"/>
  <c r="Q25" i="18"/>
  <c r="P25" i="18"/>
  <c r="O25" i="18"/>
  <c r="A25" i="18"/>
  <c r="K65" i="18" s="1"/>
  <c r="K63" i="23" s="1"/>
  <c r="X24" i="18"/>
  <c r="G25" i="18" s="1"/>
  <c r="W24" i="18"/>
  <c r="F25" i="18" s="1"/>
  <c r="V24" i="18"/>
  <c r="E25" i="18" s="1"/>
  <c r="R24" i="18"/>
  <c r="Q24" i="18"/>
  <c r="P24" i="18"/>
  <c r="O24" i="18"/>
  <c r="A24" i="18"/>
  <c r="A24" i="23" s="1"/>
  <c r="K24" i="23" s="1"/>
  <c r="X23" i="18"/>
  <c r="G24" i="18" s="1"/>
  <c r="W23" i="18"/>
  <c r="F24" i="18" s="1"/>
  <c r="V23" i="18"/>
  <c r="E24" i="18" s="1"/>
  <c r="R23" i="18"/>
  <c r="Q23" i="18"/>
  <c r="P23" i="18"/>
  <c r="O23" i="18"/>
  <c r="A23" i="18"/>
  <c r="A23" i="23" s="1"/>
  <c r="K23" i="23" s="1"/>
  <c r="X22" i="18"/>
  <c r="G23" i="18" s="1"/>
  <c r="W22" i="18"/>
  <c r="F23" i="18" s="1"/>
  <c r="V22" i="18"/>
  <c r="E23" i="18" s="1"/>
  <c r="R22" i="18"/>
  <c r="Q22" i="18"/>
  <c r="P22" i="18"/>
  <c r="O22" i="18"/>
  <c r="A22" i="18"/>
  <c r="K62" i="18" s="1"/>
  <c r="K60" i="23" s="1"/>
  <c r="X21" i="18"/>
  <c r="G22" i="18" s="1"/>
  <c r="W21" i="18"/>
  <c r="F22" i="18" s="1"/>
  <c r="V21" i="18"/>
  <c r="E22" i="18" s="1"/>
  <c r="R21" i="18"/>
  <c r="Q21" i="18"/>
  <c r="P21" i="18"/>
  <c r="O21" i="18"/>
  <c r="A21" i="18"/>
  <c r="A61" i="18" s="1"/>
  <c r="A59" i="23" s="1"/>
  <c r="X20" i="18"/>
  <c r="G21" i="18" s="1"/>
  <c r="W20" i="18"/>
  <c r="F21" i="18" s="1"/>
  <c r="V20" i="18"/>
  <c r="E21" i="18" s="1"/>
  <c r="R20" i="18"/>
  <c r="Q20" i="18"/>
  <c r="P20" i="18"/>
  <c r="O20" i="18"/>
  <c r="A20" i="18"/>
  <c r="A20" i="23" s="1"/>
  <c r="K20" i="23" s="1"/>
  <c r="X19" i="18"/>
  <c r="G20" i="18" s="1"/>
  <c r="W19" i="18"/>
  <c r="F20" i="18" s="1"/>
  <c r="V19" i="18"/>
  <c r="E20" i="18" s="1"/>
  <c r="R19" i="18"/>
  <c r="Q19" i="18"/>
  <c r="P19" i="18"/>
  <c r="O19" i="18"/>
  <c r="A19" i="18"/>
  <c r="K59" i="18" s="1"/>
  <c r="K57" i="23" s="1"/>
  <c r="X18" i="18"/>
  <c r="G19" i="18" s="1"/>
  <c r="W18" i="18"/>
  <c r="F19" i="18" s="1"/>
  <c r="V18" i="18"/>
  <c r="E19" i="18" s="1"/>
  <c r="R18" i="18"/>
  <c r="Q18" i="18"/>
  <c r="P18" i="18"/>
  <c r="O18" i="18"/>
  <c r="A18" i="18"/>
  <c r="K58" i="18" s="1"/>
  <c r="K56" i="23" s="1"/>
  <c r="X17" i="18"/>
  <c r="G18" i="18" s="1"/>
  <c r="W17" i="18"/>
  <c r="F18" i="18" s="1"/>
  <c r="V17" i="18"/>
  <c r="E18" i="18" s="1"/>
  <c r="R17" i="18"/>
  <c r="Q17" i="18"/>
  <c r="P17" i="18"/>
  <c r="O17" i="18"/>
  <c r="A17" i="18"/>
  <c r="A17" i="23" s="1"/>
  <c r="K17" i="23" s="1"/>
  <c r="X16" i="18"/>
  <c r="G17" i="18" s="1"/>
  <c r="W16" i="18"/>
  <c r="F17" i="18" s="1"/>
  <c r="V16" i="18"/>
  <c r="E17" i="18" s="1"/>
  <c r="R16" i="18"/>
  <c r="Q16" i="18"/>
  <c r="P16" i="18"/>
  <c r="O16" i="18"/>
  <c r="A16" i="18"/>
  <c r="A56" i="18" s="1"/>
  <c r="A54" i="23" s="1"/>
  <c r="X15" i="18"/>
  <c r="G16" i="18" s="1"/>
  <c r="W15" i="18"/>
  <c r="F16" i="18" s="1"/>
  <c r="V15" i="18"/>
  <c r="E16" i="18" s="1"/>
  <c r="R15" i="18"/>
  <c r="Q15" i="18"/>
  <c r="P15" i="18"/>
  <c r="O15" i="18"/>
  <c r="A15" i="18"/>
  <c r="K55" i="18" s="1"/>
  <c r="K53" i="23" s="1"/>
  <c r="X14" i="18"/>
  <c r="G15" i="18" s="1"/>
  <c r="W14" i="18"/>
  <c r="F15" i="18" s="1"/>
  <c r="V14" i="18"/>
  <c r="E15" i="18" s="1"/>
  <c r="R14" i="18"/>
  <c r="Q14" i="18"/>
  <c r="P14" i="18"/>
  <c r="O14" i="18"/>
  <c r="A14" i="18"/>
  <c r="K54" i="18" s="1"/>
  <c r="K52" i="23" s="1"/>
  <c r="X13" i="18"/>
  <c r="G14" i="18" s="1"/>
  <c r="W13" i="18"/>
  <c r="F14" i="18" s="1"/>
  <c r="V13" i="18"/>
  <c r="E14" i="18" s="1"/>
  <c r="R13" i="18"/>
  <c r="Q13" i="18"/>
  <c r="P13" i="18"/>
  <c r="O13" i="18"/>
  <c r="A13" i="18"/>
  <c r="A13" i="23" s="1"/>
  <c r="K13" i="23" s="1"/>
  <c r="X12" i="18"/>
  <c r="G13" i="18" s="1"/>
  <c r="W12" i="18"/>
  <c r="F13" i="18" s="1"/>
  <c r="V12" i="18"/>
  <c r="E13" i="18" s="1"/>
  <c r="R12" i="18"/>
  <c r="Q12" i="18"/>
  <c r="P12" i="18"/>
  <c r="O12" i="18"/>
  <c r="A12" i="18"/>
  <c r="A12" i="23" s="1"/>
  <c r="K12" i="23" s="1"/>
  <c r="X11" i="18"/>
  <c r="G12" i="18" s="1"/>
  <c r="W11" i="18"/>
  <c r="F12" i="18" s="1"/>
  <c r="V11" i="18"/>
  <c r="E12" i="18" s="1"/>
  <c r="R11" i="18"/>
  <c r="Q11" i="18"/>
  <c r="P11" i="18"/>
  <c r="O11" i="18"/>
  <c r="A11" i="18"/>
  <c r="A11" i="23" s="1"/>
  <c r="K11" i="23" s="1"/>
  <c r="X10" i="18"/>
  <c r="G11" i="18" s="1"/>
  <c r="W10" i="18"/>
  <c r="F11" i="18" s="1"/>
  <c r="V10" i="18"/>
  <c r="E11" i="18" s="1"/>
  <c r="R10" i="18"/>
  <c r="Q10" i="18"/>
  <c r="P10" i="18"/>
  <c r="O10" i="18"/>
  <c r="A10" i="18"/>
  <c r="A50" i="18" s="1"/>
  <c r="A48" i="23" s="1"/>
  <c r="X9" i="18"/>
  <c r="G10" i="18" s="1"/>
  <c r="W9" i="18"/>
  <c r="F10" i="18" s="1"/>
  <c r="V9" i="18"/>
  <c r="E10" i="18" s="1"/>
  <c r="R9" i="18"/>
  <c r="Q9" i="18"/>
  <c r="P9" i="18"/>
  <c r="O9" i="18"/>
  <c r="A9" i="18"/>
  <c r="K49" i="18" s="1"/>
  <c r="K47" i="23" s="1"/>
  <c r="X8" i="18"/>
  <c r="G9" i="18" s="1"/>
  <c r="W8" i="18"/>
  <c r="F9" i="18" s="1"/>
  <c r="V8" i="18"/>
  <c r="E9" i="18" s="1"/>
  <c r="R8" i="18"/>
  <c r="Q8" i="18"/>
  <c r="P8" i="18"/>
  <c r="O8" i="18"/>
  <c r="A8" i="18"/>
  <c r="A48" i="18" s="1"/>
  <c r="A46" i="23" s="1"/>
  <c r="X7" i="18"/>
  <c r="G8" i="18" s="1"/>
  <c r="W7" i="18"/>
  <c r="F8" i="18" s="1"/>
  <c r="V7" i="18"/>
  <c r="E8" i="18" s="1"/>
  <c r="R7" i="18"/>
  <c r="Q7" i="18"/>
  <c r="P7" i="18"/>
  <c r="O7" i="18"/>
  <c r="A7" i="18"/>
  <c r="K47" i="18" s="1"/>
  <c r="K45" i="23" s="1"/>
  <c r="X6" i="18"/>
  <c r="G7" i="18" s="1"/>
  <c r="W6" i="18"/>
  <c r="F7" i="18" s="1"/>
  <c r="V6" i="18"/>
  <c r="E7" i="18" s="1"/>
  <c r="R6" i="18"/>
  <c r="Q6" i="18"/>
  <c r="P6" i="18"/>
  <c r="O6" i="18"/>
  <c r="A6" i="18"/>
  <c r="K46" i="18" s="1"/>
  <c r="K44" i="23" s="1"/>
  <c r="X5" i="18"/>
  <c r="G6" i="18" s="1"/>
  <c r="W5" i="18"/>
  <c r="F6" i="18" s="1"/>
  <c r="V5" i="18"/>
  <c r="E6" i="18" s="1"/>
  <c r="R5" i="18"/>
  <c r="Q5" i="18"/>
  <c r="P5" i="18"/>
  <c r="O5" i="18"/>
  <c r="A5" i="18"/>
  <c r="A45" i="18" s="1"/>
  <c r="A43" i="23" s="1"/>
  <c r="X4" i="18"/>
  <c r="G5" i="18" s="1"/>
  <c r="W4" i="18"/>
  <c r="F5" i="18" s="1"/>
  <c r="V4" i="18"/>
  <c r="E5" i="18" s="1"/>
  <c r="R4" i="18"/>
  <c r="Q4" i="18"/>
  <c r="P4" i="18"/>
  <c r="O4" i="18"/>
  <c r="A4" i="18"/>
  <c r="A4" i="23" s="1"/>
  <c r="K4" i="23" s="1"/>
  <c r="X3" i="18"/>
  <c r="G4" i="18" s="1"/>
  <c r="W3" i="18"/>
  <c r="F4" i="18" s="1"/>
  <c r="V3" i="18"/>
  <c r="E4" i="18" s="1"/>
  <c r="R3" i="18"/>
  <c r="Q3" i="18"/>
  <c r="P3" i="18"/>
  <c r="O3" i="18"/>
  <c r="P75" i="20"/>
  <c r="F75" i="20"/>
  <c r="P74" i="20"/>
  <c r="F74" i="20"/>
  <c r="P73" i="20"/>
  <c r="F73" i="20"/>
  <c r="P72" i="20"/>
  <c r="F72" i="20"/>
  <c r="P71" i="20"/>
  <c r="F71" i="20"/>
  <c r="P70" i="20"/>
  <c r="F70" i="20"/>
  <c r="P69" i="20"/>
  <c r="F69" i="20"/>
  <c r="P68" i="20"/>
  <c r="F68" i="20"/>
  <c r="P67" i="20"/>
  <c r="F67" i="20"/>
  <c r="P66" i="20"/>
  <c r="F66" i="20"/>
  <c r="P65" i="20"/>
  <c r="F65" i="20"/>
  <c r="P64" i="20"/>
  <c r="F64" i="20"/>
  <c r="P63" i="20"/>
  <c r="F63" i="20"/>
  <c r="P62" i="20"/>
  <c r="F62" i="20"/>
  <c r="P61" i="20"/>
  <c r="F61" i="20"/>
  <c r="P60" i="20"/>
  <c r="F60" i="20"/>
  <c r="P59" i="20"/>
  <c r="F59" i="20"/>
  <c r="P58" i="20"/>
  <c r="F58" i="20"/>
  <c r="P57" i="20"/>
  <c r="F57" i="20"/>
  <c r="P56" i="20"/>
  <c r="F56" i="20"/>
  <c r="P55" i="20"/>
  <c r="F55" i="20"/>
  <c r="P54" i="20"/>
  <c r="F54" i="20"/>
  <c r="P53" i="20"/>
  <c r="F53" i="20"/>
  <c r="P52" i="20"/>
  <c r="F52" i="20"/>
  <c r="P51" i="20"/>
  <c r="F51" i="20"/>
  <c r="P50" i="20"/>
  <c r="F50" i="20"/>
  <c r="P49" i="20"/>
  <c r="F49" i="20"/>
  <c r="P48" i="20"/>
  <c r="F48" i="20"/>
  <c r="P47" i="20"/>
  <c r="F47" i="20"/>
  <c r="P46" i="20"/>
  <c r="F46" i="20"/>
  <c r="P45" i="20"/>
  <c r="F45" i="20"/>
  <c r="P44" i="20"/>
  <c r="F44" i="20"/>
  <c r="F38" i="20"/>
  <c r="C38" i="20"/>
  <c r="G35" i="20"/>
  <c r="F35" i="20"/>
  <c r="E35" i="20"/>
  <c r="A35" i="20"/>
  <c r="A75" i="20" s="1"/>
  <c r="X34" i="20"/>
  <c r="W34" i="20"/>
  <c r="V34" i="20"/>
  <c r="R34" i="20"/>
  <c r="Q34" i="20"/>
  <c r="P34" i="20"/>
  <c r="O34" i="20"/>
  <c r="G34" i="20"/>
  <c r="F34" i="20"/>
  <c r="E34" i="20"/>
  <c r="A34" i="20"/>
  <c r="K74" i="20" s="1"/>
  <c r="X33" i="20"/>
  <c r="W33" i="20"/>
  <c r="V33" i="20"/>
  <c r="R33" i="20"/>
  <c r="Q33" i="20"/>
  <c r="P33" i="20"/>
  <c r="O33" i="20"/>
  <c r="G33" i="20"/>
  <c r="F33" i="20"/>
  <c r="E33" i="20"/>
  <c r="A33" i="20"/>
  <c r="A73" i="20" s="1"/>
  <c r="X32" i="20"/>
  <c r="W32" i="20"/>
  <c r="V32" i="20"/>
  <c r="R32" i="20"/>
  <c r="Q32" i="20"/>
  <c r="P32" i="20"/>
  <c r="O32" i="20"/>
  <c r="G32" i="20"/>
  <c r="F32" i="20"/>
  <c r="E32" i="20"/>
  <c r="A32" i="20"/>
  <c r="A72" i="20" s="1"/>
  <c r="X31" i="20"/>
  <c r="W31" i="20"/>
  <c r="V31" i="20"/>
  <c r="R31" i="20"/>
  <c r="Q31" i="20"/>
  <c r="P31" i="20"/>
  <c r="O31" i="20"/>
  <c r="G31" i="20"/>
  <c r="F31" i="20"/>
  <c r="E31" i="20"/>
  <c r="A31" i="20"/>
  <c r="A71" i="20" s="1"/>
  <c r="X30" i="20"/>
  <c r="W30" i="20"/>
  <c r="V30" i="20"/>
  <c r="R30" i="20"/>
  <c r="Q30" i="20"/>
  <c r="P30" i="20"/>
  <c r="O30" i="20"/>
  <c r="G30" i="20"/>
  <c r="F30" i="20"/>
  <c r="E30" i="20"/>
  <c r="A30" i="20"/>
  <c r="K70" i="20" s="1"/>
  <c r="X29" i="20"/>
  <c r="W29" i="20"/>
  <c r="V29" i="20"/>
  <c r="R29" i="20"/>
  <c r="Q29" i="20"/>
  <c r="P29" i="20"/>
  <c r="O29" i="20"/>
  <c r="G29" i="20"/>
  <c r="F29" i="20"/>
  <c r="E29" i="20"/>
  <c r="A29" i="20"/>
  <c r="A69" i="20" s="1"/>
  <c r="X28" i="20"/>
  <c r="W28" i="20"/>
  <c r="V28" i="20"/>
  <c r="R28" i="20"/>
  <c r="Q28" i="20"/>
  <c r="P28" i="20"/>
  <c r="O28" i="20"/>
  <c r="G28" i="20"/>
  <c r="F28" i="20"/>
  <c r="E28" i="20"/>
  <c r="A28" i="20"/>
  <c r="A68" i="20" s="1"/>
  <c r="X27" i="20"/>
  <c r="W27" i="20"/>
  <c r="V27" i="20"/>
  <c r="R27" i="20"/>
  <c r="Q27" i="20"/>
  <c r="P27" i="20"/>
  <c r="O27" i="20"/>
  <c r="G27" i="20"/>
  <c r="F27" i="20"/>
  <c r="E27" i="20"/>
  <c r="A27" i="20"/>
  <c r="A67" i="20" s="1"/>
  <c r="X26" i="20"/>
  <c r="W26" i="20"/>
  <c r="V26" i="20"/>
  <c r="R26" i="20"/>
  <c r="Q26" i="20"/>
  <c r="P26" i="20"/>
  <c r="O26" i="20"/>
  <c r="G26" i="20"/>
  <c r="F26" i="20"/>
  <c r="E26" i="20"/>
  <c r="A26" i="20"/>
  <c r="A66" i="20" s="1"/>
  <c r="X25" i="20"/>
  <c r="W25" i="20"/>
  <c r="V25" i="20"/>
  <c r="R25" i="20"/>
  <c r="Q25" i="20"/>
  <c r="P25" i="20"/>
  <c r="O25" i="20"/>
  <c r="G25" i="20"/>
  <c r="F25" i="20"/>
  <c r="E25" i="20"/>
  <c r="A25" i="20"/>
  <c r="A65" i="20" s="1"/>
  <c r="X24" i="20"/>
  <c r="W24" i="20"/>
  <c r="V24" i="20"/>
  <c r="R24" i="20"/>
  <c r="Q24" i="20"/>
  <c r="P24" i="20"/>
  <c r="O24" i="20"/>
  <c r="G24" i="20"/>
  <c r="F24" i="20"/>
  <c r="E24" i="20"/>
  <c r="A24" i="20"/>
  <c r="A64" i="20" s="1"/>
  <c r="X23" i="20"/>
  <c r="W23" i="20"/>
  <c r="V23" i="20"/>
  <c r="R23" i="20"/>
  <c r="Q23" i="20"/>
  <c r="P23" i="20"/>
  <c r="O23" i="20"/>
  <c r="G23" i="20"/>
  <c r="F23" i="20"/>
  <c r="E23" i="20"/>
  <c r="A23" i="20"/>
  <c r="A63" i="20" s="1"/>
  <c r="X22" i="20"/>
  <c r="W22" i="20"/>
  <c r="V22" i="20"/>
  <c r="R22" i="20"/>
  <c r="Q22" i="20"/>
  <c r="P22" i="20"/>
  <c r="O22" i="20"/>
  <c r="G22" i="20"/>
  <c r="F22" i="20"/>
  <c r="E22" i="20"/>
  <c r="A22" i="20"/>
  <c r="K62" i="20" s="1"/>
  <c r="X21" i="20"/>
  <c r="W21" i="20"/>
  <c r="V21" i="20"/>
  <c r="R21" i="20"/>
  <c r="Q21" i="20"/>
  <c r="P21" i="20"/>
  <c r="O21" i="20"/>
  <c r="G21" i="20"/>
  <c r="F21" i="20"/>
  <c r="E21" i="20"/>
  <c r="A21" i="20"/>
  <c r="A61" i="20" s="1"/>
  <c r="X20" i="20"/>
  <c r="W20" i="20"/>
  <c r="V20" i="20"/>
  <c r="R20" i="20"/>
  <c r="Q20" i="20"/>
  <c r="P20" i="20"/>
  <c r="O20" i="20"/>
  <c r="G20" i="20"/>
  <c r="F20" i="20"/>
  <c r="E20" i="20"/>
  <c r="A20" i="20"/>
  <c r="A60" i="20" s="1"/>
  <c r="X19" i="20"/>
  <c r="W19" i="20"/>
  <c r="V19" i="20"/>
  <c r="R19" i="20"/>
  <c r="Q19" i="20"/>
  <c r="P19" i="20"/>
  <c r="O19" i="20"/>
  <c r="G19" i="20"/>
  <c r="F19" i="20"/>
  <c r="E19" i="20"/>
  <c r="A19" i="20"/>
  <c r="A59" i="20" s="1"/>
  <c r="X18" i="20"/>
  <c r="W18" i="20"/>
  <c r="V18" i="20"/>
  <c r="R18" i="20"/>
  <c r="Q18" i="20"/>
  <c r="P18" i="20"/>
  <c r="O18" i="20"/>
  <c r="G18" i="20"/>
  <c r="F18" i="20"/>
  <c r="E18" i="20"/>
  <c r="A18" i="20"/>
  <c r="K58" i="20" s="1"/>
  <c r="X17" i="20"/>
  <c r="W17" i="20"/>
  <c r="V17" i="20"/>
  <c r="R17" i="20"/>
  <c r="Q17" i="20"/>
  <c r="P17" i="20"/>
  <c r="O17" i="20"/>
  <c r="G17" i="20"/>
  <c r="F17" i="20"/>
  <c r="E17" i="20"/>
  <c r="A17" i="20"/>
  <c r="A57" i="20" s="1"/>
  <c r="X16" i="20"/>
  <c r="W16" i="20"/>
  <c r="V16" i="20"/>
  <c r="R16" i="20"/>
  <c r="Q16" i="20"/>
  <c r="P16" i="20"/>
  <c r="O16" i="20"/>
  <c r="G16" i="20"/>
  <c r="F16" i="20"/>
  <c r="E16" i="20"/>
  <c r="A16" i="20"/>
  <c r="A56" i="20" s="1"/>
  <c r="X15" i="20"/>
  <c r="W15" i="20"/>
  <c r="V15" i="20"/>
  <c r="R15" i="20"/>
  <c r="Q15" i="20"/>
  <c r="P15" i="20"/>
  <c r="O15" i="20"/>
  <c r="G15" i="20"/>
  <c r="F15" i="20"/>
  <c r="E15" i="20"/>
  <c r="A15" i="20"/>
  <c r="A55" i="20" s="1"/>
  <c r="X14" i="20"/>
  <c r="W14" i="20"/>
  <c r="V14" i="20"/>
  <c r="R14" i="20"/>
  <c r="Q14" i="20"/>
  <c r="P14" i="20"/>
  <c r="O14" i="20"/>
  <c r="G14" i="20"/>
  <c r="F14" i="20"/>
  <c r="E14" i="20"/>
  <c r="A14" i="20"/>
  <c r="A54" i="20" s="1"/>
  <c r="X13" i="20"/>
  <c r="W13" i="20"/>
  <c r="V13" i="20"/>
  <c r="R13" i="20"/>
  <c r="Q13" i="20"/>
  <c r="P13" i="20"/>
  <c r="O13" i="20"/>
  <c r="G13" i="20"/>
  <c r="F13" i="20"/>
  <c r="E13" i="20"/>
  <c r="A13" i="20"/>
  <c r="A53" i="20" s="1"/>
  <c r="X12" i="20"/>
  <c r="W12" i="20"/>
  <c r="V12" i="20"/>
  <c r="R12" i="20"/>
  <c r="Q12" i="20"/>
  <c r="P12" i="20"/>
  <c r="O12" i="20"/>
  <c r="G12" i="20"/>
  <c r="F12" i="20"/>
  <c r="E12" i="20"/>
  <c r="A12" i="20"/>
  <c r="A52" i="20" s="1"/>
  <c r="X11" i="20"/>
  <c r="W11" i="20"/>
  <c r="V11" i="20"/>
  <c r="R11" i="20"/>
  <c r="Q11" i="20"/>
  <c r="P11" i="20"/>
  <c r="O11" i="20"/>
  <c r="I11" i="20"/>
  <c r="G11" i="20"/>
  <c r="F11" i="20"/>
  <c r="E11" i="20"/>
  <c r="A11" i="20"/>
  <c r="A51" i="20" s="1"/>
  <c r="X10" i="20"/>
  <c r="W10" i="20"/>
  <c r="V10" i="20"/>
  <c r="R10" i="20"/>
  <c r="Q10" i="20"/>
  <c r="P10" i="20"/>
  <c r="O10" i="20"/>
  <c r="I10" i="20"/>
  <c r="G10" i="20"/>
  <c r="F10" i="20"/>
  <c r="E10" i="20"/>
  <c r="A10" i="20"/>
  <c r="A50" i="20" s="1"/>
  <c r="X9" i="20"/>
  <c r="W9" i="20"/>
  <c r="V9" i="20"/>
  <c r="R9" i="20"/>
  <c r="Q9" i="20"/>
  <c r="P9" i="20"/>
  <c r="O9" i="20"/>
  <c r="I9" i="20"/>
  <c r="G9" i="20"/>
  <c r="F9" i="20"/>
  <c r="E9" i="20"/>
  <c r="A9" i="20"/>
  <c r="A49" i="20" s="1"/>
  <c r="X8" i="20"/>
  <c r="W8" i="20"/>
  <c r="V8" i="20"/>
  <c r="R8" i="20"/>
  <c r="Q8" i="20"/>
  <c r="P8" i="20"/>
  <c r="O8" i="20"/>
  <c r="I8" i="20"/>
  <c r="G8" i="20"/>
  <c r="F8" i="20"/>
  <c r="E8" i="20"/>
  <c r="A8" i="20"/>
  <c r="A48" i="20" s="1"/>
  <c r="X7" i="20"/>
  <c r="W7" i="20"/>
  <c r="V7" i="20"/>
  <c r="R7" i="20"/>
  <c r="Q7" i="20"/>
  <c r="P7" i="20"/>
  <c r="O7" i="20"/>
  <c r="I7" i="20"/>
  <c r="G7" i="20"/>
  <c r="F7" i="20"/>
  <c r="E7" i="20"/>
  <c r="A7" i="20"/>
  <c r="A47" i="20" s="1"/>
  <c r="X6" i="20"/>
  <c r="W6" i="20"/>
  <c r="V6" i="20"/>
  <c r="R6" i="20"/>
  <c r="Q6" i="20"/>
  <c r="P6" i="20"/>
  <c r="O6" i="20"/>
  <c r="I6" i="20"/>
  <c r="G6" i="20"/>
  <c r="F6" i="20"/>
  <c r="E6" i="20"/>
  <c r="A6" i="20"/>
  <c r="A46" i="20" s="1"/>
  <c r="X5" i="20"/>
  <c r="W5" i="20"/>
  <c r="V5" i="20"/>
  <c r="R5" i="20"/>
  <c r="Q5" i="20"/>
  <c r="P5" i="20"/>
  <c r="O5" i="20"/>
  <c r="I5" i="20"/>
  <c r="G5" i="20"/>
  <c r="F5" i="20"/>
  <c r="E5" i="20"/>
  <c r="A5" i="20"/>
  <c r="A45" i="20" s="1"/>
  <c r="X4" i="20"/>
  <c r="W4" i="20"/>
  <c r="V4" i="20"/>
  <c r="R4" i="20"/>
  <c r="Q4" i="20"/>
  <c r="P4" i="20"/>
  <c r="O4" i="20"/>
  <c r="G4" i="20"/>
  <c r="F4" i="20"/>
  <c r="E4" i="20"/>
  <c r="A4" i="20"/>
  <c r="A44" i="20" s="1"/>
  <c r="X3" i="20"/>
  <c r="W3" i="20"/>
  <c r="V3" i="20"/>
  <c r="R3" i="20"/>
  <c r="Q3" i="20"/>
  <c r="P3" i="20"/>
  <c r="O3" i="20"/>
  <c r="C38" i="22"/>
  <c r="A35" i="22"/>
  <c r="K75" i="22" s="1"/>
  <c r="X34" i="22"/>
  <c r="G35" i="22" s="1"/>
  <c r="W34" i="22"/>
  <c r="F35" i="22" s="1"/>
  <c r="V34" i="22"/>
  <c r="E35" i="22" s="1"/>
  <c r="R34" i="22"/>
  <c r="Q34" i="22"/>
  <c r="P34" i="22"/>
  <c r="O34" i="22"/>
  <c r="A34" i="22"/>
  <c r="K74" i="22" s="1"/>
  <c r="X33" i="22"/>
  <c r="G34" i="22" s="1"/>
  <c r="W33" i="22"/>
  <c r="F34" i="22" s="1"/>
  <c r="V33" i="22"/>
  <c r="E34" i="22" s="1"/>
  <c r="R33" i="22"/>
  <c r="Q33" i="22"/>
  <c r="P33" i="22"/>
  <c r="O33" i="22"/>
  <c r="A33" i="22"/>
  <c r="K73" i="22" s="1"/>
  <c r="X32" i="22"/>
  <c r="G33" i="22" s="1"/>
  <c r="W32" i="22"/>
  <c r="F33" i="22" s="1"/>
  <c r="V32" i="22"/>
  <c r="E33" i="22" s="1"/>
  <c r="R32" i="22"/>
  <c r="Q32" i="22"/>
  <c r="P32" i="22"/>
  <c r="O32" i="22"/>
  <c r="A32" i="22"/>
  <c r="K72" i="22" s="1"/>
  <c r="X31" i="22"/>
  <c r="G32" i="22" s="1"/>
  <c r="W31" i="22"/>
  <c r="F32" i="22" s="1"/>
  <c r="V31" i="22"/>
  <c r="E32" i="22" s="1"/>
  <c r="R31" i="22"/>
  <c r="Q31" i="22"/>
  <c r="P31" i="22"/>
  <c r="O31" i="22"/>
  <c r="A31" i="22"/>
  <c r="K71" i="22" s="1"/>
  <c r="X30" i="22"/>
  <c r="G31" i="22" s="1"/>
  <c r="W30" i="22"/>
  <c r="F31" i="22" s="1"/>
  <c r="V30" i="22"/>
  <c r="E31" i="22" s="1"/>
  <c r="R30" i="22"/>
  <c r="Q30" i="22"/>
  <c r="P30" i="22"/>
  <c r="O30" i="22"/>
  <c r="A30" i="22"/>
  <c r="K70" i="22" s="1"/>
  <c r="X29" i="22"/>
  <c r="G30" i="22" s="1"/>
  <c r="W29" i="22"/>
  <c r="F30" i="22" s="1"/>
  <c r="V29" i="22"/>
  <c r="E30" i="22" s="1"/>
  <c r="R29" i="22"/>
  <c r="Q29" i="22"/>
  <c r="P29" i="22"/>
  <c r="O29" i="22"/>
  <c r="A29" i="22"/>
  <c r="K69" i="22" s="1"/>
  <c r="X28" i="22"/>
  <c r="G29" i="22" s="1"/>
  <c r="W28" i="22"/>
  <c r="F29" i="22" s="1"/>
  <c r="V28" i="22"/>
  <c r="E29" i="22" s="1"/>
  <c r="R28" i="22"/>
  <c r="Q28" i="22"/>
  <c r="P28" i="22"/>
  <c r="O28" i="22"/>
  <c r="A28" i="22"/>
  <c r="A68" i="22" s="1"/>
  <c r="X27" i="22"/>
  <c r="G28" i="22" s="1"/>
  <c r="W27" i="22"/>
  <c r="F28" i="22" s="1"/>
  <c r="V27" i="22"/>
  <c r="E28" i="22" s="1"/>
  <c r="R27" i="22"/>
  <c r="Q27" i="22"/>
  <c r="P27" i="22"/>
  <c r="O27" i="22"/>
  <c r="A27" i="22"/>
  <c r="K67" i="22" s="1"/>
  <c r="X26" i="22"/>
  <c r="G27" i="22" s="1"/>
  <c r="W26" i="22"/>
  <c r="F27" i="22" s="1"/>
  <c r="V26" i="22"/>
  <c r="E27" i="22" s="1"/>
  <c r="R26" i="22"/>
  <c r="Q26" i="22"/>
  <c r="P26" i="22"/>
  <c r="O26" i="22"/>
  <c r="A26" i="22"/>
  <c r="K66" i="22" s="1"/>
  <c r="X25" i="22"/>
  <c r="G26" i="22" s="1"/>
  <c r="W25" i="22"/>
  <c r="F26" i="22" s="1"/>
  <c r="V25" i="22"/>
  <c r="E26" i="22" s="1"/>
  <c r="R25" i="22"/>
  <c r="Q25" i="22"/>
  <c r="P25" i="22"/>
  <c r="O25" i="22"/>
  <c r="A25" i="22"/>
  <c r="K65" i="22" s="1"/>
  <c r="X24" i="22"/>
  <c r="G25" i="22" s="1"/>
  <c r="W24" i="22"/>
  <c r="F25" i="22" s="1"/>
  <c r="V24" i="22"/>
  <c r="E25" i="22" s="1"/>
  <c r="R24" i="22"/>
  <c r="Q24" i="22"/>
  <c r="P24" i="22"/>
  <c r="O24" i="22"/>
  <c r="A24" i="22"/>
  <c r="K64" i="22" s="1"/>
  <c r="X23" i="22"/>
  <c r="G24" i="22" s="1"/>
  <c r="W23" i="22"/>
  <c r="F24" i="22" s="1"/>
  <c r="V23" i="22"/>
  <c r="E24" i="22" s="1"/>
  <c r="R23" i="22"/>
  <c r="Q23" i="22"/>
  <c r="P23" i="22"/>
  <c r="O23" i="22"/>
  <c r="A23" i="22"/>
  <c r="K63" i="22" s="1"/>
  <c r="X22" i="22"/>
  <c r="G23" i="22" s="1"/>
  <c r="W22" i="22"/>
  <c r="F23" i="22" s="1"/>
  <c r="V22" i="22"/>
  <c r="E23" i="22" s="1"/>
  <c r="R22" i="22"/>
  <c r="Q22" i="22"/>
  <c r="P22" i="22"/>
  <c r="O22" i="22"/>
  <c r="A22" i="22"/>
  <c r="K62" i="22" s="1"/>
  <c r="X21" i="22"/>
  <c r="G22" i="22" s="1"/>
  <c r="W21" i="22"/>
  <c r="F22" i="22" s="1"/>
  <c r="V21" i="22"/>
  <c r="E22" i="22" s="1"/>
  <c r="R21" i="22"/>
  <c r="Q21" i="22"/>
  <c r="P21" i="22"/>
  <c r="O21" i="22"/>
  <c r="A21" i="22"/>
  <c r="K61" i="22" s="1"/>
  <c r="X20" i="22"/>
  <c r="G21" i="22" s="1"/>
  <c r="W20" i="22"/>
  <c r="F21" i="22" s="1"/>
  <c r="V20" i="22"/>
  <c r="E21" i="22" s="1"/>
  <c r="R20" i="22"/>
  <c r="Q20" i="22"/>
  <c r="P20" i="22"/>
  <c r="O20" i="22"/>
  <c r="A20" i="22"/>
  <c r="A60" i="22" s="1"/>
  <c r="X19" i="22"/>
  <c r="G20" i="22" s="1"/>
  <c r="W19" i="22"/>
  <c r="F20" i="22" s="1"/>
  <c r="V19" i="22"/>
  <c r="E20" i="22" s="1"/>
  <c r="R19" i="22"/>
  <c r="Q19" i="22"/>
  <c r="P19" i="22"/>
  <c r="O19" i="22"/>
  <c r="A19" i="22"/>
  <c r="K59" i="22" s="1"/>
  <c r="X18" i="22"/>
  <c r="G19" i="22" s="1"/>
  <c r="W18" i="22"/>
  <c r="F19" i="22" s="1"/>
  <c r="V18" i="22"/>
  <c r="E19" i="22" s="1"/>
  <c r="R18" i="22"/>
  <c r="Q18" i="22"/>
  <c r="P18" i="22"/>
  <c r="O18" i="22"/>
  <c r="A18" i="22"/>
  <c r="K58" i="22" s="1"/>
  <c r="X17" i="22"/>
  <c r="G18" i="22" s="1"/>
  <c r="W17" i="22"/>
  <c r="F18" i="22" s="1"/>
  <c r="V17" i="22"/>
  <c r="E18" i="22" s="1"/>
  <c r="R17" i="22"/>
  <c r="Q17" i="22"/>
  <c r="P17" i="22"/>
  <c r="O17" i="22"/>
  <c r="A17" i="22"/>
  <c r="K57" i="22" s="1"/>
  <c r="X16" i="22"/>
  <c r="G17" i="22" s="1"/>
  <c r="W16" i="22"/>
  <c r="F17" i="22" s="1"/>
  <c r="V16" i="22"/>
  <c r="E17" i="22" s="1"/>
  <c r="R16" i="22"/>
  <c r="Q16" i="22"/>
  <c r="P16" i="22"/>
  <c r="O16" i="22"/>
  <c r="A16" i="22"/>
  <c r="K56" i="22" s="1"/>
  <c r="X15" i="22"/>
  <c r="G16" i="22" s="1"/>
  <c r="W15" i="22"/>
  <c r="F16" i="22" s="1"/>
  <c r="V15" i="22"/>
  <c r="E16" i="22" s="1"/>
  <c r="R15" i="22"/>
  <c r="Q15" i="22"/>
  <c r="P15" i="22"/>
  <c r="O15" i="22"/>
  <c r="A15" i="22"/>
  <c r="K55" i="22" s="1"/>
  <c r="X14" i="22"/>
  <c r="G15" i="22" s="1"/>
  <c r="W14" i="22"/>
  <c r="F15" i="22" s="1"/>
  <c r="V14" i="22"/>
  <c r="E15" i="22" s="1"/>
  <c r="R14" i="22"/>
  <c r="Q14" i="22"/>
  <c r="P14" i="22"/>
  <c r="O14" i="22"/>
  <c r="A14" i="22"/>
  <c r="K54" i="22" s="1"/>
  <c r="X13" i="22"/>
  <c r="G14" i="22" s="1"/>
  <c r="W13" i="22"/>
  <c r="F14" i="22" s="1"/>
  <c r="V13" i="22"/>
  <c r="E14" i="22" s="1"/>
  <c r="R13" i="22"/>
  <c r="Q13" i="22"/>
  <c r="P13" i="22"/>
  <c r="O13" i="22"/>
  <c r="A13" i="22"/>
  <c r="K53" i="22" s="1"/>
  <c r="X12" i="22"/>
  <c r="G13" i="22" s="1"/>
  <c r="W12" i="22"/>
  <c r="F13" i="22" s="1"/>
  <c r="V12" i="22"/>
  <c r="E13" i="22" s="1"/>
  <c r="R12" i="22"/>
  <c r="Q12" i="22"/>
  <c r="P12" i="22"/>
  <c r="O12" i="22"/>
  <c r="A12" i="22"/>
  <c r="K52" i="22" s="1"/>
  <c r="X11" i="22"/>
  <c r="G12" i="22" s="1"/>
  <c r="W11" i="22"/>
  <c r="F12" i="22" s="1"/>
  <c r="V11" i="22"/>
  <c r="E12" i="22" s="1"/>
  <c r="R11" i="22"/>
  <c r="Q11" i="22"/>
  <c r="P11" i="22"/>
  <c r="O11" i="22"/>
  <c r="A11" i="22"/>
  <c r="A51" i="22" s="1"/>
  <c r="X10" i="22"/>
  <c r="G11" i="22" s="1"/>
  <c r="W10" i="22"/>
  <c r="F11" i="22" s="1"/>
  <c r="V10" i="22"/>
  <c r="E11" i="22" s="1"/>
  <c r="R10" i="22"/>
  <c r="Q10" i="22"/>
  <c r="P10" i="22"/>
  <c r="O10" i="22"/>
  <c r="A10" i="22"/>
  <c r="K50" i="22" s="1"/>
  <c r="X9" i="22"/>
  <c r="G10" i="22" s="1"/>
  <c r="W9" i="22"/>
  <c r="F10" i="22" s="1"/>
  <c r="V9" i="22"/>
  <c r="E10" i="22" s="1"/>
  <c r="R9" i="22"/>
  <c r="Q9" i="22"/>
  <c r="P9" i="22"/>
  <c r="O9" i="22"/>
  <c r="A9" i="22"/>
  <c r="A49" i="22" s="1"/>
  <c r="X8" i="22"/>
  <c r="G9" i="22" s="1"/>
  <c r="W8" i="22"/>
  <c r="F9" i="22" s="1"/>
  <c r="V8" i="22"/>
  <c r="E9" i="22" s="1"/>
  <c r="R8" i="22"/>
  <c r="Q8" i="22"/>
  <c r="P8" i="22"/>
  <c r="O8" i="22"/>
  <c r="A8" i="22"/>
  <c r="K48" i="22" s="1"/>
  <c r="X7" i="22"/>
  <c r="G8" i="22" s="1"/>
  <c r="W7" i="22"/>
  <c r="F8" i="22" s="1"/>
  <c r="V7" i="22"/>
  <c r="E8" i="22" s="1"/>
  <c r="R7" i="22"/>
  <c r="Q7" i="22"/>
  <c r="P7" i="22"/>
  <c r="O7" i="22"/>
  <c r="A7" i="22"/>
  <c r="K47" i="22" s="1"/>
  <c r="X6" i="22"/>
  <c r="G7" i="22" s="1"/>
  <c r="W6" i="22"/>
  <c r="F7" i="22" s="1"/>
  <c r="V6" i="22"/>
  <c r="E7" i="22" s="1"/>
  <c r="R6" i="22"/>
  <c r="Q6" i="22"/>
  <c r="P6" i="22"/>
  <c r="O6" i="22"/>
  <c r="A6" i="22"/>
  <c r="A46" i="22" s="1"/>
  <c r="X5" i="22"/>
  <c r="G6" i="22" s="1"/>
  <c r="W5" i="22"/>
  <c r="F6" i="22" s="1"/>
  <c r="V5" i="22"/>
  <c r="E6" i="22" s="1"/>
  <c r="R5" i="22"/>
  <c r="Q5" i="22"/>
  <c r="P5" i="22"/>
  <c r="O5" i="22"/>
  <c r="A5" i="22"/>
  <c r="A45" i="22" s="1"/>
  <c r="X4" i="22"/>
  <c r="G5" i="22" s="1"/>
  <c r="W4" i="22"/>
  <c r="F5" i="22" s="1"/>
  <c r="V4" i="22"/>
  <c r="E5" i="22" s="1"/>
  <c r="R4" i="22"/>
  <c r="Q4" i="22"/>
  <c r="P4" i="22"/>
  <c r="O4" i="22"/>
  <c r="A4" i="22"/>
  <c r="K44" i="22" s="1"/>
  <c r="X3" i="22"/>
  <c r="G4" i="22" s="1"/>
  <c r="W3" i="22"/>
  <c r="F4" i="22" s="1"/>
  <c r="V3" i="22"/>
  <c r="E4" i="22" s="1"/>
  <c r="R3" i="22"/>
  <c r="Q3" i="22"/>
  <c r="P3" i="22"/>
  <c r="O3" i="22"/>
  <c r="A35" i="15"/>
  <c r="K75" i="15" s="1"/>
  <c r="X34" i="15"/>
  <c r="G35" i="15" s="1"/>
  <c r="W34" i="15"/>
  <c r="F35" i="15" s="1"/>
  <c r="V34" i="15"/>
  <c r="E35" i="15" s="1"/>
  <c r="R34" i="15"/>
  <c r="Q34" i="15"/>
  <c r="D35" i="15" s="1"/>
  <c r="P34" i="15"/>
  <c r="C35" i="15" s="1"/>
  <c r="O34" i="15"/>
  <c r="B35" i="15" s="1"/>
  <c r="A34" i="15"/>
  <c r="A74" i="15" s="1"/>
  <c r="X33" i="15"/>
  <c r="G34" i="15" s="1"/>
  <c r="W33" i="15"/>
  <c r="F34" i="15" s="1"/>
  <c r="V33" i="15"/>
  <c r="E34" i="15" s="1"/>
  <c r="R33" i="15"/>
  <c r="Q33" i="15"/>
  <c r="D34" i="15" s="1"/>
  <c r="P33" i="15"/>
  <c r="C34" i="15" s="1"/>
  <c r="O33" i="15"/>
  <c r="B34" i="15" s="1"/>
  <c r="A33" i="15"/>
  <c r="K73" i="15" s="1"/>
  <c r="X32" i="15"/>
  <c r="G33" i="15" s="1"/>
  <c r="W32" i="15"/>
  <c r="F33" i="15" s="1"/>
  <c r="V32" i="15"/>
  <c r="E33" i="15" s="1"/>
  <c r="R32" i="15"/>
  <c r="Q32" i="15"/>
  <c r="D33" i="15" s="1"/>
  <c r="P32" i="15"/>
  <c r="C33" i="15" s="1"/>
  <c r="O32" i="15"/>
  <c r="B33" i="15" s="1"/>
  <c r="A32" i="15"/>
  <c r="A72" i="15" s="1"/>
  <c r="X31" i="15"/>
  <c r="G32" i="15" s="1"/>
  <c r="W31" i="15"/>
  <c r="F32" i="15" s="1"/>
  <c r="V31" i="15"/>
  <c r="E32" i="15" s="1"/>
  <c r="R31" i="15"/>
  <c r="Q31" i="15"/>
  <c r="D32" i="15" s="1"/>
  <c r="P31" i="15"/>
  <c r="C32" i="15" s="1"/>
  <c r="O31" i="15"/>
  <c r="B32" i="15" s="1"/>
  <c r="A31" i="15"/>
  <c r="K71" i="15" s="1"/>
  <c r="X30" i="15"/>
  <c r="G31" i="15" s="1"/>
  <c r="W30" i="15"/>
  <c r="F31" i="15" s="1"/>
  <c r="V30" i="15"/>
  <c r="E31" i="15" s="1"/>
  <c r="R30" i="15"/>
  <c r="Q30" i="15"/>
  <c r="D31" i="15" s="1"/>
  <c r="P30" i="15"/>
  <c r="C31" i="15" s="1"/>
  <c r="O30" i="15"/>
  <c r="B31" i="15" s="1"/>
  <c r="A30" i="15"/>
  <c r="A70" i="15" s="1"/>
  <c r="X29" i="15"/>
  <c r="G30" i="15" s="1"/>
  <c r="W29" i="15"/>
  <c r="F30" i="15" s="1"/>
  <c r="V29" i="15"/>
  <c r="E30" i="15" s="1"/>
  <c r="R29" i="15"/>
  <c r="Q29" i="15"/>
  <c r="D30" i="15" s="1"/>
  <c r="P29" i="15"/>
  <c r="C30" i="15" s="1"/>
  <c r="O29" i="15"/>
  <c r="B30" i="15" s="1"/>
  <c r="A29" i="15"/>
  <c r="K69" i="15" s="1"/>
  <c r="X28" i="15"/>
  <c r="G29" i="15" s="1"/>
  <c r="W28" i="15"/>
  <c r="F29" i="15" s="1"/>
  <c r="V28" i="15"/>
  <c r="E29" i="15" s="1"/>
  <c r="R28" i="15"/>
  <c r="Q28" i="15"/>
  <c r="D29" i="15" s="1"/>
  <c r="P28" i="15"/>
  <c r="C29" i="15" s="1"/>
  <c r="O28" i="15"/>
  <c r="B29" i="15" s="1"/>
  <c r="A28" i="15"/>
  <c r="A68" i="15" s="1"/>
  <c r="X27" i="15"/>
  <c r="G28" i="15" s="1"/>
  <c r="W27" i="15"/>
  <c r="F28" i="15" s="1"/>
  <c r="V27" i="15"/>
  <c r="E28" i="15" s="1"/>
  <c r="R27" i="15"/>
  <c r="Q27" i="15"/>
  <c r="D28" i="15" s="1"/>
  <c r="P27" i="15"/>
  <c r="C28" i="15" s="1"/>
  <c r="O27" i="15"/>
  <c r="B28" i="15" s="1"/>
  <c r="A27" i="15"/>
  <c r="K67" i="15" s="1"/>
  <c r="X26" i="15"/>
  <c r="G27" i="15" s="1"/>
  <c r="W26" i="15"/>
  <c r="F27" i="15" s="1"/>
  <c r="V26" i="15"/>
  <c r="E27" i="15" s="1"/>
  <c r="R26" i="15"/>
  <c r="Q26" i="15"/>
  <c r="D27" i="15" s="1"/>
  <c r="P26" i="15"/>
  <c r="C27" i="15" s="1"/>
  <c r="O26" i="15"/>
  <c r="B27" i="15" s="1"/>
  <c r="A26" i="15"/>
  <c r="A66" i="15" s="1"/>
  <c r="X25" i="15"/>
  <c r="G26" i="15" s="1"/>
  <c r="W25" i="15"/>
  <c r="F26" i="15" s="1"/>
  <c r="V25" i="15"/>
  <c r="E26" i="15" s="1"/>
  <c r="R25" i="15"/>
  <c r="Q25" i="15"/>
  <c r="D26" i="15" s="1"/>
  <c r="P25" i="15"/>
  <c r="C26" i="15" s="1"/>
  <c r="O25" i="15"/>
  <c r="B26" i="15" s="1"/>
  <c r="A25" i="15"/>
  <c r="K65" i="15" s="1"/>
  <c r="X24" i="15"/>
  <c r="G25" i="15" s="1"/>
  <c r="W24" i="15"/>
  <c r="F25" i="15" s="1"/>
  <c r="V24" i="15"/>
  <c r="E25" i="15" s="1"/>
  <c r="R24" i="15"/>
  <c r="Q24" i="15"/>
  <c r="D25" i="15" s="1"/>
  <c r="P24" i="15"/>
  <c r="C25" i="15" s="1"/>
  <c r="O24" i="15"/>
  <c r="B25" i="15" s="1"/>
  <c r="A24" i="15"/>
  <c r="A64" i="15" s="1"/>
  <c r="X23" i="15"/>
  <c r="G24" i="15" s="1"/>
  <c r="W23" i="15"/>
  <c r="F24" i="15" s="1"/>
  <c r="V23" i="15"/>
  <c r="E24" i="15" s="1"/>
  <c r="R23" i="15"/>
  <c r="Q23" i="15"/>
  <c r="D24" i="15" s="1"/>
  <c r="P23" i="15"/>
  <c r="C24" i="15" s="1"/>
  <c r="O23" i="15"/>
  <c r="B24" i="15" s="1"/>
  <c r="A23" i="15"/>
  <c r="K63" i="15" s="1"/>
  <c r="X22" i="15"/>
  <c r="G23" i="15" s="1"/>
  <c r="W22" i="15"/>
  <c r="F23" i="15" s="1"/>
  <c r="V22" i="15"/>
  <c r="E23" i="15" s="1"/>
  <c r="R22" i="15"/>
  <c r="Q22" i="15"/>
  <c r="D23" i="15" s="1"/>
  <c r="P22" i="15"/>
  <c r="C23" i="15" s="1"/>
  <c r="O22" i="15"/>
  <c r="B23" i="15" s="1"/>
  <c r="A22" i="15"/>
  <c r="A62" i="15" s="1"/>
  <c r="X21" i="15"/>
  <c r="G22" i="15" s="1"/>
  <c r="W21" i="15"/>
  <c r="F22" i="15" s="1"/>
  <c r="V21" i="15"/>
  <c r="E22" i="15" s="1"/>
  <c r="R21" i="15"/>
  <c r="Q21" i="15"/>
  <c r="D22" i="15" s="1"/>
  <c r="P21" i="15"/>
  <c r="C22" i="15" s="1"/>
  <c r="O21" i="15"/>
  <c r="B22" i="15" s="1"/>
  <c r="A21" i="15"/>
  <c r="K61" i="15" s="1"/>
  <c r="X20" i="15"/>
  <c r="G21" i="15" s="1"/>
  <c r="W20" i="15"/>
  <c r="F21" i="15" s="1"/>
  <c r="P61" i="15" s="1"/>
  <c r="V20" i="15"/>
  <c r="E21" i="15" s="1"/>
  <c r="R20" i="15"/>
  <c r="Q20" i="15"/>
  <c r="D21" i="15" s="1"/>
  <c r="P20" i="15"/>
  <c r="C21" i="15" s="1"/>
  <c r="O20" i="15"/>
  <c r="B21" i="15" s="1"/>
  <c r="A20" i="15"/>
  <c r="A60" i="15" s="1"/>
  <c r="X19" i="15"/>
  <c r="G20" i="15" s="1"/>
  <c r="W19" i="15"/>
  <c r="F20" i="15" s="1"/>
  <c r="V19" i="15"/>
  <c r="E20" i="15" s="1"/>
  <c r="R19" i="15"/>
  <c r="Q19" i="15"/>
  <c r="D20" i="15" s="1"/>
  <c r="P19" i="15"/>
  <c r="C20" i="15" s="1"/>
  <c r="O19" i="15"/>
  <c r="B20" i="15" s="1"/>
  <c r="A19" i="15"/>
  <c r="K59" i="15" s="1"/>
  <c r="X18" i="15"/>
  <c r="G19" i="15" s="1"/>
  <c r="W18" i="15"/>
  <c r="F19" i="15" s="1"/>
  <c r="P59" i="15" s="1"/>
  <c r="V18" i="15"/>
  <c r="E19" i="15" s="1"/>
  <c r="R18" i="15"/>
  <c r="Q18" i="15"/>
  <c r="D19" i="15" s="1"/>
  <c r="P18" i="15"/>
  <c r="C19" i="15" s="1"/>
  <c r="O18" i="15"/>
  <c r="B19" i="15" s="1"/>
  <c r="A18" i="15"/>
  <c r="A58" i="15" s="1"/>
  <c r="X17" i="15"/>
  <c r="G18" i="15" s="1"/>
  <c r="W17" i="15"/>
  <c r="F18" i="15" s="1"/>
  <c r="V17" i="15"/>
  <c r="E18" i="15" s="1"/>
  <c r="R17" i="15"/>
  <c r="Q17" i="15"/>
  <c r="D18" i="15" s="1"/>
  <c r="P17" i="15"/>
  <c r="C18" i="15" s="1"/>
  <c r="O17" i="15"/>
  <c r="B18" i="15" s="1"/>
  <c r="A17" i="15"/>
  <c r="K57" i="15" s="1"/>
  <c r="X16" i="15"/>
  <c r="G17" i="15" s="1"/>
  <c r="W16" i="15"/>
  <c r="F17" i="15" s="1"/>
  <c r="V16" i="15"/>
  <c r="E17" i="15" s="1"/>
  <c r="R16" i="15"/>
  <c r="Q16" i="15"/>
  <c r="D17" i="15" s="1"/>
  <c r="P16" i="15"/>
  <c r="C17" i="15" s="1"/>
  <c r="O16" i="15"/>
  <c r="B17" i="15" s="1"/>
  <c r="A16" i="15"/>
  <c r="A56" i="15" s="1"/>
  <c r="X15" i="15"/>
  <c r="G16" i="15" s="1"/>
  <c r="W15" i="15"/>
  <c r="F16" i="15" s="1"/>
  <c r="V15" i="15"/>
  <c r="E16" i="15" s="1"/>
  <c r="R15" i="15"/>
  <c r="Q15" i="15"/>
  <c r="D16" i="15" s="1"/>
  <c r="P15" i="15"/>
  <c r="C16" i="15" s="1"/>
  <c r="O15" i="15"/>
  <c r="B16" i="15" s="1"/>
  <c r="A15" i="15"/>
  <c r="K55" i="15" s="1"/>
  <c r="X14" i="15"/>
  <c r="G15" i="15" s="1"/>
  <c r="W14" i="15"/>
  <c r="F15" i="15" s="1"/>
  <c r="V14" i="15"/>
  <c r="E15" i="15" s="1"/>
  <c r="R14" i="15"/>
  <c r="Q14" i="15"/>
  <c r="D15" i="15" s="1"/>
  <c r="P14" i="15"/>
  <c r="C15" i="15" s="1"/>
  <c r="O14" i="15"/>
  <c r="B15" i="15" s="1"/>
  <c r="A14" i="15"/>
  <c r="A54" i="15" s="1"/>
  <c r="X13" i="15"/>
  <c r="G14" i="15" s="1"/>
  <c r="W13" i="15"/>
  <c r="F14" i="15" s="1"/>
  <c r="V13" i="15"/>
  <c r="E14" i="15" s="1"/>
  <c r="R13" i="15"/>
  <c r="Q13" i="15"/>
  <c r="D14" i="15" s="1"/>
  <c r="P13" i="15"/>
  <c r="C14" i="15" s="1"/>
  <c r="O13" i="15"/>
  <c r="B14" i="15" s="1"/>
  <c r="A13" i="15"/>
  <c r="K53" i="15" s="1"/>
  <c r="X12" i="15"/>
  <c r="G13" i="15" s="1"/>
  <c r="W12" i="15"/>
  <c r="F13" i="15" s="1"/>
  <c r="P53" i="15" s="1"/>
  <c r="V12" i="15"/>
  <c r="E13" i="15" s="1"/>
  <c r="R12" i="15"/>
  <c r="Q12" i="15"/>
  <c r="D13" i="15" s="1"/>
  <c r="P12" i="15"/>
  <c r="C13" i="15" s="1"/>
  <c r="O12" i="15"/>
  <c r="B13" i="15" s="1"/>
  <c r="A12" i="15"/>
  <c r="A52" i="15" s="1"/>
  <c r="X11" i="15"/>
  <c r="G12" i="15" s="1"/>
  <c r="W11" i="15"/>
  <c r="F12" i="15" s="1"/>
  <c r="V11" i="15"/>
  <c r="E12" i="15" s="1"/>
  <c r="R11" i="15"/>
  <c r="Q11" i="15"/>
  <c r="D12" i="15" s="1"/>
  <c r="P11" i="15"/>
  <c r="C12" i="15" s="1"/>
  <c r="O11" i="15"/>
  <c r="B12" i="15" s="1"/>
  <c r="A11" i="15"/>
  <c r="K51" i="15" s="1"/>
  <c r="X10" i="15"/>
  <c r="G11" i="15" s="1"/>
  <c r="W10" i="15"/>
  <c r="F11" i="15" s="1"/>
  <c r="V10" i="15"/>
  <c r="E11" i="15" s="1"/>
  <c r="R10" i="15"/>
  <c r="Q10" i="15"/>
  <c r="D11" i="15" s="1"/>
  <c r="P10" i="15"/>
  <c r="C11" i="15" s="1"/>
  <c r="O10" i="15"/>
  <c r="B11" i="15" s="1"/>
  <c r="A10" i="15"/>
  <c r="A50" i="15" s="1"/>
  <c r="X9" i="15"/>
  <c r="G10" i="15" s="1"/>
  <c r="W9" i="15"/>
  <c r="F10" i="15" s="1"/>
  <c r="V9" i="15"/>
  <c r="E10" i="15" s="1"/>
  <c r="R9" i="15"/>
  <c r="Q9" i="15"/>
  <c r="D10" i="15" s="1"/>
  <c r="P9" i="15"/>
  <c r="C10" i="15" s="1"/>
  <c r="O9" i="15"/>
  <c r="B10" i="15" s="1"/>
  <c r="A9" i="15"/>
  <c r="K49" i="15" s="1"/>
  <c r="X8" i="15"/>
  <c r="G9" i="15" s="1"/>
  <c r="W8" i="15"/>
  <c r="F9" i="15" s="1"/>
  <c r="V8" i="15"/>
  <c r="E9" i="15" s="1"/>
  <c r="R8" i="15"/>
  <c r="Q8" i="15"/>
  <c r="D9" i="15" s="1"/>
  <c r="P8" i="15"/>
  <c r="C9" i="15" s="1"/>
  <c r="O8" i="15"/>
  <c r="B9" i="15" s="1"/>
  <c r="A8" i="15"/>
  <c r="A48" i="15" s="1"/>
  <c r="X7" i="15"/>
  <c r="G8" i="15" s="1"/>
  <c r="W7" i="15"/>
  <c r="F8" i="15" s="1"/>
  <c r="V7" i="15"/>
  <c r="E8" i="15" s="1"/>
  <c r="R7" i="15"/>
  <c r="Q7" i="15"/>
  <c r="D8" i="15" s="1"/>
  <c r="P7" i="15"/>
  <c r="C8" i="15" s="1"/>
  <c r="O7" i="15"/>
  <c r="B8" i="15" s="1"/>
  <c r="A7" i="15"/>
  <c r="K47" i="15" s="1"/>
  <c r="X6" i="15"/>
  <c r="G7" i="15" s="1"/>
  <c r="W6" i="15"/>
  <c r="F7" i="15" s="1"/>
  <c r="V6" i="15"/>
  <c r="E7" i="15" s="1"/>
  <c r="R6" i="15"/>
  <c r="Q6" i="15"/>
  <c r="D7" i="15" s="1"/>
  <c r="P6" i="15"/>
  <c r="C7" i="15" s="1"/>
  <c r="O6" i="15"/>
  <c r="B7" i="15" s="1"/>
  <c r="A6" i="15"/>
  <c r="A46" i="15" s="1"/>
  <c r="X5" i="15"/>
  <c r="G6" i="15" s="1"/>
  <c r="W5" i="15"/>
  <c r="F6" i="15" s="1"/>
  <c r="V5" i="15"/>
  <c r="E6" i="15" s="1"/>
  <c r="R5" i="15"/>
  <c r="Q5" i="15"/>
  <c r="D6" i="15" s="1"/>
  <c r="P5" i="15"/>
  <c r="C6" i="15" s="1"/>
  <c r="O5" i="15"/>
  <c r="B6" i="15" s="1"/>
  <c r="A5" i="15"/>
  <c r="K45" i="15" s="1"/>
  <c r="X4" i="15"/>
  <c r="G5" i="15" s="1"/>
  <c r="W4" i="15"/>
  <c r="F5" i="15" s="1"/>
  <c r="V4" i="15"/>
  <c r="E5" i="15" s="1"/>
  <c r="R4" i="15"/>
  <c r="Q4" i="15"/>
  <c r="D5" i="15" s="1"/>
  <c r="P4" i="15"/>
  <c r="C5" i="15" s="1"/>
  <c r="O4" i="15"/>
  <c r="B5" i="15" s="1"/>
  <c r="G4" i="15"/>
  <c r="A4" i="15"/>
  <c r="A44" i="15" s="1"/>
  <c r="X3" i="15"/>
  <c r="W3" i="15"/>
  <c r="F4" i="15" s="1"/>
  <c r="V3" i="15"/>
  <c r="E4" i="15" s="1"/>
  <c r="R3" i="15"/>
  <c r="Q3" i="15"/>
  <c r="D4" i="15" s="1"/>
  <c r="P3" i="15"/>
  <c r="C4" i="15" s="1"/>
  <c r="O3" i="15"/>
  <c r="B4" i="15" s="1"/>
  <c r="A35" i="14"/>
  <c r="A75" i="14" s="1"/>
  <c r="X34" i="14"/>
  <c r="G35" i="14" s="1"/>
  <c r="W34" i="14"/>
  <c r="F35" i="14" s="1"/>
  <c r="V34" i="14"/>
  <c r="E35" i="14" s="1"/>
  <c r="R34" i="14"/>
  <c r="Q34" i="14"/>
  <c r="D35" i="14" s="1"/>
  <c r="P34" i="14"/>
  <c r="C35" i="14" s="1"/>
  <c r="O34" i="14"/>
  <c r="B35" i="14" s="1"/>
  <c r="A34" i="14"/>
  <c r="K74" i="14" s="1"/>
  <c r="X33" i="14"/>
  <c r="G34" i="14" s="1"/>
  <c r="W33" i="14"/>
  <c r="F34" i="14" s="1"/>
  <c r="V33" i="14"/>
  <c r="E34" i="14" s="1"/>
  <c r="R33" i="14"/>
  <c r="Q33" i="14"/>
  <c r="D34" i="14" s="1"/>
  <c r="P33" i="14"/>
  <c r="C34" i="14" s="1"/>
  <c r="O33" i="14"/>
  <c r="B34" i="14" s="1"/>
  <c r="A33" i="14"/>
  <c r="A73" i="14" s="1"/>
  <c r="X32" i="14"/>
  <c r="G33" i="14" s="1"/>
  <c r="W32" i="14"/>
  <c r="F33" i="14" s="1"/>
  <c r="V32" i="14"/>
  <c r="E33" i="14" s="1"/>
  <c r="R32" i="14"/>
  <c r="Q32" i="14"/>
  <c r="D33" i="14" s="1"/>
  <c r="P32" i="14"/>
  <c r="C33" i="14" s="1"/>
  <c r="O32" i="14"/>
  <c r="B33" i="14" s="1"/>
  <c r="A32" i="14"/>
  <c r="K72" i="14" s="1"/>
  <c r="X31" i="14"/>
  <c r="G32" i="14" s="1"/>
  <c r="W31" i="14"/>
  <c r="F32" i="14" s="1"/>
  <c r="V31" i="14"/>
  <c r="E32" i="14" s="1"/>
  <c r="R31" i="14"/>
  <c r="Q31" i="14"/>
  <c r="D32" i="14" s="1"/>
  <c r="P31" i="14"/>
  <c r="C32" i="14" s="1"/>
  <c r="O31" i="14"/>
  <c r="B32" i="14" s="1"/>
  <c r="A31" i="14"/>
  <c r="A71" i="14" s="1"/>
  <c r="X30" i="14"/>
  <c r="G31" i="14" s="1"/>
  <c r="W30" i="14"/>
  <c r="F31" i="14" s="1"/>
  <c r="V30" i="14"/>
  <c r="E31" i="14" s="1"/>
  <c r="R30" i="14"/>
  <c r="Q30" i="14"/>
  <c r="D31" i="14" s="1"/>
  <c r="P30" i="14"/>
  <c r="C31" i="14" s="1"/>
  <c r="O30" i="14"/>
  <c r="B31" i="14" s="1"/>
  <c r="A30" i="14"/>
  <c r="K70" i="14" s="1"/>
  <c r="X29" i="14"/>
  <c r="G30" i="14" s="1"/>
  <c r="W29" i="14"/>
  <c r="F30" i="14" s="1"/>
  <c r="V29" i="14"/>
  <c r="E30" i="14" s="1"/>
  <c r="R29" i="14"/>
  <c r="Q29" i="14"/>
  <c r="D30" i="14" s="1"/>
  <c r="P29" i="14"/>
  <c r="C30" i="14" s="1"/>
  <c r="O29" i="14"/>
  <c r="B30" i="14" s="1"/>
  <c r="A29" i="14"/>
  <c r="A69" i="14" s="1"/>
  <c r="X28" i="14"/>
  <c r="G29" i="14" s="1"/>
  <c r="W28" i="14"/>
  <c r="F29" i="14" s="1"/>
  <c r="V28" i="14"/>
  <c r="E29" i="14" s="1"/>
  <c r="R28" i="14"/>
  <c r="Q28" i="14"/>
  <c r="D29" i="14" s="1"/>
  <c r="P28" i="14"/>
  <c r="C29" i="14" s="1"/>
  <c r="O28" i="14"/>
  <c r="B29" i="14" s="1"/>
  <c r="A28" i="14"/>
  <c r="K68" i="14" s="1"/>
  <c r="X27" i="14"/>
  <c r="G28" i="14" s="1"/>
  <c r="W27" i="14"/>
  <c r="F28" i="14" s="1"/>
  <c r="V27" i="14"/>
  <c r="E28" i="14" s="1"/>
  <c r="R27" i="14"/>
  <c r="Q27" i="14"/>
  <c r="D28" i="14" s="1"/>
  <c r="P27" i="14"/>
  <c r="C28" i="14" s="1"/>
  <c r="O27" i="14"/>
  <c r="B28" i="14" s="1"/>
  <c r="A27" i="14"/>
  <c r="A67" i="14" s="1"/>
  <c r="X26" i="14"/>
  <c r="G27" i="14" s="1"/>
  <c r="W26" i="14"/>
  <c r="F27" i="14" s="1"/>
  <c r="V26" i="14"/>
  <c r="E27" i="14" s="1"/>
  <c r="R26" i="14"/>
  <c r="Q26" i="14"/>
  <c r="D27" i="14" s="1"/>
  <c r="P26" i="14"/>
  <c r="C27" i="14" s="1"/>
  <c r="O26" i="14"/>
  <c r="B27" i="14" s="1"/>
  <c r="A26" i="14"/>
  <c r="K66" i="14" s="1"/>
  <c r="X25" i="14"/>
  <c r="G26" i="14" s="1"/>
  <c r="W25" i="14"/>
  <c r="F26" i="14" s="1"/>
  <c r="V25" i="14"/>
  <c r="E26" i="14" s="1"/>
  <c r="R25" i="14"/>
  <c r="Q25" i="14"/>
  <c r="D26" i="14" s="1"/>
  <c r="P25" i="14"/>
  <c r="C26" i="14" s="1"/>
  <c r="O25" i="14"/>
  <c r="B26" i="14" s="1"/>
  <c r="A25" i="14"/>
  <c r="A65" i="14" s="1"/>
  <c r="X24" i="14"/>
  <c r="G25" i="14" s="1"/>
  <c r="W24" i="14"/>
  <c r="F25" i="14" s="1"/>
  <c r="V24" i="14"/>
  <c r="E25" i="14" s="1"/>
  <c r="R24" i="14"/>
  <c r="Q24" i="14"/>
  <c r="D25" i="14" s="1"/>
  <c r="P24" i="14"/>
  <c r="C25" i="14" s="1"/>
  <c r="O24" i="14"/>
  <c r="B25" i="14" s="1"/>
  <c r="A24" i="14"/>
  <c r="K64" i="14" s="1"/>
  <c r="X23" i="14"/>
  <c r="G24" i="14" s="1"/>
  <c r="W23" i="14"/>
  <c r="F24" i="14" s="1"/>
  <c r="V23" i="14"/>
  <c r="E24" i="14" s="1"/>
  <c r="R23" i="14"/>
  <c r="Q23" i="14"/>
  <c r="D24" i="14" s="1"/>
  <c r="P23" i="14"/>
  <c r="C24" i="14" s="1"/>
  <c r="O23" i="14"/>
  <c r="B24" i="14" s="1"/>
  <c r="A23" i="14"/>
  <c r="A63" i="14" s="1"/>
  <c r="X22" i="14"/>
  <c r="G23" i="14" s="1"/>
  <c r="W22" i="14"/>
  <c r="F23" i="14" s="1"/>
  <c r="V22" i="14"/>
  <c r="E23" i="14" s="1"/>
  <c r="R22" i="14"/>
  <c r="Q22" i="14"/>
  <c r="D23" i="14" s="1"/>
  <c r="P22" i="14"/>
  <c r="C23" i="14" s="1"/>
  <c r="O22" i="14"/>
  <c r="B23" i="14" s="1"/>
  <c r="A22" i="14"/>
  <c r="K62" i="14" s="1"/>
  <c r="X21" i="14"/>
  <c r="G22" i="14" s="1"/>
  <c r="W21" i="14"/>
  <c r="F22" i="14" s="1"/>
  <c r="V21" i="14"/>
  <c r="E22" i="14" s="1"/>
  <c r="R21" i="14"/>
  <c r="Q21" i="14"/>
  <c r="D22" i="14" s="1"/>
  <c r="P21" i="14"/>
  <c r="C22" i="14" s="1"/>
  <c r="O21" i="14"/>
  <c r="B22" i="14" s="1"/>
  <c r="A21" i="14"/>
  <c r="A61" i="14" s="1"/>
  <c r="X20" i="14"/>
  <c r="G21" i="14" s="1"/>
  <c r="W20" i="14"/>
  <c r="F21" i="14" s="1"/>
  <c r="V20" i="14"/>
  <c r="E21" i="14" s="1"/>
  <c r="R20" i="14"/>
  <c r="Q20" i="14"/>
  <c r="D21" i="14" s="1"/>
  <c r="P20" i="14"/>
  <c r="C21" i="14" s="1"/>
  <c r="O20" i="14"/>
  <c r="B21" i="14" s="1"/>
  <c r="A20" i="14"/>
  <c r="K60" i="14" s="1"/>
  <c r="X19" i="14"/>
  <c r="G20" i="14" s="1"/>
  <c r="W19" i="14"/>
  <c r="F20" i="14" s="1"/>
  <c r="V19" i="14"/>
  <c r="E20" i="14" s="1"/>
  <c r="R19" i="14"/>
  <c r="Q19" i="14"/>
  <c r="D20" i="14" s="1"/>
  <c r="P19" i="14"/>
  <c r="C20" i="14" s="1"/>
  <c r="O19" i="14"/>
  <c r="B20" i="14" s="1"/>
  <c r="A19" i="14"/>
  <c r="A59" i="14" s="1"/>
  <c r="X18" i="14"/>
  <c r="G19" i="14" s="1"/>
  <c r="W18" i="14"/>
  <c r="F19" i="14" s="1"/>
  <c r="V18" i="14"/>
  <c r="E19" i="14" s="1"/>
  <c r="R18" i="14"/>
  <c r="Q18" i="14"/>
  <c r="D19" i="14" s="1"/>
  <c r="P18" i="14"/>
  <c r="C19" i="14" s="1"/>
  <c r="O18" i="14"/>
  <c r="B19" i="14" s="1"/>
  <c r="A18" i="14"/>
  <c r="K58" i="14" s="1"/>
  <c r="X17" i="14"/>
  <c r="G18" i="14" s="1"/>
  <c r="W17" i="14"/>
  <c r="F18" i="14" s="1"/>
  <c r="V17" i="14"/>
  <c r="E18" i="14" s="1"/>
  <c r="R17" i="14"/>
  <c r="Q17" i="14"/>
  <c r="D18" i="14" s="1"/>
  <c r="P17" i="14"/>
  <c r="C18" i="14" s="1"/>
  <c r="O17" i="14"/>
  <c r="B18" i="14" s="1"/>
  <c r="A17" i="14"/>
  <c r="A57" i="14" s="1"/>
  <c r="X16" i="14"/>
  <c r="G17" i="14" s="1"/>
  <c r="W16" i="14"/>
  <c r="F17" i="14" s="1"/>
  <c r="V16" i="14"/>
  <c r="E17" i="14" s="1"/>
  <c r="R16" i="14"/>
  <c r="Q16" i="14"/>
  <c r="D17" i="14" s="1"/>
  <c r="P16" i="14"/>
  <c r="C17" i="14" s="1"/>
  <c r="O16" i="14"/>
  <c r="B17" i="14" s="1"/>
  <c r="A16" i="14"/>
  <c r="K56" i="14" s="1"/>
  <c r="X15" i="14"/>
  <c r="G16" i="14" s="1"/>
  <c r="W15" i="14"/>
  <c r="F16" i="14" s="1"/>
  <c r="V15" i="14"/>
  <c r="E16" i="14" s="1"/>
  <c r="R15" i="14"/>
  <c r="Q15" i="14"/>
  <c r="D16" i="14" s="1"/>
  <c r="P15" i="14"/>
  <c r="C16" i="14" s="1"/>
  <c r="O15" i="14"/>
  <c r="B16" i="14" s="1"/>
  <c r="A15" i="14"/>
  <c r="A55" i="14" s="1"/>
  <c r="X14" i="14"/>
  <c r="G15" i="14" s="1"/>
  <c r="W14" i="14"/>
  <c r="F15" i="14" s="1"/>
  <c r="V14" i="14"/>
  <c r="E15" i="14" s="1"/>
  <c r="R14" i="14"/>
  <c r="Q14" i="14"/>
  <c r="D15" i="14" s="1"/>
  <c r="P14" i="14"/>
  <c r="C15" i="14" s="1"/>
  <c r="O14" i="14"/>
  <c r="B15" i="14" s="1"/>
  <c r="A14" i="14"/>
  <c r="K54" i="14" s="1"/>
  <c r="X13" i="14"/>
  <c r="G14" i="14" s="1"/>
  <c r="W13" i="14"/>
  <c r="F14" i="14" s="1"/>
  <c r="V13" i="14"/>
  <c r="E14" i="14" s="1"/>
  <c r="R13" i="14"/>
  <c r="Q13" i="14"/>
  <c r="D14" i="14" s="1"/>
  <c r="P13" i="14"/>
  <c r="C14" i="14" s="1"/>
  <c r="O13" i="14"/>
  <c r="B14" i="14" s="1"/>
  <c r="A13" i="14"/>
  <c r="A53" i="14" s="1"/>
  <c r="X12" i="14"/>
  <c r="G13" i="14" s="1"/>
  <c r="W12" i="14"/>
  <c r="F13" i="14" s="1"/>
  <c r="V12" i="14"/>
  <c r="E13" i="14" s="1"/>
  <c r="R12" i="14"/>
  <c r="Q12" i="14"/>
  <c r="D13" i="14" s="1"/>
  <c r="P12" i="14"/>
  <c r="C13" i="14" s="1"/>
  <c r="O12" i="14"/>
  <c r="B13" i="14" s="1"/>
  <c r="A12" i="14"/>
  <c r="K52" i="14" s="1"/>
  <c r="X11" i="14"/>
  <c r="G12" i="14" s="1"/>
  <c r="W11" i="14"/>
  <c r="F12" i="14" s="1"/>
  <c r="V11" i="14"/>
  <c r="E12" i="14" s="1"/>
  <c r="R11" i="14"/>
  <c r="Q11" i="14"/>
  <c r="D12" i="14" s="1"/>
  <c r="P11" i="14"/>
  <c r="C12" i="14" s="1"/>
  <c r="O11" i="14"/>
  <c r="B12" i="14" s="1"/>
  <c r="A11" i="14"/>
  <c r="A51" i="14" s="1"/>
  <c r="X10" i="14"/>
  <c r="G11" i="14" s="1"/>
  <c r="W10" i="14"/>
  <c r="F11" i="14" s="1"/>
  <c r="V10" i="14"/>
  <c r="E11" i="14" s="1"/>
  <c r="R10" i="14"/>
  <c r="Q10" i="14"/>
  <c r="D11" i="14" s="1"/>
  <c r="P10" i="14"/>
  <c r="C11" i="14" s="1"/>
  <c r="O10" i="14"/>
  <c r="B11" i="14" s="1"/>
  <c r="A10" i="14"/>
  <c r="K50" i="14" s="1"/>
  <c r="X9" i="14"/>
  <c r="G10" i="14" s="1"/>
  <c r="W9" i="14"/>
  <c r="F10" i="14" s="1"/>
  <c r="V9" i="14"/>
  <c r="E10" i="14" s="1"/>
  <c r="R9" i="14"/>
  <c r="Q9" i="14"/>
  <c r="D10" i="14" s="1"/>
  <c r="P9" i="14"/>
  <c r="C10" i="14" s="1"/>
  <c r="O9" i="14"/>
  <c r="B10" i="14" s="1"/>
  <c r="A9" i="14"/>
  <c r="A49" i="14" s="1"/>
  <c r="X8" i="14"/>
  <c r="G9" i="14" s="1"/>
  <c r="W8" i="14"/>
  <c r="F9" i="14" s="1"/>
  <c r="V8" i="14"/>
  <c r="E9" i="14" s="1"/>
  <c r="R8" i="14"/>
  <c r="Q8" i="14"/>
  <c r="D9" i="14" s="1"/>
  <c r="P8" i="14"/>
  <c r="C9" i="14" s="1"/>
  <c r="O8" i="14"/>
  <c r="B9" i="14" s="1"/>
  <c r="A8" i="14"/>
  <c r="K48" i="14" s="1"/>
  <c r="X7" i="14"/>
  <c r="G8" i="14" s="1"/>
  <c r="W7" i="14"/>
  <c r="F8" i="14" s="1"/>
  <c r="V7" i="14"/>
  <c r="E8" i="14" s="1"/>
  <c r="R7" i="14"/>
  <c r="Q7" i="14"/>
  <c r="D8" i="14" s="1"/>
  <c r="P7" i="14"/>
  <c r="C8" i="14" s="1"/>
  <c r="O7" i="14"/>
  <c r="B8" i="14" s="1"/>
  <c r="A7" i="14"/>
  <c r="A47" i="14" s="1"/>
  <c r="X6" i="14"/>
  <c r="G7" i="14" s="1"/>
  <c r="W6" i="14"/>
  <c r="F7" i="14" s="1"/>
  <c r="V6" i="14"/>
  <c r="E7" i="14" s="1"/>
  <c r="R6" i="14"/>
  <c r="Q6" i="14"/>
  <c r="D7" i="14" s="1"/>
  <c r="P6" i="14"/>
  <c r="C7" i="14" s="1"/>
  <c r="O6" i="14"/>
  <c r="B7" i="14" s="1"/>
  <c r="A6" i="14"/>
  <c r="K46" i="14" s="1"/>
  <c r="X5" i="14"/>
  <c r="G6" i="14" s="1"/>
  <c r="W5" i="14"/>
  <c r="F6" i="14" s="1"/>
  <c r="V5" i="14"/>
  <c r="E6" i="14" s="1"/>
  <c r="R5" i="14"/>
  <c r="Q5" i="14"/>
  <c r="D6" i="14" s="1"/>
  <c r="P5" i="14"/>
  <c r="C6" i="14" s="1"/>
  <c r="O5" i="14"/>
  <c r="B6" i="14" s="1"/>
  <c r="A5" i="14"/>
  <c r="A45" i="14" s="1"/>
  <c r="X4" i="14"/>
  <c r="G5" i="14" s="1"/>
  <c r="W4" i="14"/>
  <c r="F5" i="14" s="1"/>
  <c r="V4" i="14"/>
  <c r="E5" i="14" s="1"/>
  <c r="R4" i="14"/>
  <c r="Q4" i="14"/>
  <c r="D5" i="14" s="1"/>
  <c r="P4" i="14"/>
  <c r="C5" i="14" s="1"/>
  <c r="O4" i="14"/>
  <c r="B5" i="14" s="1"/>
  <c r="A4" i="14"/>
  <c r="K44" i="14" s="1"/>
  <c r="X3" i="14"/>
  <c r="G4" i="14" s="1"/>
  <c r="W3" i="14"/>
  <c r="F4" i="14" s="1"/>
  <c r="V3" i="14"/>
  <c r="E4" i="14" s="1"/>
  <c r="R3" i="14"/>
  <c r="Q3" i="14"/>
  <c r="D4" i="14" s="1"/>
  <c r="P3" i="14"/>
  <c r="C4" i="14" s="1"/>
  <c r="O3" i="14"/>
  <c r="B4" i="14" s="1"/>
  <c r="A35" i="11"/>
  <c r="K75" i="11" s="1"/>
  <c r="X34" i="11"/>
  <c r="G35" i="11" s="1"/>
  <c r="W34" i="11"/>
  <c r="F35" i="11" s="1"/>
  <c r="V34" i="11"/>
  <c r="E35" i="11" s="1"/>
  <c r="R34" i="11"/>
  <c r="Q34" i="11"/>
  <c r="D35" i="11" s="1"/>
  <c r="P34" i="11"/>
  <c r="C35" i="11" s="1"/>
  <c r="O34" i="11"/>
  <c r="B35" i="11" s="1"/>
  <c r="A34" i="11"/>
  <c r="A74" i="11" s="1"/>
  <c r="X33" i="11"/>
  <c r="G34" i="11" s="1"/>
  <c r="W33" i="11"/>
  <c r="F34" i="11" s="1"/>
  <c r="F74" i="11" s="1"/>
  <c r="V33" i="11"/>
  <c r="E34" i="11" s="1"/>
  <c r="R33" i="11"/>
  <c r="Q33" i="11"/>
  <c r="D34" i="11" s="1"/>
  <c r="P33" i="11"/>
  <c r="C34" i="11" s="1"/>
  <c r="O33" i="11"/>
  <c r="B34" i="11" s="1"/>
  <c r="F33" i="11"/>
  <c r="A33" i="11"/>
  <c r="K73" i="11" s="1"/>
  <c r="X32" i="11"/>
  <c r="G33" i="11" s="1"/>
  <c r="W32" i="11"/>
  <c r="V32" i="11"/>
  <c r="E33" i="11" s="1"/>
  <c r="R32" i="11"/>
  <c r="Q32" i="11"/>
  <c r="D33" i="11" s="1"/>
  <c r="P32" i="11"/>
  <c r="C33" i="11" s="1"/>
  <c r="O32" i="11"/>
  <c r="B33" i="11" s="1"/>
  <c r="A32" i="11"/>
  <c r="A72" i="11" s="1"/>
  <c r="X31" i="11"/>
  <c r="G32" i="11" s="1"/>
  <c r="W31" i="11"/>
  <c r="F32" i="11" s="1"/>
  <c r="V31" i="11"/>
  <c r="E32" i="11" s="1"/>
  <c r="R31" i="11"/>
  <c r="Q31" i="11"/>
  <c r="D32" i="11" s="1"/>
  <c r="P31" i="11"/>
  <c r="C32" i="11" s="1"/>
  <c r="O31" i="11"/>
  <c r="B32" i="11" s="1"/>
  <c r="A31" i="11"/>
  <c r="K71" i="11" s="1"/>
  <c r="X30" i="11"/>
  <c r="G31" i="11" s="1"/>
  <c r="W30" i="11"/>
  <c r="F31" i="11" s="1"/>
  <c r="V30" i="11"/>
  <c r="E31" i="11" s="1"/>
  <c r="R30" i="11"/>
  <c r="Q30" i="11"/>
  <c r="D31" i="11" s="1"/>
  <c r="P30" i="11"/>
  <c r="C31" i="11" s="1"/>
  <c r="O30" i="11"/>
  <c r="B31" i="11" s="1"/>
  <c r="A30" i="11"/>
  <c r="A70" i="11" s="1"/>
  <c r="X29" i="11"/>
  <c r="G30" i="11" s="1"/>
  <c r="W29" i="11"/>
  <c r="F30" i="11" s="1"/>
  <c r="V29" i="11"/>
  <c r="E30" i="11" s="1"/>
  <c r="R29" i="11"/>
  <c r="Q29" i="11"/>
  <c r="D30" i="11" s="1"/>
  <c r="P29" i="11"/>
  <c r="C30" i="11" s="1"/>
  <c r="O29" i="11"/>
  <c r="B30" i="11" s="1"/>
  <c r="A29" i="11"/>
  <c r="K69" i="11" s="1"/>
  <c r="X28" i="11"/>
  <c r="G29" i="11" s="1"/>
  <c r="W28" i="11"/>
  <c r="F29" i="11" s="1"/>
  <c r="V28" i="11"/>
  <c r="E29" i="11" s="1"/>
  <c r="R28" i="11"/>
  <c r="Q28" i="11"/>
  <c r="D29" i="11" s="1"/>
  <c r="P28" i="11"/>
  <c r="C29" i="11" s="1"/>
  <c r="O28" i="11"/>
  <c r="B29" i="11" s="1"/>
  <c r="A28" i="11"/>
  <c r="A68" i="11" s="1"/>
  <c r="X27" i="11"/>
  <c r="G28" i="11" s="1"/>
  <c r="W27" i="11"/>
  <c r="F28" i="11" s="1"/>
  <c r="V27" i="11"/>
  <c r="E28" i="11" s="1"/>
  <c r="R27" i="11"/>
  <c r="Q27" i="11"/>
  <c r="D28" i="11" s="1"/>
  <c r="P27" i="11"/>
  <c r="C28" i="11" s="1"/>
  <c r="O27" i="11"/>
  <c r="B28" i="11" s="1"/>
  <c r="F27" i="11"/>
  <c r="A27" i="11"/>
  <c r="K67" i="11" s="1"/>
  <c r="X26" i="11"/>
  <c r="G27" i="11" s="1"/>
  <c r="W26" i="11"/>
  <c r="V26" i="11"/>
  <c r="E27" i="11" s="1"/>
  <c r="R26" i="11"/>
  <c r="Q26" i="11"/>
  <c r="D27" i="11" s="1"/>
  <c r="P26" i="11"/>
  <c r="C27" i="11" s="1"/>
  <c r="O26" i="11"/>
  <c r="B27" i="11" s="1"/>
  <c r="A26" i="11"/>
  <c r="A66" i="11" s="1"/>
  <c r="X25" i="11"/>
  <c r="G26" i="11" s="1"/>
  <c r="W25" i="11"/>
  <c r="F26" i="11" s="1"/>
  <c r="V25" i="11"/>
  <c r="E26" i="11" s="1"/>
  <c r="R25" i="11"/>
  <c r="Q25" i="11"/>
  <c r="D26" i="11" s="1"/>
  <c r="P25" i="11"/>
  <c r="C26" i="11" s="1"/>
  <c r="O25" i="11"/>
  <c r="B26" i="11" s="1"/>
  <c r="A25" i="11"/>
  <c r="K65" i="11" s="1"/>
  <c r="X24" i="11"/>
  <c r="G25" i="11" s="1"/>
  <c r="W24" i="11"/>
  <c r="F25" i="11" s="1"/>
  <c r="V24" i="11"/>
  <c r="E25" i="11" s="1"/>
  <c r="R24" i="11"/>
  <c r="Q24" i="11"/>
  <c r="D25" i="11" s="1"/>
  <c r="P24" i="11"/>
  <c r="C25" i="11" s="1"/>
  <c r="O24" i="11"/>
  <c r="B25" i="11" s="1"/>
  <c r="A24" i="11"/>
  <c r="A64" i="11" s="1"/>
  <c r="X23" i="11"/>
  <c r="G24" i="11" s="1"/>
  <c r="W23" i="11"/>
  <c r="F24" i="11" s="1"/>
  <c r="V23" i="11"/>
  <c r="E24" i="11" s="1"/>
  <c r="R23" i="11"/>
  <c r="Q23" i="11"/>
  <c r="D24" i="11" s="1"/>
  <c r="P23" i="11"/>
  <c r="C24" i="11" s="1"/>
  <c r="O23" i="11"/>
  <c r="B24" i="11" s="1"/>
  <c r="A23" i="11"/>
  <c r="K63" i="11" s="1"/>
  <c r="X22" i="11"/>
  <c r="G23" i="11" s="1"/>
  <c r="W22" i="11"/>
  <c r="F23" i="11" s="1"/>
  <c r="V22" i="11"/>
  <c r="E23" i="11" s="1"/>
  <c r="R22" i="11"/>
  <c r="Q22" i="11"/>
  <c r="D23" i="11" s="1"/>
  <c r="P22" i="11"/>
  <c r="C23" i="11" s="1"/>
  <c r="O22" i="11"/>
  <c r="B23" i="11" s="1"/>
  <c r="A22" i="11"/>
  <c r="A62" i="11" s="1"/>
  <c r="X21" i="11"/>
  <c r="G22" i="11" s="1"/>
  <c r="W21" i="11"/>
  <c r="F22" i="11" s="1"/>
  <c r="F62" i="11" s="1"/>
  <c r="V21" i="11"/>
  <c r="E22" i="11" s="1"/>
  <c r="R21" i="11"/>
  <c r="Q21" i="11"/>
  <c r="D22" i="11" s="1"/>
  <c r="P21" i="11"/>
  <c r="C22" i="11" s="1"/>
  <c r="O21" i="11"/>
  <c r="B22" i="11" s="1"/>
  <c r="F21" i="11"/>
  <c r="A21" i="11"/>
  <c r="K61" i="11" s="1"/>
  <c r="X20" i="11"/>
  <c r="G21" i="11" s="1"/>
  <c r="W20" i="11"/>
  <c r="V20" i="11"/>
  <c r="E21" i="11" s="1"/>
  <c r="R20" i="11"/>
  <c r="Q20" i="11"/>
  <c r="D21" i="11" s="1"/>
  <c r="P20" i="11"/>
  <c r="C21" i="11" s="1"/>
  <c r="O20" i="11"/>
  <c r="B21" i="11" s="1"/>
  <c r="A20" i="11"/>
  <c r="A60" i="11" s="1"/>
  <c r="X19" i="11"/>
  <c r="G20" i="11" s="1"/>
  <c r="W19" i="11"/>
  <c r="F20" i="11" s="1"/>
  <c r="V19" i="11"/>
  <c r="E20" i="11" s="1"/>
  <c r="R19" i="11"/>
  <c r="Q19" i="11"/>
  <c r="D20" i="11" s="1"/>
  <c r="P19" i="11"/>
  <c r="C20" i="11" s="1"/>
  <c r="O19" i="11"/>
  <c r="B20" i="11" s="1"/>
  <c r="A19" i="11"/>
  <c r="K59" i="11" s="1"/>
  <c r="X18" i="11"/>
  <c r="G19" i="11" s="1"/>
  <c r="W18" i="11"/>
  <c r="F19" i="11" s="1"/>
  <c r="V18" i="11"/>
  <c r="E19" i="11" s="1"/>
  <c r="R18" i="11"/>
  <c r="Q18" i="11"/>
  <c r="D19" i="11" s="1"/>
  <c r="P18" i="11"/>
  <c r="C19" i="11" s="1"/>
  <c r="O18" i="11"/>
  <c r="B19" i="11" s="1"/>
  <c r="A18" i="11"/>
  <c r="A58" i="11" s="1"/>
  <c r="X17" i="11"/>
  <c r="G18" i="11" s="1"/>
  <c r="W17" i="11"/>
  <c r="F18" i="11" s="1"/>
  <c r="V17" i="11"/>
  <c r="E18" i="11" s="1"/>
  <c r="R17" i="11"/>
  <c r="Q17" i="11"/>
  <c r="D18" i="11" s="1"/>
  <c r="P17" i="11"/>
  <c r="C18" i="11" s="1"/>
  <c r="O17" i="11"/>
  <c r="B18" i="11" s="1"/>
  <c r="A17" i="11"/>
  <c r="K57" i="11" s="1"/>
  <c r="X16" i="11"/>
  <c r="G17" i="11" s="1"/>
  <c r="W16" i="11"/>
  <c r="F17" i="11" s="1"/>
  <c r="V16" i="11"/>
  <c r="E17" i="11" s="1"/>
  <c r="R16" i="11"/>
  <c r="Q16" i="11"/>
  <c r="D17" i="11" s="1"/>
  <c r="P16" i="11"/>
  <c r="C17" i="11" s="1"/>
  <c r="O16" i="11"/>
  <c r="B17" i="11" s="1"/>
  <c r="A16" i="11"/>
  <c r="A56" i="11" s="1"/>
  <c r="X15" i="11"/>
  <c r="G16" i="11" s="1"/>
  <c r="W15" i="11"/>
  <c r="F16" i="11" s="1"/>
  <c r="V15" i="11"/>
  <c r="E16" i="11" s="1"/>
  <c r="R15" i="11"/>
  <c r="Q15" i="11"/>
  <c r="D16" i="11" s="1"/>
  <c r="P15" i="11"/>
  <c r="C16" i="11" s="1"/>
  <c r="O15" i="11"/>
  <c r="B16" i="11" s="1"/>
  <c r="A15" i="11"/>
  <c r="K55" i="11" s="1"/>
  <c r="X14" i="11"/>
  <c r="G15" i="11" s="1"/>
  <c r="W14" i="11"/>
  <c r="F15" i="11" s="1"/>
  <c r="V14" i="11"/>
  <c r="E15" i="11" s="1"/>
  <c r="R14" i="11"/>
  <c r="Q14" i="11"/>
  <c r="D15" i="11" s="1"/>
  <c r="P14" i="11"/>
  <c r="C15" i="11" s="1"/>
  <c r="O14" i="11"/>
  <c r="B15" i="11" s="1"/>
  <c r="A14" i="11"/>
  <c r="A54" i="11" s="1"/>
  <c r="X13" i="11"/>
  <c r="G14" i="11" s="1"/>
  <c r="W13" i="11"/>
  <c r="F14" i="11" s="1"/>
  <c r="V13" i="11"/>
  <c r="E14" i="11" s="1"/>
  <c r="R13" i="11"/>
  <c r="Q13" i="11"/>
  <c r="D14" i="11" s="1"/>
  <c r="P13" i="11"/>
  <c r="C14" i="11" s="1"/>
  <c r="O13" i="11"/>
  <c r="B14" i="11" s="1"/>
  <c r="A13" i="11"/>
  <c r="K53" i="11" s="1"/>
  <c r="X12" i="11"/>
  <c r="G13" i="11" s="1"/>
  <c r="W12" i="11"/>
  <c r="F13" i="11" s="1"/>
  <c r="V12" i="11"/>
  <c r="E13" i="11" s="1"/>
  <c r="R12" i="11"/>
  <c r="Q12" i="11"/>
  <c r="D13" i="11" s="1"/>
  <c r="P12" i="11"/>
  <c r="C13" i="11" s="1"/>
  <c r="O12" i="11"/>
  <c r="B13" i="11" s="1"/>
  <c r="A12" i="11"/>
  <c r="A52" i="11" s="1"/>
  <c r="X11" i="11"/>
  <c r="G12" i="11" s="1"/>
  <c r="W11" i="11"/>
  <c r="F12" i="11" s="1"/>
  <c r="V11" i="11"/>
  <c r="E12" i="11" s="1"/>
  <c r="R11" i="11"/>
  <c r="Q11" i="11"/>
  <c r="D12" i="11" s="1"/>
  <c r="P11" i="11"/>
  <c r="C12" i="11" s="1"/>
  <c r="O11" i="11"/>
  <c r="B12" i="11" s="1"/>
  <c r="A11" i="11"/>
  <c r="K51" i="11" s="1"/>
  <c r="X10" i="11"/>
  <c r="G11" i="11" s="1"/>
  <c r="W10" i="11"/>
  <c r="F11" i="11" s="1"/>
  <c r="V10" i="11"/>
  <c r="E11" i="11" s="1"/>
  <c r="R10" i="11"/>
  <c r="Q10" i="11"/>
  <c r="D11" i="11" s="1"/>
  <c r="P10" i="11"/>
  <c r="C11" i="11" s="1"/>
  <c r="O10" i="11"/>
  <c r="B11" i="11" s="1"/>
  <c r="F10" i="11"/>
  <c r="A10" i="11"/>
  <c r="A50" i="11" s="1"/>
  <c r="X9" i="11"/>
  <c r="G10" i="11" s="1"/>
  <c r="W9" i="11"/>
  <c r="V9" i="11"/>
  <c r="E10" i="11" s="1"/>
  <c r="R9" i="11"/>
  <c r="Q9" i="11"/>
  <c r="D10" i="11" s="1"/>
  <c r="P9" i="11"/>
  <c r="C10" i="11" s="1"/>
  <c r="O9" i="11"/>
  <c r="B10" i="11" s="1"/>
  <c r="A9" i="11"/>
  <c r="K49" i="11" s="1"/>
  <c r="X8" i="11"/>
  <c r="G9" i="11" s="1"/>
  <c r="W8" i="11"/>
  <c r="F9" i="11" s="1"/>
  <c r="V8" i="11"/>
  <c r="E9" i="11" s="1"/>
  <c r="R8" i="11"/>
  <c r="Q8" i="11"/>
  <c r="D9" i="11" s="1"/>
  <c r="P8" i="11"/>
  <c r="C9" i="11" s="1"/>
  <c r="O8" i="11"/>
  <c r="B9" i="11" s="1"/>
  <c r="A8" i="11"/>
  <c r="A48" i="11" s="1"/>
  <c r="X7" i="11"/>
  <c r="G8" i="11" s="1"/>
  <c r="W7" i="11"/>
  <c r="F8" i="11" s="1"/>
  <c r="V7" i="11"/>
  <c r="E8" i="11" s="1"/>
  <c r="R7" i="11"/>
  <c r="Q7" i="11"/>
  <c r="D8" i="11" s="1"/>
  <c r="P7" i="11"/>
  <c r="C8" i="11" s="1"/>
  <c r="O7" i="11"/>
  <c r="B8" i="11" s="1"/>
  <c r="A7" i="11"/>
  <c r="K47" i="11" s="1"/>
  <c r="X6" i="11"/>
  <c r="G7" i="11" s="1"/>
  <c r="W6" i="11"/>
  <c r="F7" i="11" s="1"/>
  <c r="V6" i="11"/>
  <c r="E7" i="11" s="1"/>
  <c r="R6" i="11"/>
  <c r="Q6" i="11"/>
  <c r="D7" i="11" s="1"/>
  <c r="P6" i="11"/>
  <c r="C7" i="11" s="1"/>
  <c r="O6" i="11"/>
  <c r="B7" i="11" s="1"/>
  <c r="A6" i="11"/>
  <c r="A46" i="11" s="1"/>
  <c r="X5" i="11"/>
  <c r="G6" i="11" s="1"/>
  <c r="W5" i="11"/>
  <c r="F6" i="11" s="1"/>
  <c r="V5" i="11"/>
  <c r="E6" i="11" s="1"/>
  <c r="R5" i="11"/>
  <c r="Q5" i="11"/>
  <c r="D6" i="11" s="1"/>
  <c r="P5" i="11"/>
  <c r="C6" i="11" s="1"/>
  <c r="O5" i="11"/>
  <c r="B6" i="11" s="1"/>
  <c r="A5" i="11"/>
  <c r="K45" i="11" s="1"/>
  <c r="X4" i="11"/>
  <c r="G5" i="11" s="1"/>
  <c r="W4" i="11"/>
  <c r="F5" i="11" s="1"/>
  <c r="V4" i="11"/>
  <c r="E5" i="11" s="1"/>
  <c r="R4" i="11"/>
  <c r="Q4" i="11"/>
  <c r="D5" i="11" s="1"/>
  <c r="P4" i="11"/>
  <c r="C5" i="11" s="1"/>
  <c r="O4" i="11"/>
  <c r="B5" i="11" s="1"/>
  <c r="A4" i="11"/>
  <c r="A44" i="11" s="1"/>
  <c r="X3" i="11"/>
  <c r="G4" i="11" s="1"/>
  <c r="W3" i="11"/>
  <c r="F4" i="11" s="1"/>
  <c r="V3" i="11"/>
  <c r="E4" i="11" s="1"/>
  <c r="R3" i="11"/>
  <c r="Q3" i="11"/>
  <c r="D4" i="11" s="1"/>
  <c r="P3" i="11"/>
  <c r="C4" i="11" s="1"/>
  <c r="O3" i="11"/>
  <c r="B4" i="11" s="1"/>
  <c r="C38" i="10"/>
  <c r="A35" i="10"/>
  <c r="K75" i="10" s="1"/>
  <c r="X34" i="10"/>
  <c r="G35" i="10" s="1"/>
  <c r="W34" i="10"/>
  <c r="F35" i="10" s="1"/>
  <c r="V34" i="10"/>
  <c r="E35" i="10" s="1"/>
  <c r="R34" i="10"/>
  <c r="Q34" i="10"/>
  <c r="P34" i="10"/>
  <c r="O34" i="10"/>
  <c r="A34" i="10"/>
  <c r="K74" i="10" s="1"/>
  <c r="X33" i="10"/>
  <c r="G34" i="10" s="1"/>
  <c r="W33" i="10"/>
  <c r="F34" i="10" s="1"/>
  <c r="V33" i="10"/>
  <c r="E34" i="10" s="1"/>
  <c r="R33" i="10"/>
  <c r="Q33" i="10"/>
  <c r="P33" i="10"/>
  <c r="O33" i="10"/>
  <c r="A33" i="10"/>
  <c r="A73" i="10" s="1"/>
  <c r="X32" i="10"/>
  <c r="G33" i="10" s="1"/>
  <c r="W32" i="10"/>
  <c r="F33" i="10" s="1"/>
  <c r="V32" i="10"/>
  <c r="E33" i="10" s="1"/>
  <c r="R32" i="10"/>
  <c r="Q32" i="10"/>
  <c r="P32" i="10"/>
  <c r="O32" i="10"/>
  <c r="A32" i="10"/>
  <c r="K72" i="10" s="1"/>
  <c r="X31" i="10"/>
  <c r="G32" i="10" s="1"/>
  <c r="W31" i="10"/>
  <c r="F32" i="10" s="1"/>
  <c r="V31" i="10"/>
  <c r="E32" i="10" s="1"/>
  <c r="R31" i="10"/>
  <c r="Q31" i="10"/>
  <c r="P31" i="10"/>
  <c r="O31" i="10"/>
  <c r="A31" i="10"/>
  <c r="K71" i="10" s="1"/>
  <c r="X30" i="10"/>
  <c r="G31" i="10" s="1"/>
  <c r="W30" i="10"/>
  <c r="F31" i="10" s="1"/>
  <c r="V30" i="10"/>
  <c r="E31" i="10" s="1"/>
  <c r="R30" i="10"/>
  <c r="Q30" i="10"/>
  <c r="P30" i="10"/>
  <c r="O30" i="10"/>
  <c r="A30" i="10"/>
  <c r="K70" i="10" s="1"/>
  <c r="X29" i="10"/>
  <c r="G30" i="10" s="1"/>
  <c r="W29" i="10"/>
  <c r="F30" i="10" s="1"/>
  <c r="V29" i="10"/>
  <c r="E30" i="10" s="1"/>
  <c r="R29" i="10"/>
  <c r="Q29" i="10"/>
  <c r="P29" i="10"/>
  <c r="O29" i="10"/>
  <c r="A29" i="10"/>
  <c r="A69" i="10" s="1"/>
  <c r="X28" i="10"/>
  <c r="G29" i="10" s="1"/>
  <c r="W28" i="10"/>
  <c r="F29" i="10" s="1"/>
  <c r="V28" i="10"/>
  <c r="E29" i="10" s="1"/>
  <c r="R28" i="10"/>
  <c r="Q28" i="10"/>
  <c r="P28" i="10"/>
  <c r="O28" i="10"/>
  <c r="A28" i="10"/>
  <c r="K68" i="10" s="1"/>
  <c r="X27" i="10"/>
  <c r="G28" i="10" s="1"/>
  <c r="W27" i="10"/>
  <c r="F28" i="10" s="1"/>
  <c r="V27" i="10"/>
  <c r="E28" i="10" s="1"/>
  <c r="R27" i="10"/>
  <c r="Q27" i="10"/>
  <c r="P27" i="10"/>
  <c r="O27" i="10"/>
  <c r="A27" i="10"/>
  <c r="K67" i="10" s="1"/>
  <c r="X26" i="10"/>
  <c r="G27" i="10" s="1"/>
  <c r="W26" i="10"/>
  <c r="F27" i="10" s="1"/>
  <c r="V26" i="10"/>
  <c r="E27" i="10" s="1"/>
  <c r="R26" i="10"/>
  <c r="Q26" i="10"/>
  <c r="P26" i="10"/>
  <c r="O26" i="10"/>
  <c r="A26" i="10"/>
  <c r="K66" i="10" s="1"/>
  <c r="X25" i="10"/>
  <c r="G26" i="10" s="1"/>
  <c r="W25" i="10"/>
  <c r="F26" i="10" s="1"/>
  <c r="V25" i="10"/>
  <c r="E26" i="10" s="1"/>
  <c r="R25" i="10"/>
  <c r="Q25" i="10"/>
  <c r="P25" i="10"/>
  <c r="O25" i="10"/>
  <c r="A25" i="10"/>
  <c r="K65" i="10" s="1"/>
  <c r="X24" i="10"/>
  <c r="G25" i="10" s="1"/>
  <c r="W24" i="10"/>
  <c r="F25" i="10" s="1"/>
  <c r="V24" i="10"/>
  <c r="E25" i="10" s="1"/>
  <c r="R24" i="10"/>
  <c r="Q24" i="10"/>
  <c r="P24" i="10"/>
  <c r="O24" i="10"/>
  <c r="A24" i="10"/>
  <c r="A64" i="10" s="1"/>
  <c r="X23" i="10"/>
  <c r="G24" i="10" s="1"/>
  <c r="W23" i="10"/>
  <c r="F24" i="10" s="1"/>
  <c r="V23" i="10"/>
  <c r="E24" i="10" s="1"/>
  <c r="R23" i="10"/>
  <c r="Q23" i="10"/>
  <c r="P23" i="10"/>
  <c r="O23" i="10"/>
  <c r="A23" i="10"/>
  <c r="A63" i="10" s="1"/>
  <c r="X22" i="10"/>
  <c r="G23" i="10" s="1"/>
  <c r="W22" i="10"/>
  <c r="F23" i="10" s="1"/>
  <c r="V22" i="10"/>
  <c r="E23" i="10" s="1"/>
  <c r="R22" i="10"/>
  <c r="Q22" i="10"/>
  <c r="P22" i="10"/>
  <c r="O22" i="10"/>
  <c r="A22" i="10"/>
  <c r="K62" i="10" s="1"/>
  <c r="X21" i="10"/>
  <c r="G22" i="10" s="1"/>
  <c r="W21" i="10"/>
  <c r="F22" i="10" s="1"/>
  <c r="V21" i="10"/>
  <c r="E22" i="10" s="1"/>
  <c r="R21" i="10"/>
  <c r="Q21" i="10"/>
  <c r="P21" i="10"/>
  <c r="O21" i="10"/>
  <c r="A21" i="10"/>
  <c r="K61" i="10" s="1"/>
  <c r="X20" i="10"/>
  <c r="G21" i="10" s="1"/>
  <c r="W20" i="10"/>
  <c r="F21" i="10" s="1"/>
  <c r="V20" i="10"/>
  <c r="E21" i="10" s="1"/>
  <c r="R20" i="10"/>
  <c r="Q20" i="10"/>
  <c r="P20" i="10"/>
  <c r="O20" i="10"/>
  <c r="A20" i="10"/>
  <c r="K60" i="10" s="1"/>
  <c r="X19" i="10"/>
  <c r="G20" i="10" s="1"/>
  <c r="W19" i="10"/>
  <c r="F20" i="10" s="1"/>
  <c r="V19" i="10"/>
  <c r="E20" i="10" s="1"/>
  <c r="R19" i="10"/>
  <c r="Q19" i="10"/>
  <c r="P19" i="10"/>
  <c r="O19" i="10"/>
  <c r="A19" i="10"/>
  <c r="A59" i="10" s="1"/>
  <c r="X18" i="10"/>
  <c r="G19" i="10" s="1"/>
  <c r="W18" i="10"/>
  <c r="F19" i="10" s="1"/>
  <c r="V18" i="10"/>
  <c r="E19" i="10" s="1"/>
  <c r="R18" i="10"/>
  <c r="Q18" i="10"/>
  <c r="P18" i="10"/>
  <c r="O18" i="10"/>
  <c r="A18" i="10"/>
  <c r="K58" i="10" s="1"/>
  <c r="X17" i="10"/>
  <c r="G18" i="10" s="1"/>
  <c r="W17" i="10"/>
  <c r="F18" i="10" s="1"/>
  <c r="V17" i="10"/>
  <c r="E18" i="10" s="1"/>
  <c r="R17" i="10"/>
  <c r="Q17" i="10"/>
  <c r="P17" i="10"/>
  <c r="O17" i="10"/>
  <c r="A17" i="10"/>
  <c r="A57" i="10" s="1"/>
  <c r="X16" i="10"/>
  <c r="G17" i="10" s="1"/>
  <c r="W16" i="10"/>
  <c r="F17" i="10" s="1"/>
  <c r="V16" i="10"/>
  <c r="E17" i="10" s="1"/>
  <c r="R16" i="10"/>
  <c r="Q16" i="10"/>
  <c r="P16" i="10"/>
  <c r="O16" i="10"/>
  <c r="A16" i="10"/>
  <c r="A56" i="10" s="1"/>
  <c r="X15" i="10"/>
  <c r="G16" i="10" s="1"/>
  <c r="W15" i="10"/>
  <c r="F16" i="10" s="1"/>
  <c r="V15" i="10"/>
  <c r="E16" i="10" s="1"/>
  <c r="R15" i="10"/>
  <c r="Q15" i="10"/>
  <c r="P15" i="10"/>
  <c r="O15" i="10"/>
  <c r="A15" i="10"/>
  <c r="K55" i="10" s="1"/>
  <c r="X14" i="10"/>
  <c r="G15" i="10" s="1"/>
  <c r="W14" i="10"/>
  <c r="F15" i="10" s="1"/>
  <c r="V14" i="10"/>
  <c r="E15" i="10" s="1"/>
  <c r="R14" i="10"/>
  <c r="Q14" i="10"/>
  <c r="P14" i="10"/>
  <c r="O14" i="10"/>
  <c r="A14" i="10"/>
  <c r="K54" i="10" s="1"/>
  <c r="X13" i="10"/>
  <c r="G14" i="10" s="1"/>
  <c r="W13" i="10"/>
  <c r="F14" i="10" s="1"/>
  <c r="V13" i="10"/>
  <c r="E14" i="10" s="1"/>
  <c r="R13" i="10"/>
  <c r="Q13" i="10"/>
  <c r="P13" i="10"/>
  <c r="O13" i="10"/>
  <c r="A13" i="10"/>
  <c r="A53" i="10" s="1"/>
  <c r="X12" i="10"/>
  <c r="G13" i="10" s="1"/>
  <c r="W12" i="10"/>
  <c r="F13" i="10" s="1"/>
  <c r="V12" i="10"/>
  <c r="E13" i="10" s="1"/>
  <c r="R12" i="10"/>
  <c r="Q12" i="10"/>
  <c r="P12" i="10"/>
  <c r="O12" i="10"/>
  <c r="A12" i="10"/>
  <c r="K52" i="10" s="1"/>
  <c r="X11" i="10"/>
  <c r="G12" i="10" s="1"/>
  <c r="W11" i="10"/>
  <c r="F12" i="10" s="1"/>
  <c r="V11" i="10"/>
  <c r="E12" i="10" s="1"/>
  <c r="R11" i="10"/>
  <c r="Q11" i="10"/>
  <c r="P11" i="10"/>
  <c r="O11" i="10"/>
  <c r="A11" i="10"/>
  <c r="A51" i="10" s="1"/>
  <c r="X10" i="10"/>
  <c r="G11" i="10" s="1"/>
  <c r="W10" i="10"/>
  <c r="F11" i="10" s="1"/>
  <c r="V10" i="10"/>
  <c r="E11" i="10" s="1"/>
  <c r="R10" i="10"/>
  <c r="Q10" i="10"/>
  <c r="P10" i="10"/>
  <c r="O10" i="10"/>
  <c r="A10" i="10"/>
  <c r="K50" i="10" s="1"/>
  <c r="X9" i="10"/>
  <c r="G10" i="10" s="1"/>
  <c r="W9" i="10"/>
  <c r="F10" i="10" s="1"/>
  <c r="V9" i="10"/>
  <c r="E10" i="10" s="1"/>
  <c r="R9" i="10"/>
  <c r="Q9" i="10"/>
  <c r="P9" i="10"/>
  <c r="O9" i="10"/>
  <c r="A9" i="10"/>
  <c r="K49" i="10" s="1"/>
  <c r="X8" i="10"/>
  <c r="G9" i="10" s="1"/>
  <c r="W8" i="10"/>
  <c r="F9" i="10" s="1"/>
  <c r="V8" i="10"/>
  <c r="E9" i="10" s="1"/>
  <c r="R8" i="10"/>
  <c r="Q8" i="10"/>
  <c r="P8" i="10"/>
  <c r="O8" i="10"/>
  <c r="A8" i="10"/>
  <c r="A48" i="10" s="1"/>
  <c r="X7" i="10"/>
  <c r="G8" i="10" s="1"/>
  <c r="W7" i="10"/>
  <c r="F8" i="10" s="1"/>
  <c r="V7" i="10"/>
  <c r="E8" i="10" s="1"/>
  <c r="R7" i="10"/>
  <c r="Q7" i="10"/>
  <c r="P7" i="10"/>
  <c r="O7" i="10"/>
  <c r="A7" i="10"/>
  <c r="K47" i="10" s="1"/>
  <c r="X6" i="10"/>
  <c r="G7" i="10" s="1"/>
  <c r="W6" i="10"/>
  <c r="F7" i="10" s="1"/>
  <c r="V6" i="10"/>
  <c r="E7" i="10" s="1"/>
  <c r="R6" i="10"/>
  <c r="Q6" i="10"/>
  <c r="P6" i="10"/>
  <c r="O6" i="10"/>
  <c r="A6" i="10"/>
  <c r="A46" i="10" s="1"/>
  <c r="X5" i="10"/>
  <c r="G6" i="10" s="1"/>
  <c r="W5" i="10"/>
  <c r="F6" i="10" s="1"/>
  <c r="V5" i="10"/>
  <c r="E6" i="10" s="1"/>
  <c r="R5" i="10"/>
  <c r="Q5" i="10"/>
  <c r="P5" i="10"/>
  <c r="O5" i="10"/>
  <c r="A5" i="10"/>
  <c r="K45" i="10" s="1"/>
  <c r="X4" i="10"/>
  <c r="G5" i="10" s="1"/>
  <c r="W4" i="10"/>
  <c r="F5" i="10" s="1"/>
  <c r="V4" i="10"/>
  <c r="E5" i="10" s="1"/>
  <c r="R4" i="10"/>
  <c r="Q4" i="10"/>
  <c r="P4" i="10"/>
  <c r="O4" i="10"/>
  <c r="A4" i="10"/>
  <c r="A44" i="10" s="1"/>
  <c r="X3" i="10"/>
  <c r="G4" i="10" s="1"/>
  <c r="W3" i="10"/>
  <c r="F4" i="10" s="1"/>
  <c r="V3" i="10"/>
  <c r="E4" i="10" s="1"/>
  <c r="R3" i="10"/>
  <c r="Q3" i="10"/>
  <c r="P3" i="10"/>
  <c r="O3" i="10"/>
  <c r="C38" i="9"/>
  <c r="A35" i="9"/>
  <c r="A75" i="9" s="1"/>
  <c r="X34" i="9"/>
  <c r="G35" i="9" s="1"/>
  <c r="W34" i="9"/>
  <c r="F35" i="9" s="1"/>
  <c r="V34" i="9"/>
  <c r="E35" i="9" s="1"/>
  <c r="R34" i="9"/>
  <c r="Q34" i="9"/>
  <c r="P34" i="9"/>
  <c r="O34" i="9"/>
  <c r="A34" i="9"/>
  <c r="K74" i="9" s="1"/>
  <c r="X33" i="9"/>
  <c r="G34" i="9" s="1"/>
  <c r="W33" i="9"/>
  <c r="F34" i="9" s="1"/>
  <c r="V33" i="9"/>
  <c r="E34" i="9" s="1"/>
  <c r="R33" i="9"/>
  <c r="Q33" i="9"/>
  <c r="P33" i="9"/>
  <c r="O33" i="9"/>
  <c r="A33" i="9"/>
  <c r="A73" i="9" s="1"/>
  <c r="X32" i="9"/>
  <c r="G33" i="9" s="1"/>
  <c r="W32" i="9"/>
  <c r="F33" i="9" s="1"/>
  <c r="V32" i="9"/>
  <c r="E33" i="9" s="1"/>
  <c r="R32" i="9"/>
  <c r="Q32" i="9"/>
  <c r="P32" i="9"/>
  <c r="O32" i="9"/>
  <c r="A32" i="9"/>
  <c r="A72" i="9" s="1"/>
  <c r="X31" i="9"/>
  <c r="G32" i="9" s="1"/>
  <c r="W31" i="9"/>
  <c r="F32" i="9" s="1"/>
  <c r="V31" i="9"/>
  <c r="E32" i="9" s="1"/>
  <c r="R31" i="9"/>
  <c r="Q31" i="9"/>
  <c r="P31" i="9"/>
  <c r="O31" i="9"/>
  <c r="A31" i="9"/>
  <c r="A71" i="9" s="1"/>
  <c r="X30" i="9"/>
  <c r="G31" i="9" s="1"/>
  <c r="W30" i="9"/>
  <c r="F31" i="9" s="1"/>
  <c r="V30" i="9"/>
  <c r="E31" i="9" s="1"/>
  <c r="R30" i="9"/>
  <c r="Q30" i="9"/>
  <c r="P30" i="9"/>
  <c r="O30" i="9"/>
  <c r="A30" i="9"/>
  <c r="A70" i="9" s="1"/>
  <c r="X29" i="9"/>
  <c r="G30" i="9" s="1"/>
  <c r="W29" i="9"/>
  <c r="F30" i="9" s="1"/>
  <c r="V29" i="9"/>
  <c r="E30" i="9" s="1"/>
  <c r="R29" i="9"/>
  <c r="Q29" i="9"/>
  <c r="P29" i="9"/>
  <c r="O29" i="9"/>
  <c r="A29" i="9"/>
  <c r="A69" i="9" s="1"/>
  <c r="X28" i="9"/>
  <c r="G29" i="9" s="1"/>
  <c r="W28" i="9"/>
  <c r="F29" i="9" s="1"/>
  <c r="V28" i="9"/>
  <c r="E29" i="9" s="1"/>
  <c r="R28" i="9"/>
  <c r="Q28" i="9"/>
  <c r="P28" i="9"/>
  <c r="O28" i="9"/>
  <c r="A28" i="9"/>
  <c r="A68" i="9" s="1"/>
  <c r="X27" i="9"/>
  <c r="G28" i="9" s="1"/>
  <c r="W27" i="9"/>
  <c r="F28" i="9" s="1"/>
  <c r="V27" i="9"/>
  <c r="E28" i="9" s="1"/>
  <c r="R27" i="9"/>
  <c r="Q27" i="9"/>
  <c r="P27" i="9"/>
  <c r="O27" i="9"/>
  <c r="A27" i="9"/>
  <c r="A67" i="9" s="1"/>
  <c r="X26" i="9"/>
  <c r="G27" i="9" s="1"/>
  <c r="W26" i="9"/>
  <c r="F27" i="9" s="1"/>
  <c r="V26" i="9"/>
  <c r="E27" i="9" s="1"/>
  <c r="R26" i="9"/>
  <c r="Q26" i="9"/>
  <c r="P26" i="9"/>
  <c r="O26" i="9"/>
  <c r="A26" i="9"/>
  <c r="K66" i="9" s="1"/>
  <c r="X25" i="9"/>
  <c r="G26" i="9" s="1"/>
  <c r="W25" i="9"/>
  <c r="F26" i="9" s="1"/>
  <c r="V25" i="9"/>
  <c r="E26" i="9" s="1"/>
  <c r="R25" i="9"/>
  <c r="Q25" i="9"/>
  <c r="P25" i="9"/>
  <c r="O25" i="9"/>
  <c r="A25" i="9"/>
  <c r="A65" i="9" s="1"/>
  <c r="X24" i="9"/>
  <c r="G25" i="9" s="1"/>
  <c r="W24" i="9"/>
  <c r="F25" i="9" s="1"/>
  <c r="V24" i="9"/>
  <c r="E25" i="9" s="1"/>
  <c r="R24" i="9"/>
  <c r="Q24" i="9"/>
  <c r="P24" i="9"/>
  <c r="O24" i="9"/>
  <c r="A24" i="9"/>
  <c r="A64" i="9" s="1"/>
  <c r="X23" i="9"/>
  <c r="G24" i="9" s="1"/>
  <c r="W23" i="9"/>
  <c r="F24" i="9" s="1"/>
  <c r="V23" i="9"/>
  <c r="E24" i="9" s="1"/>
  <c r="R23" i="9"/>
  <c r="Q23" i="9"/>
  <c r="P23" i="9"/>
  <c r="O23" i="9"/>
  <c r="A23" i="9"/>
  <c r="A63" i="9" s="1"/>
  <c r="X22" i="9"/>
  <c r="G23" i="9" s="1"/>
  <c r="W22" i="9"/>
  <c r="F23" i="9" s="1"/>
  <c r="V22" i="9"/>
  <c r="E23" i="9" s="1"/>
  <c r="R22" i="9"/>
  <c r="Q22" i="9"/>
  <c r="P22" i="9"/>
  <c r="O22" i="9"/>
  <c r="A22" i="9"/>
  <c r="A62" i="9" s="1"/>
  <c r="X21" i="9"/>
  <c r="G22" i="9" s="1"/>
  <c r="W21" i="9"/>
  <c r="F22" i="9" s="1"/>
  <c r="V21" i="9"/>
  <c r="E22" i="9" s="1"/>
  <c r="R21" i="9"/>
  <c r="Q21" i="9"/>
  <c r="P21" i="9"/>
  <c r="O21" i="9"/>
  <c r="A21" i="9"/>
  <c r="A61" i="9" s="1"/>
  <c r="X20" i="9"/>
  <c r="G21" i="9" s="1"/>
  <c r="W20" i="9"/>
  <c r="F21" i="9" s="1"/>
  <c r="V20" i="9"/>
  <c r="E21" i="9" s="1"/>
  <c r="R20" i="9"/>
  <c r="Q20" i="9"/>
  <c r="P20" i="9"/>
  <c r="O20" i="9"/>
  <c r="A20" i="9"/>
  <c r="A60" i="9" s="1"/>
  <c r="X19" i="9"/>
  <c r="G20" i="9" s="1"/>
  <c r="W19" i="9"/>
  <c r="F20" i="9" s="1"/>
  <c r="V19" i="9"/>
  <c r="E20" i="9" s="1"/>
  <c r="R19" i="9"/>
  <c r="Q19" i="9"/>
  <c r="P19" i="9"/>
  <c r="O19" i="9"/>
  <c r="A19" i="9"/>
  <c r="A59" i="9" s="1"/>
  <c r="X18" i="9"/>
  <c r="G19" i="9" s="1"/>
  <c r="W18" i="9"/>
  <c r="F19" i="9" s="1"/>
  <c r="V18" i="9"/>
  <c r="E19" i="9" s="1"/>
  <c r="R18" i="9"/>
  <c r="Q18" i="9"/>
  <c r="P18" i="9"/>
  <c r="O18" i="9"/>
  <c r="A18" i="9"/>
  <c r="A58" i="9" s="1"/>
  <c r="X17" i="9"/>
  <c r="G18" i="9" s="1"/>
  <c r="W17" i="9"/>
  <c r="F18" i="9" s="1"/>
  <c r="V17" i="9"/>
  <c r="E18" i="9" s="1"/>
  <c r="R17" i="9"/>
  <c r="Q17" i="9"/>
  <c r="P17" i="9"/>
  <c r="O17" i="9"/>
  <c r="A17" i="9"/>
  <c r="A57" i="9" s="1"/>
  <c r="X16" i="9"/>
  <c r="G17" i="9" s="1"/>
  <c r="W16" i="9"/>
  <c r="F17" i="9" s="1"/>
  <c r="V16" i="9"/>
  <c r="E17" i="9" s="1"/>
  <c r="R16" i="9"/>
  <c r="Q16" i="9"/>
  <c r="P16" i="9"/>
  <c r="O16" i="9"/>
  <c r="A16" i="9"/>
  <c r="A56" i="9" s="1"/>
  <c r="X15" i="9"/>
  <c r="G16" i="9" s="1"/>
  <c r="W15" i="9"/>
  <c r="F16" i="9" s="1"/>
  <c r="V15" i="9"/>
  <c r="E16" i="9" s="1"/>
  <c r="R15" i="9"/>
  <c r="Q15" i="9"/>
  <c r="P15" i="9"/>
  <c r="O15" i="9"/>
  <c r="A15" i="9"/>
  <c r="A55" i="9" s="1"/>
  <c r="X14" i="9"/>
  <c r="G15" i="9" s="1"/>
  <c r="W14" i="9"/>
  <c r="F15" i="9" s="1"/>
  <c r="V14" i="9"/>
  <c r="E15" i="9" s="1"/>
  <c r="R14" i="9"/>
  <c r="Q14" i="9"/>
  <c r="P14" i="9"/>
  <c r="O14" i="9"/>
  <c r="A14" i="9"/>
  <c r="A54" i="9" s="1"/>
  <c r="X13" i="9"/>
  <c r="G14" i="9" s="1"/>
  <c r="W13" i="9"/>
  <c r="F14" i="9" s="1"/>
  <c r="V13" i="9"/>
  <c r="E14" i="9" s="1"/>
  <c r="R13" i="9"/>
  <c r="Q13" i="9"/>
  <c r="P13" i="9"/>
  <c r="O13" i="9"/>
  <c r="A13" i="9"/>
  <c r="A53" i="9" s="1"/>
  <c r="X12" i="9"/>
  <c r="G13" i="9" s="1"/>
  <c r="W12" i="9"/>
  <c r="F13" i="9" s="1"/>
  <c r="V12" i="9"/>
  <c r="E13" i="9" s="1"/>
  <c r="R12" i="9"/>
  <c r="Q12" i="9"/>
  <c r="P12" i="9"/>
  <c r="O12" i="9"/>
  <c r="A12" i="9"/>
  <c r="A52" i="9" s="1"/>
  <c r="X11" i="9"/>
  <c r="G12" i="9" s="1"/>
  <c r="W11" i="9"/>
  <c r="F12" i="9" s="1"/>
  <c r="V11" i="9"/>
  <c r="E12" i="9" s="1"/>
  <c r="R11" i="9"/>
  <c r="Q11" i="9"/>
  <c r="P11" i="9"/>
  <c r="O11" i="9"/>
  <c r="A11" i="9"/>
  <c r="A51" i="9" s="1"/>
  <c r="X10" i="9"/>
  <c r="G11" i="9" s="1"/>
  <c r="W10" i="9"/>
  <c r="F11" i="9" s="1"/>
  <c r="V10" i="9"/>
  <c r="E11" i="9" s="1"/>
  <c r="R10" i="9"/>
  <c r="Q10" i="9"/>
  <c r="P10" i="9"/>
  <c r="O10" i="9"/>
  <c r="A10" i="9"/>
  <c r="A50" i="9" s="1"/>
  <c r="X9" i="9"/>
  <c r="G10" i="9" s="1"/>
  <c r="W9" i="9"/>
  <c r="F10" i="9" s="1"/>
  <c r="V9" i="9"/>
  <c r="E10" i="9" s="1"/>
  <c r="R9" i="9"/>
  <c r="Q9" i="9"/>
  <c r="P9" i="9"/>
  <c r="O9" i="9"/>
  <c r="A9" i="9"/>
  <c r="A49" i="9" s="1"/>
  <c r="X8" i="9"/>
  <c r="G9" i="9" s="1"/>
  <c r="W8" i="9"/>
  <c r="F9" i="9" s="1"/>
  <c r="V8" i="9"/>
  <c r="E9" i="9" s="1"/>
  <c r="R8" i="9"/>
  <c r="Q8" i="9"/>
  <c r="P8" i="9"/>
  <c r="O8" i="9"/>
  <c r="A8" i="9"/>
  <c r="A48" i="9" s="1"/>
  <c r="X7" i="9"/>
  <c r="G8" i="9" s="1"/>
  <c r="W7" i="9"/>
  <c r="F8" i="9" s="1"/>
  <c r="V7" i="9"/>
  <c r="E8" i="9" s="1"/>
  <c r="R7" i="9"/>
  <c r="Q7" i="9"/>
  <c r="P7" i="9"/>
  <c r="O7" i="9"/>
  <c r="A7" i="9"/>
  <c r="A47" i="9" s="1"/>
  <c r="X6" i="9"/>
  <c r="G7" i="9" s="1"/>
  <c r="W6" i="9"/>
  <c r="F7" i="9" s="1"/>
  <c r="V6" i="9"/>
  <c r="E7" i="9" s="1"/>
  <c r="R6" i="9"/>
  <c r="Q6" i="9"/>
  <c r="P6" i="9"/>
  <c r="O6" i="9"/>
  <c r="A6" i="9"/>
  <c r="A46" i="9" s="1"/>
  <c r="X5" i="9"/>
  <c r="G6" i="9" s="1"/>
  <c r="W5" i="9"/>
  <c r="F6" i="9" s="1"/>
  <c r="V5" i="9"/>
  <c r="E6" i="9" s="1"/>
  <c r="R5" i="9"/>
  <c r="Q5" i="9"/>
  <c r="P5" i="9"/>
  <c r="O5" i="9"/>
  <c r="A5" i="9"/>
  <c r="A45" i="9" s="1"/>
  <c r="X4" i="9"/>
  <c r="G5" i="9" s="1"/>
  <c r="W4" i="9"/>
  <c r="F5" i="9" s="1"/>
  <c r="V4" i="9"/>
  <c r="E5" i="9" s="1"/>
  <c r="R4" i="9"/>
  <c r="Q4" i="9"/>
  <c r="P4" i="9"/>
  <c r="O4" i="9"/>
  <c r="A4" i="9"/>
  <c r="A44" i="9" s="1"/>
  <c r="X3" i="9"/>
  <c r="G4" i="9" s="1"/>
  <c r="W3" i="9"/>
  <c r="F4" i="9" s="1"/>
  <c r="V3" i="9"/>
  <c r="E4" i="9" s="1"/>
  <c r="R3" i="9"/>
  <c r="Q3" i="9"/>
  <c r="P3" i="9"/>
  <c r="O3" i="9"/>
  <c r="A35" i="7"/>
  <c r="A75" i="7" s="1"/>
  <c r="X34" i="7"/>
  <c r="G35" i="7" s="1"/>
  <c r="W34" i="7"/>
  <c r="F35" i="7" s="1"/>
  <c r="V34" i="7"/>
  <c r="E35" i="7" s="1"/>
  <c r="R34" i="7"/>
  <c r="Q34" i="7"/>
  <c r="D35" i="7" s="1"/>
  <c r="P34" i="7"/>
  <c r="C35" i="7" s="1"/>
  <c r="O34" i="7"/>
  <c r="B35" i="7" s="1"/>
  <c r="A34" i="7"/>
  <c r="K74" i="7" s="1"/>
  <c r="X33" i="7"/>
  <c r="G34" i="7" s="1"/>
  <c r="W33" i="7"/>
  <c r="F34" i="7" s="1"/>
  <c r="V33" i="7"/>
  <c r="E34" i="7" s="1"/>
  <c r="R33" i="7"/>
  <c r="Q33" i="7"/>
  <c r="D34" i="7" s="1"/>
  <c r="P33" i="7"/>
  <c r="C34" i="7" s="1"/>
  <c r="O33" i="7"/>
  <c r="B34" i="7" s="1"/>
  <c r="A33" i="7"/>
  <c r="A73" i="7" s="1"/>
  <c r="X32" i="7"/>
  <c r="G33" i="7" s="1"/>
  <c r="W32" i="7"/>
  <c r="F33" i="7" s="1"/>
  <c r="V32" i="7"/>
  <c r="E33" i="7" s="1"/>
  <c r="R32" i="7"/>
  <c r="Q32" i="7"/>
  <c r="D33" i="7" s="1"/>
  <c r="P32" i="7"/>
  <c r="C33" i="7" s="1"/>
  <c r="O32" i="7"/>
  <c r="B33" i="7" s="1"/>
  <c r="A32" i="7"/>
  <c r="K72" i="7" s="1"/>
  <c r="X31" i="7"/>
  <c r="G32" i="7" s="1"/>
  <c r="W31" i="7"/>
  <c r="F32" i="7" s="1"/>
  <c r="V31" i="7"/>
  <c r="E32" i="7" s="1"/>
  <c r="R31" i="7"/>
  <c r="Q31" i="7"/>
  <c r="D32" i="7" s="1"/>
  <c r="P31" i="7"/>
  <c r="C32" i="7" s="1"/>
  <c r="O31" i="7"/>
  <c r="B32" i="7" s="1"/>
  <c r="A31" i="7"/>
  <c r="A71" i="7" s="1"/>
  <c r="X30" i="7"/>
  <c r="G31" i="7" s="1"/>
  <c r="W30" i="7"/>
  <c r="F31" i="7" s="1"/>
  <c r="V30" i="7"/>
  <c r="E31" i="7" s="1"/>
  <c r="R30" i="7"/>
  <c r="Q30" i="7"/>
  <c r="D31" i="7" s="1"/>
  <c r="P30" i="7"/>
  <c r="C31" i="7" s="1"/>
  <c r="O30" i="7"/>
  <c r="B31" i="7" s="1"/>
  <c r="A30" i="7"/>
  <c r="K70" i="7" s="1"/>
  <c r="X29" i="7"/>
  <c r="G30" i="7" s="1"/>
  <c r="W29" i="7"/>
  <c r="F30" i="7" s="1"/>
  <c r="V29" i="7"/>
  <c r="E30" i="7" s="1"/>
  <c r="R29" i="7"/>
  <c r="Q29" i="7"/>
  <c r="D30" i="7" s="1"/>
  <c r="P29" i="7"/>
  <c r="C30" i="7" s="1"/>
  <c r="O29" i="7"/>
  <c r="B30" i="7" s="1"/>
  <c r="A29" i="7"/>
  <c r="A69" i="7" s="1"/>
  <c r="X28" i="7"/>
  <c r="G29" i="7" s="1"/>
  <c r="W28" i="7"/>
  <c r="F29" i="7" s="1"/>
  <c r="I11" i="7" s="1"/>
  <c r="V28" i="7"/>
  <c r="E29" i="7" s="1"/>
  <c r="R28" i="7"/>
  <c r="Q28" i="7"/>
  <c r="D29" i="7" s="1"/>
  <c r="P28" i="7"/>
  <c r="C29" i="7" s="1"/>
  <c r="O28" i="7"/>
  <c r="B29" i="7" s="1"/>
  <c r="A28" i="7"/>
  <c r="K68" i="7" s="1"/>
  <c r="X27" i="7"/>
  <c r="G28" i="7" s="1"/>
  <c r="W27" i="7"/>
  <c r="F28" i="7" s="1"/>
  <c r="V27" i="7"/>
  <c r="E28" i="7" s="1"/>
  <c r="R27" i="7"/>
  <c r="Q27" i="7"/>
  <c r="D28" i="7" s="1"/>
  <c r="P27" i="7"/>
  <c r="C28" i="7" s="1"/>
  <c r="O27" i="7"/>
  <c r="B28" i="7" s="1"/>
  <c r="A27" i="7"/>
  <c r="A67" i="7" s="1"/>
  <c r="X26" i="7"/>
  <c r="G27" i="7" s="1"/>
  <c r="W26" i="7"/>
  <c r="F27" i="7" s="1"/>
  <c r="V26" i="7"/>
  <c r="E27" i="7" s="1"/>
  <c r="R26" i="7"/>
  <c r="Q26" i="7"/>
  <c r="D27" i="7" s="1"/>
  <c r="P26" i="7"/>
  <c r="C27" i="7" s="1"/>
  <c r="O26" i="7"/>
  <c r="B27" i="7" s="1"/>
  <c r="A26" i="7"/>
  <c r="K66" i="7" s="1"/>
  <c r="X25" i="7"/>
  <c r="G26" i="7" s="1"/>
  <c r="W25" i="7"/>
  <c r="F26" i="7" s="1"/>
  <c r="V25" i="7"/>
  <c r="E26" i="7" s="1"/>
  <c r="R25" i="7"/>
  <c r="Q25" i="7"/>
  <c r="D26" i="7" s="1"/>
  <c r="P25" i="7"/>
  <c r="C26" i="7" s="1"/>
  <c r="O25" i="7"/>
  <c r="B26" i="7" s="1"/>
  <c r="A25" i="7"/>
  <c r="A65" i="7" s="1"/>
  <c r="X24" i="7"/>
  <c r="G25" i="7" s="1"/>
  <c r="W24" i="7"/>
  <c r="F25" i="7" s="1"/>
  <c r="I10" i="7" s="1"/>
  <c r="V24" i="7"/>
  <c r="E25" i="7" s="1"/>
  <c r="R24" i="7"/>
  <c r="Q24" i="7"/>
  <c r="D25" i="7" s="1"/>
  <c r="P24" i="7"/>
  <c r="C25" i="7" s="1"/>
  <c r="O24" i="7"/>
  <c r="B25" i="7" s="1"/>
  <c r="A24" i="7"/>
  <c r="K64" i="7" s="1"/>
  <c r="X23" i="7"/>
  <c r="G24" i="7" s="1"/>
  <c r="W23" i="7"/>
  <c r="F24" i="7" s="1"/>
  <c r="V23" i="7"/>
  <c r="E24" i="7" s="1"/>
  <c r="R23" i="7"/>
  <c r="Q23" i="7"/>
  <c r="D24" i="7" s="1"/>
  <c r="P23" i="7"/>
  <c r="C24" i="7" s="1"/>
  <c r="O23" i="7"/>
  <c r="B24" i="7" s="1"/>
  <c r="A23" i="7"/>
  <c r="A63" i="7" s="1"/>
  <c r="X22" i="7"/>
  <c r="G23" i="7" s="1"/>
  <c r="W22" i="7"/>
  <c r="F23" i="7" s="1"/>
  <c r="V22" i="7"/>
  <c r="E23" i="7" s="1"/>
  <c r="R22" i="7"/>
  <c r="Q22" i="7"/>
  <c r="D23" i="7" s="1"/>
  <c r="P22" i="7"/>
  <c r="C23" i="7" s="1"/>
  <c r="O22" i="7"/>
  <c r="B23" i="7" s="1"/>
  <c r="A22" i="7"/>
  <c r="K62" i="7" s="1"/>
  <c r="X21" i="7"/>
  <c r="G22" i="7" s="1"/>
  <c r="W21" i="7"/>
  <c r="F22" i="7" s="1"/>
  <c r="V21" i="7"/>
  <c r="E22" i="7" s="1"/>
  <c r="R21" i="7"/>
  <c r="Q21" i="7"/>
  <c r="D22" i="7" s="1"/>
  <c r="P21" i="7"/>
  <c r="C22" i="7" s="1"/>
  <c r="O21" i="7"/>
  <c r="B22" i="7" s="1"/>
  <c r="A21" i="7"/>
  <c r="A61" i="7" s="1"/>
  <c r="X20" i="7"/>
  <c r="G21" i="7" s="1"/>
  <c r="W20" i="7"/>
  <c r="F21" i="7" s="1"/>
  <c r="V20" i="7"/>
  <c r="E21" i="7" s="1"/>
  <c r="R20" i="7"/>
  <c r="Q20" i="7"/>
  <c r="D21" i="7" s="1"/>
  <c r="P20" i="7"/>
  <c r="C21" i="7" s="1"/>
  <c r="O20" i="7"/>
  <c r="B21" i="7" s="1"/>
  <c r="F20" i="7"/>
  <c r="A20" i="7"/>
  <c r="K60" i="7" s="1"/>
  <c r="X19" i="7"/>
  <c r="G20" i="7" s="1"/>
  <c r="W19" i="7"/>
  <c r="V19" i="7"/>
  <c r="E20" i="7" s="1"/>
  <c r="R19" i="7"/>
  <c r="Q19" i="7"/>
  <c r="D20" i="7" s="1"/>
  <c r="P19" i="7"/>
  <c r="C20" i="7" s="1"/>
  <c r="O19" i="7"/>
  <c r="B20" i="7" s="1"/>
  <c r="A19" i="7"/>
  <c r="A59" i="7" s="1"/>
  <c r="X18" i="7"/>
  <c r="G19" i="7" s="1"/>
  <c r="W18" i="7"/>
  <c r="F19" i="7" s="1"/>
  <c r="V18" i="7"/>
  <c r="E19" i="7" s="1"/>
  <c r="R18" i="7"/>
  <c r="Q18" i="7"/>
  <c r="D19" i="7" s="1"/>
  <c r="P18" i="7"/>
  <c r="C19" i="7" s="1"/>
  <c r="O18" i="7"/>
  <c r="B19" i="7" s="1"/>
  <c r="A18" i="7"/>
  <c r="K58" i="7" s="1"/>
  <c r="X17" i="7"/>
  <c r="G18" i="7" s="1"/>
  <c r="W17" i="7"/>
  <c r="F18" i="7" s="1"/>
  <c r="V17" i="7"/>
  <c r="E18" i="7" s="1"/>
  <c r="R17" i="7"/>
  <c r="Q17" i="7"/>
  <c r="D18" i="7" s="1"/>
  <c r="P17" i="7"/>
  <c r="C18" i="7" s="1"/>
  <c r="O17" i="7"/>
  <c r="B18" i="7" s="1"/>
  <c r="A17" i="7"/>
  <c r="A57" i="7" s="1"/>
  <c r="X16" i="7"/>
  <c r="G17" i="7" s="1"/>
  <c r="W16" i="7"/>
  <c r="F17" i="7" s="1"/>
  <c r="V16" i="7"/>
  <c r="E17" i="7" s="1"/>
  <c r="R16" i="7"/>
  <c r="Q16" i="7"/>
  <c r="D17" i="7" s="1"/>
  <c r="P16" i="7"/>
  <c r="C17" i="7" s="1"/>
  <c r="O16" i="7"/>
  <c r="B17" i="7" s="1"/>
  <c r="A16" i="7"/>
  <c r="K56" i="7" s="1"/>
  <c r="X15" i="7"/>
  <c r="G16" i="7" s="1"/>
  <c r="W15" i="7"/>
  <c r="F16" i="7" s="1"/>
  <c r="V15" i="7"/>
  <c r="E16" i="7" s="1"/>
  <c r="R15" i="7"/>
  <c r="Q15" i="7"/>
  <c r="D16" i="7" s="1"/>
  <c r="P15" i="7"/>
  <c r="C16" i="7" s="1"/>
  <c r="O15" i="7"/>
  <c r="B16" i="7" s="1"/>
  <c r="A15" i="7"/>
  <c r="A55" i="7" s="1"/>
  <c r="X14" i="7"/>
  <c r="G15" i="7" s="1"/>
  <c r="W14" i="7"/>
  <c r="F15" i="7" s="1"/>
  <c r="V14" i="7"/>
  <c r="E15" i="7" s="1"/>
  <c r="R14" i="7"/>
  <c r="Q14" i="7"/>
  <c r="D15" i="7" s="1"/>
  <c r="P14" i="7"/>
  <c r="C15" i="7" s="1"/>
  <c r="O14" i="7"/>
  <c r="B15" i="7" s="1"/>
  <c r="A14" i="7"/>
  <c r="K54" i="7" s="1"/>
  <c r="X13" i="7"/>
  <c r="G14" i="7" s="1"/>
  <c r="W13" i="7"/>
  <c r="F14" i="7" s="1"/>
  <c r="V13" i="7"/>
  <c r="E14" i="7" s="1"/>
  <c r="R13" i="7"/>
  <c r="Q13" i="7"/>
  <c r="D14" i="7" s="1"/>
  <c r="P13" i="7"/>
  <c r="C14" i="7" s="1"/>
  <c r="O13" i="7"/>
  <c r="B14" i="7" s="1"/>
  <c r="A13" i="7"/>
  <c r="A53" i="7" s="1"/>
  <c r="X12" i="7"/>
  <c r="G13" i="7" s="1"/>
  <c r="W12" i="7"/>
  <c r="F13" i="7" s="1"/>
  <c r="I7" i="7" s="1"/>
  <c r="V12" i="7"/>
  <c r="E13" i="7" s="1"/>
  <c r="R12" i="7"/>
  <c r="Q12" i="7"/>
  <c r="D13" i="7" s="1"/>
  <c r="P12" i="7"/>
  <c r="C13" i="7" s="1"/>
  <c r="O12" i="7"/>
  <c r="B13" i="7" s="1"/>
  <c r="A12" i="7"/>
  <c r="K52" i="7" s="1"/>
  <c r="X11" i="7"/>
  <c r="G12" i="7" s="1"/>
  <c r="W11" i="7"/>
  <c r="F12" i="7" s="1"/>
  <c r="V11" i="7"/>
  <c r="E12" i="7" s="1"/>
  <c r="R11" i="7"/>
  <c r="Q11" i="7"/>
  <c r="D12" i="7" s="1"/>
  <c r="P11" i="7"/>
  <c r="C12" i="7" s="1"/>
  <c r="O11" i="7"/>
  <c r="B12" i="7" s="1"/>
  <c r="A11" i="7"/>
  <c r="A51" i="7" s="1"/>
  <c r="X10" i="7"/>
  <c r="G11" i="7" s="1"/>
  <c r="W10" i="7"/>
  <c r="F11" i="7" s="1"/>
  <c r="V10" i="7"/>
  <c r="E11" i="7" s="1"/>
  <c r="R10" i="7"/>
  <c r="Q10" i="7"/>
  <c r="D11" i="7" s="1"/>
  <c r="P10" i="7"/>
  <c r="C11" i="7" s="1"/>
  <c r="O10" i="7"/>
  <c r="B11" i="7" s="1"/>
  <c r="A10" i="7"/>
  <c r="K50" i="7" s="1"/>
  <c r="X9" i="7"/>
  <c r="G10" i="7" s="1"/>
  <c r="W9" i="7"/>
  <c r="F10" i="7" s="1"/>
  <c r="V9" i="7"/>
  <c r="E10" i="7" s="1"/>
  <c r="R9" i="7"/>
  <c r="Q9" i="7"/>
  <c r="D10" i="7" s="1"/>
  <c r="P9" i="7"/>
  <c r="C10" i="7" s="1"/>
  <c r="O9" i="7"/>
  <c r="B10" i="7" s="1"/>
  <c r="A9" i="7"/>
  <c r="A49" i="7" s="1"/>
  <c r="X8" i="7"/>
  <c r="G9" i="7" s="1"/>
  <c r="W8" i="7"/>
  <c r="F9" i="7" s="1"/>
  <c r="V8" i="7"/>
  <c r="E9" i="7" s="1"/>
  <c r="R8" i="7"/>
  <c r="Q8" i="7"/>
  <c r="D9" i="7" s="1"/>
  <c r="P8" i="7"/>
  <c r="C9" i="7" s="1"/>
  <c r="O8" i="7"/>
  <c r="B9" i="7" s="1"/>
  <c r="F8" i="7"/>
  <c r="A8" i="7"/>
  <c r="K48" i="7" s="1"/>
  <c r="X7" i="7"/>
  <c r="G8" i="7" s="1"/>
  <c r="W7" i="7"/>
  <c r="V7" i="7"/>
  <c r="E8" i="7" s="1"/>
  <c r="R7" i="7"/>
  <c r="Q7" i="7"/>
  <c r="D8" i="7" s="1"/>
  <c r="P7" i="7"/>
  <c r="C8" i="7" s="1"/>
  <c r="O7" i="7"/>
  <c r="B8" i="7" s="1"/>
  <c r="A7" i="7"/>
  <c r="A47" i="7" s="1"/>
  <c r="X6" i="7"/>
  <c r="G7" i="7" s="1"/>
  <c r="W6" i="7"/>
  <c r="F7" i="7" s="1"/>
  <c r="V6" i="7"/>
  <c r="E7" i="7" s="1"/>
  <c r="R6" i="7"/>
  <c r="Q6" i="7"/>
  <c r="D7" i="7" s="1"/>
  <c r="P6" i="7"/>
  <c r="C7" i="7" s="1"/>
  <c r="O6" i="7"/>
  <c r="B7" i="7" s="1"/>
  <c r="A6" i="7"/>
  <c r="K46" i="7" s="1"/>
  <c r="X5" i="7"/>
  <c r="G6" i="7" s="1"/>
  <c r="W5" i="7"/>
  <c r="F6" i="7" s="1"/>
  <c r="V5" i="7"/>
  <c r="E6" i="7" s="1"/>
  <c r="R5" i="7"/>
  <c r="Q5" i="7"/>
  <c r="D6" i="7" s="1"/>
  <c r="P5" i="7"/>
  <c r="C6" i="7" s="1"/>
  <c r="O5" i="7"/>
  <c r="B6" i="7" s="1"/>
  <c r="A5" i="7"/>
  <c r="A45" i="7" s="1"/>
  <c r="X4" i="7"/>
  <c r="G5" i="7" s="1"/>
  <c r="W4" i="7"/>
  <c r="F5" i="7" s="1"/>
  <c r="V4" i="7"/>
  <c r="E5" i="7" s="1"/>
  <c r="R4" i="7"/>
  <c r="Q4" i="7"/>
  <c r="D5" i="7" s="1"/>
  <c r="P4" i="7"/>
  <c r="C5" i="7" s="1"/>
  <c r="O4" i="7"/>
  <c r="B5" i="7" s="1"/>
  <c r="A4" i="7"/>
  <c r="K44" i="7" s="1"/>
  <c r="X3" i="7"/>
  <c r="G4" i="7" s="1"/>
  <c r="W3" i="7"/>
  <c r="F4" i="7" s="1"/>
  <c r="V3" i="7"/>
  <c r="E4" i="7" s="1"/>
  <c r="R3" i="7"/>
  <c r="Q3" i="7"/>
  <c r="D4" i="7" s="1"/>
  <c r="P3" i="7"/>
  <c r="C4" i="7" s="1"/>
  <c r="O3" i="7"/>
  <c r="B4" i="7" s="1"/>
  <c r="A35" i="8"/>
  <c r="K75" i="8" s="1"/>
  <c r="X34" i="8"/>
  <c r="G35" i="8" s="1"/>
  <c r="W34" i="8"/>
  <c r="F35" i="8" s="1"/>
  <c r="V34" i="8"/>
  <c r="E35" i="8" s="1"/>
  <c r="R34" i="8"/>
  <c r="Q34" i="8"/>
  <c r="D35" i="8" s="1"/>
  <c r="P34" i="8"/>
  <c r="C35" i="8" s="1"/>
  <c r="O34" i="8"/>
  <c r="B35" i="8" s="1"/>
  <c r="A34" i="8"/>
  <c r="A74" i="8" s="1"/>
  <c r="X33" i="8"/>
  <c r="G34" i="8" s="1"/>
  <c r="W33" i="8"/>
  <c r="F34" i="8" s="1"/>
  <c r="V33" i="8"/>
  <c r="E34" i="8" s="1"/>
  <c r="R33" i="8"/>
  <c r="Q33" i="8"/>
  <c r="D34" i="8" s="1"/>
  <c r="P33" i="8"/>
  <c r="C34" i="8" s="1"/>
  <c r="O33" i="8"/>
  <c r="B34" i="8" s="1"/>
  <c r="A33" i="8"/>
  <c r="K73" i="8" s="1"/>
  <c r="X32" i="8"/>
  <c r="G33" i="8" s="1"/>
  <c r="W32" i="8"/>
  <c r="F33" i="8" s="1"/>
  <c r="V32" i="8"/>
  <c r="E33" i="8" s="1"/>
  <c r="R32" i="8"/>
  <c r="Q32" i="8"/>
  <c r="D33" i="8" s="1"/>
  <c r="P32" i="8"/>
  <c r="C33" i="8" s="1"/>
  <c r="O32" i="8"/>
  <c r="B33" i="8" s="1"/>
  <c r="A32" i="8"/>
  <c r="A72" i="8" s="1"/>
  <c r="X31" i="8"/>
  <c r="G32" i="8" s="1"/>
  <c r="W31" i="8"/>
  <c r="F32" i="8" s="1"/>
  <c r="V31" i="8"/>
  <c r="E32" i="8" s="1"/>
  <c r="R31" i="8"/>
  <c r="Q31" i="8"/>
  <c r="D32" i="8" s="1"/>
  <c r="P31" i="8"/>
  <c r="C32" i="8" s="1"/>
  <c r="O31" i="8"/>
  <c r="B32" i="8" s="1"/>
  <c r="A31" i="8"/>
  <c r="K71" i="8" s="1"/>
  <c r="X30" i="8"/>
  <c r="G31" i="8" s="1"/>
  <c r="W30" i="8"/>
  <c r="F31" i="8" s="1"/>
  <c r="V30" i="8"/>
  <c r="E31" i="8" s="1"/>
  <c r="R30" i="8"/>
  <c r="Q30" i="8"/>
  <c r="D31" i="8" s="1"/>
  <c r="P30" i="8"/>
  <c r="C31" i="8" s="1"/>
  <c r="O30" i="8"/>
  <c r="B31" i="8" s="1"/>
  <c r="A30" i="8"/>
  <c r="A70" i="8" s="1"/>
  <c r="X29" i="8"/>
  <c r="G30" i="8" s="1"/>
  <c r="W29" i="8"/>
  <c r="F30" i="8" s="1"/>
  <c r="V29" i="8"/>
  <c r="E30" i="8" s="1"/>
  <c r="R29" i="8"/>
  <c r="Q29" i="8"/>
  <c r="D30" i="8" s="1"/>
  <c r="P29" i="8"/>
  <c r="C30" i="8" s="1"/>
  <c r="O29" i="8"/>
  <c r="B30" i="8" s="1"/>
  <c r="A29" i="8"/>
  <c r="K69" i="8" s="1"/>
  <c r="X28" i="8"/>
  <c r="G29" i="8" s="1"/>
  <c r="W28" i="8"/>
  <c r="F29" i="8" s="1"/>
  <c r="V28" i="8"/>
  <c r="E29" i="8" s="1"/>
  <c r="R28" i="8"/>
  <c r="Q28" i="8"/>
  <c r="D29" i="8" s="1"/>
  <c r="P28" i="8"/>
  <c r="C29" i="8" s="1"/>
  <c r="O28" i="8"/>
  <c r="B29" i="8" s="1"/>
  <c r="A28" i="8"/>
  <c r="A68" i="8" s="1"/>
  <c r="X27" i="8"/>
  <c r="G28" i="8" s="1"/>
  <c r="W27" i="8"/>
  <c r="F28" i="8" s="1"/>
  <c r="V27" i="8"/>
  <c r="E28" i="8" s="1"/>
  <c r="R27" i="8"/>
  <c r="Q27" i="8"/>
  <c r="D28" i="8" s="1"/>
  <c r="P27" i="8"/>
  <c r="C28" i="8" s="1"/>
  <c r="O27" i="8"/>
  <c r="B28" i="8" s="1"/>
  <c r="A27" i="8"/>
  <c r="K67" i="8" s="1"/>
  <c r="X26" i="8"/>
  <c r="G27" i="8" s="1"/>
  <c r="W26" i="8"/>
  <c r="F27" i="8" s="1"/>
  <c r="V26" i="8"/>
  <c r="E27" i="8" s="1"/>
  <c r="R26" i="8"/>
  <c r="Q26" i="8"/>
  <c r="D27" i="8" s="1"/>
  <c r="P26" i="8"/>
  <c r="C27" i="8" s="1"/>
  <c r="O26" i="8"/>
  <c r="B27" i="8" s="1"/>
  <c r="A26" i="8"/>
  <c r="A66" i="8" s="1"/>
  <c r="X25" i="8"/>
  <c r="G26" i="8" s="1"/>
  <c r="W25" i="8"/>
  <c r="F26" i="8" s="1"/>
  <c r="V25" i="8"/>
  <c r="E26" i="8" s="1"/>
  <c r="R25" i="8"/>
  <c r="Q25" i="8"/>
  <c r="D26" i="8" s="1"/>
  <c r="P25" i="8"/>
  <c r="C26" i="8" s="1"/>
  <c r="O25" i="8"/>
  <c r="B26" i="8" s="1"/>
  <c r="F25" i="8"/>
  <c r="A25" i="8"/>
  <c r="K65" i="8" s="1"/>
  <c r="X24" i="8"/>
  <c r="G25" i="8" s="1"/>
  <c r="W24" i="8"/>
  <c r="V24" i="8"/>
  <c r="E25" i="8" s="1"/>
  <c r="R24" i="8"/>
  <c r="Q24" i="8"/>
  <c r="D25" i="8" s="1"/>
  <c r="P24" i="8"/>
  <c r="C25" i="8" s="1"/>
  <c r="O24" i="8"/>
  <c r="B25" i="8" s="1"/>
  <c r="A24" i="8"/>
  <c r="A64" i="8" s="1"/>
  <c r="X23" i="8"/>
  <c r="G24" i="8" s="1"/>
  <c r="W23" i="8"/>
  <c r="F24" i="8" s="1"/>
  <c r="V23" i="8"/>
  <c r="E24" i="8" s="1"/>
  <c r="R23" i="8"/>
  <c r="Q23" i="8"/>
  <c r="D24" i="8" s="1"/>
  <c r="P23" i="8"/>
  <c r="C24" i="8" s="1"/>
  <c r="O23" i="8"/>
  <c r="B24" i="8" s="1"/>
  <c r="A23" i="8"/>
  <c r="K63" i="8" s="1"/>
  <c r="X22" i="8"/>
  <c r="G23" i="8" s="1"/>
  <c r="W22" i="8"/>
  <c r="F23" i="8" s="1"/>
  <c r="V22" i="8"/>
  <c r="E23" i="8" s="1"/>
  <c r="R22" i="8"/>
  <c r="Q22" i="8"/>
  <c r="D23" i="8" s="1"/>
  <c r="P22" i="8"/>
  <c r="C23" i="8" s="1"/>
  <c r="O22" i="8"/>
  <c r="B23" i="8" s="1"/>
  <c r="A22" i="8"/>
  <c r="A62" i="8" s="1"/>
  <c r="X21" i="8"/>
  <c r="G22" i="8" s="1"/>
  <c r="W21" i="8"/>
  <c r="F22" i="8" s="1"/>
  <c r="V21" i="8"/>
  <c r="E22" i="8" s="1"/>
  <c r="R21" i="8"/>
  <c r="Q21" i="8"/>
  <c r="D22" i="8" s="1"/>
  <c r="P21" i="8"/>
  <c r="C22" i="8" s="1"/>
  <c r="O21" i="8"/>
  <c r="B22" i="8" s="1"/>
  <c r="A21" i="8"/>
  <c r="K61" i="8" s="1"/>
  <c r="X20" i="8"/>
  <c r="G21" i="8" s="1"/>
  <c r="W20" i="8"/>
  <c r="F21" i="8" s="1"/>
  <c r="I9" i="8" s="1"/>
  <c r="V20" i="8"/>
  <c r="E21" i="8" s="1"/>
  <c r="R20" i="8"/>
  <c r="Q20" i="8"/>
  <c r="D21" i="8" s="1"/>
  <c r="P20" i="8"/>
  <c r="C21" i="8" s="1"/>
  <c r="O20" i="8"/>
  <c r="B21" i="8" s="1"/>
  <c r="A20" i="8"/>
  <c r="A60" i="8" s="1"/>
  <c r="X19" i="8"/>
  <c r="G20" i="8" s="1"/>
  <c r="W19" i="8"/>
  <c r="F20" i="8" s="1"/>
  <c r="V19" i="8"/>
  <c r="E20" i="8" s="1"/>
  <c r="R19" i="8"/>
  <c r="Q19" i="8"/>
  <c r="D20" i="8" s="1"/>
  <c r="P19" i="8"/>
  <c r="C20" i="8" s="1"/>
  <c r="O19" i="8"/>
  <c r="B20" i="8" s="1"/>
  <c r="A19" i="8"/>
  <c r="K59" i="8" s="1"/>
  <c r="X18" i="8"/>
  <c r="G19" i="8" s="1"/>
  <c r="W18" i="8"/>
  <c r="F19" i="8" s="1"/>
  <c r="V18" i="8"/>
  <c r="E19" i="8" s="1"/>
  <c r="R18" i="8"/>
  <c r="Q18" i="8"/>
  <c r="D19" i="8" s="1"/>
  <c r="P18" i="8"/>
  <c r="C19" i="8" s="1"/>
  <c r="O18" i="8"/>
  <c r="B19" i="8" s="1"/>
  <c r="A18" i="8"/>
  <c r="A58" i="8" s="1"/>
  <c r="X17" i="8"/>
  <c r="G18" i="8" s="1"/>
  <c r="W17" i="8"/>
  <c r="F18" i="8" s="1"/>
  <c r="V17" i="8"/>
  <c r="E18" i="8" s="1"/>
  <c r="R17" i="8"/>
  <c r="Q17" i="8"/>
  <c r="D18" i="8" s="1"/>
  <c r="P17" i="8"/>
  <c r="C18" i="8" s="1"/>
  <c r="O17" i="8"/>
  <c r="B18" i="8" s="1"/>
  <c r="A17" i="8"/>
  <c r="K57" i="8" s="1"/>
  <c r="X16" i="8"/>
  <c r="G17" i="8" s="1"/>
  <c r="W16" i="8"/>
  <c r="F17" i="8" s="1"/>
  <c r="I8" i="8" s="1"/>
  <c r="V16" i="8"/>
  <c r="E17" i="8" s="1"/>
  <c r="R16" i="8"/>
  <c r="Q16" i="8"/>
  <c r="D17" i="8" s="1"/>
  <c r="P16" i="8"/>
  <c r="C17" i="8" s="1"/>
  <c r="O16" i="8"/>
  <c r="B17" i="8" s="1"/>
  <c r="A16" i="8"/>
  <c r="A56" i="8" s="1"/>
  <c r="X15" i="8"/>
  <c r="G16" i="8" s="1"/>
  <c r="W15" i="8"/>
  <c r="F16" i="8" s="1"/>
  <c r="V15" i="8"/>
  <c r="E16" i="8" s="1"/>
  <c r="R15" i="8"/>
  <c r="Q15" i="8"/>
  <c r="D16" i="8" s="1"/>
  <c r="P15" i="8"/>
  <c r="C16" i="8" s="1"/>
  <c r="O15" i="8"/>
  <c r="B16" i="8" s="1"/>
  <c r="A15" i="8"/>
  <c r="K55" i="8" s="1"/>
  <c r="X14" i="8"/>
  <c r="G15" i="8" s="1"/>
  <c r="W14" i="8"/>
  <c r="F15" i="8" s="1"/>
  <c r="V14" i="8"/>
  <c r="E15" i="8" s="1"/>
  <c r="R14" i="8"/>
  <c r="Q14" i="8"/>
  <c r="D15" i="8" s="1"/>
  <c r="P14" i="8"/>
  <c r="C15" i="8" s="1"/>
  <c r="O14" i="8"/>
  <c r="B15" i="8" s="1"/>
  <c r="A14" i="8"/>
  <c r="A54" i="8" s="1"/>
  <c r="X13" i="8"/>
  <c r="G14" i="8" s="1"/>
  <c r="W13" i="8"/>
  <c r="F14" i="8" s="1"/>
  <c r="V13" i="8"/>
  <c r="E14" i="8" s="1"/>
  <c r="R13" i="8"/>
  <c r="Q13" i="8"/>
  <c r="D14" i="8" s="1"/>
  <c r="P13" i="8"/>
  <c r="C14" i="8" s="1"/>
  <c r="O13" i="8"/>
  <c r="B14" i="8" s="1"/>
  <c r="A13" i="8"/>
  <c r="K53" i="8" s="1"/>
  <c r="X12" i="8"/>
  <c r="G13" i="8" s="1"/>
  <c r="W12" i="8"/>
  <c r="F13" i="8" s="1"/>
  <c r="V12" i="8"/>
  <c r="E13" i="8" s="1"/>
  <c r="R12" i="8"/>
  <c r="Q12" i="8"/>
  <c r="D13" i="8" s="1"/>
  <c r="P12" i="8"/>
  <c r="C13" i="8" s="1"/>
  <c r="O12" i="8"/>
  <c r="B13" i="8" s="1"/>
  <c r="A12" i="8"/>
  <c r="A52" i="8" s="1"/>
  <c r="X11" i="8"/>
  <c r="G12" i="8" s="1"/>
  <c r="W11" i="8"/>
  <c r="F12" i="8" s="1"/>
  <c r="V11" i="8"/>
  <c r="E12" i="8" s="1"/>
  <c r="R11" i="8"/>
  <c r="Q11" i="8"/>
  <c r="D12" i="8" s="1"/>
  <c r="P11" i="8"/>
  <c r="C12" i="8" s="1"/>
  <c r="O11" i="8"/>
  <c r="B12" i="8" s="1"/>
  <c r="A11" i="8"/>
  <c r="K51" i="8" s="1"/>
  <c r="X10" i="8"/>
  <c r="G11" i="8" s="1"/>
  <c r="W10" i="8"/>
  <c r="F11" i="8" s="1"/>
  <c r="V10" i="8"/>
  <c r="E11" i="8" s="1"/>
  <c r="R10" i="8"/>
  <c r="Q10" i="8"/>
  <c r="D11" i="8" s="1"/>
  <c r="P10" i="8"/>
  <c r="C11" i="8" s="1"/>
  <c r="O10" i="8"/>
  <c r="B11" i="8" s="1"/>
  <c r="A10" i="8"/>
  <c r="A50" i="8" s="1"/>
  <c r="X9" i="8"/>
  <c r="G10" i="8" s="1"/>
  <c r="W9" i="8"/>
  <c r="F10" i="8" s="1"/>
  <c r="V9" i="8"/>
  <c r="E10" i="8" s="1"/>
  <c r="R9" i="8"/>
  <c r="Q9" i="8"/>
  <c r="D10" i="8" s="1"/>
  <c r="P9" i="8"/>
  <c r="C10" i="8" s="1"/>
  <c r="O9" i="8"/>
  <c r="B10" i="8" s="1"/>
  <c r="A9" i="8"/>
  <c r="K49" i="8" s="1"/>
  <c r="X8" i="8"/>
  <c r="G9" i="8" s="1"/>
  <c r="W8" i="8"/>
  <c r="F9" i="8" s="1"/>
  <c r="V8" i="8"/>
  <c r="E9" i="8" s="1"/>
  <c r="R8" i="8"/>
  <c r="Q8" i="8"/>
  <c r="D9" i="8" s="1"/>
  <c r="P8" i="8"/>
  <c r="C9" i="8" s="1"/>
  <c r="O8" i="8"/>
  <c r="B9" i="8" s="1"/>
  <c r="A8" i="8"/>
  <c r="A48" i="8" s="1"/>
  <c r="X7" i="8"/>
  <c r="G8" i="8" s="1"/>
  <c r="W7" i="8"/>
  <c r="F8" i="8" s="1"/>
  <c r="V7" i="8"/>
  <c r="E8" i="8" s="1"/>
  <c r="R7" i="8"/>
  <c r="Q7" i="8"/>
  <c r="D8" i="8" s="1"/>
  <c r="P7" i="8"/>
  <c r="C8" i="8" s="1"/>
  <c r="O7" i="8"/>
  <c r="B8" i="8" s="1"/>
  <c r="A7" i="8"/>
  <c r="K47" i="8" s="1"/>
  <c r="X6" i="8"/>
  <c r="G7" i="8" s="1"/>
  <c r="W6" i="8"/>
  <c r="F7" i="8" s="1"/>
  <c r="V6" i="8"/>
  <c r="E7" i="8" s="1"/>
  <c r="R6" i="8"/>
  <c r="Q6" i="8"/>
  <c r="D7" i="8" s="1"/>
  <c r="P6" i="8"/>
  <c r="C7" i="8" s="1"/>
  <c r="O6" i="8"/>
  <c r="B7" i="8" s="1"/>
  <c r="A6" i="8"/>
  <c r="A46" i="8" s="1"/>
  <c r="X5" i="8"/>
  <c r="G6" i="8" s="1"/>
  <c r="W5" i="8"/>
  <c r="F6" i="8" s="1"/>
  <c r="V5" i="8"/>
  <c r="E6" i="8" s="1"/>
  <c r="R5" i="8"/>
  <c r="Q5" i="8"/>
  <c r="D6" i="8" s="1"/>
  <c r="P5" i="8"/>
  <c r="C6" i="8" s="1"/>
  <c r="O5" i="8"/>
  <c r="B6" i="8" s="1"/>
  <c r="A5" i="8"/>
  <c r="K45" i="8" s="1"/>
  <c r="X4" i="8"/>
  <c r="G5" i="8" s="1"/>
  <c r="W4" i="8"/>
  <c r="F5" i="8" s="1"/>
  <c r="V4" i="8"/>
  <c r="E5" i="8" s="1"/>
  <c r="R4" i="8"/>
  <c r="Q4" i="8"/>
  <c r="D5" i="8" s="1"/>
  <c r="P4" i="8"/>
  <c r="C5" i="8" s="1"/>
  <c r="O4" i="8"/>
  <c r="B5" i="8" s="1"/>
  <c r="A4" i="8"/>
  <c r="A44" i="8" s="1"/>
  <c r="X3" i="8"/>
  <c r="G4" i="8" s="1"/>
  <c r="W3" i="8"/>
  <c r="F4" i="8" s="1"/>
  <c r="V3" i="8"/>
  <c r="E4" i="8" s="1"/>
  <c r="R3" i="8"/>
  <c r="Q3" i="8"/>
  <c r="D4" i="8" s="1"/>
  <c r="P3" i="8"/>
  <c r="C4" i="8" s="1"/>
  <c r="O3" i="8"/>
  <c r="B4" i="8" s="1"/>
  <c r="A35" i="3"/>
  <c r="A75" i="3" s="1"/>
  <c r="X34" i="3"/>
  <c r="G35" i="3" s="1"/>
  <c r="W34" i="3"/>
  <c r="F35" i="3" s="1"/>
  <c r="V34" i="3"/>
  <c r="E35" i="3" s="1"/>
  <c r="R34" i="3"/>
  <c r="Q34" i="3"/>
  <c r="D35" i="3" s="1"/>
  <c r="P34" i="3"/>
  <c r="C35" i="3" s="1"/>
  <c r="O34" i="3"/>
  <c r="B35" i="3" s="1"/>
  <c r="A34" i="3"/>
  <c r="K74" i="3" s="1"/>
  <c r="X33" i="3"/>
  <c r="G34" i="3" s="1"/>
  <c r="W33" i="3"/>
  <c r="F34" i="3" s="1"/>
  <c r="V33" i="3"/>
  <c r="E34" i="3" s="1"/>
  <c r="R33" i="3"/>
  <c r="Q33" i="3"/>
  <c r="D34" i="3" s="1"/>
  <c r="P33" i="3"/>
  <c r="C34" i="3" s="1"/>
  <c r="O33" i="3"/>
  <c r="B34" i="3" s="1"/>
  <c r="A33" i="3"/>
  <c r="A73" i="3" s="1"/>
  <c r="X32" i="3"/>
  <c r="G33" i="3" s="1"/>
  <c r="W32" i="3"/>
  <c r="F33" i="3" s="1"/>
  <c r="V32" i="3"/>
  <c r="E33" i="3" s="1"/>
  <c r="R32" i="3"/>
  <c r="Q32" i="3"/>
  <c r="D33" i="3" s="1"/>
  <c r="P32" i="3"/>
  <c r="C33" i="3" s="1"/>
  <c r="O32" i="3"/>
  <c r="B33" i="3" s="1"/>
  <c r="A32" i="3"/>
  <c r="K72" i="3" s="1"/>
  <c r="X31" i="3"/>
  <c r="G32" i="3" s="1"/>
  <c r="W31" i="3"/>
  <c r="F32" i="3" s="1"/>
  <c r="V31" i="3"/>
  <c r="E32" i="3" s="1"/>
  <c r="R31" i="3"/>
  <c r="Q31" i="3"/>
  <c r="D32" i="3" s="1"/>
  <c r="P31" i="3"/>
  <c r="C32" i="3" s="1"/>
  <c r="O31" i="3"/>
  <c r="B32" i="3" s="1"/>
  <c r="A31" i="3"/>
  <c r="A71" i="3" s="1"/>
  <c r="X30" i="3"/>
  <c r="G31" i="3" s="1"/>
  <c r="W30" i="3"/>
  <c r="F31" i="3" s="1"/>
  <c r="V30" i="3"/>
  <c r="E31" i="3" s="1"/>
  <c r="R30" i="3"/>
  <c r="Q30" i="3"/>
  <c r="D31" i="3" s="1"/>
  <c r="P30" i="3"/>
  <c r="C31" i="3" s="1"/>
  <c r="O30" i="3"/>
  <c r="B31" i="3" s="1"/>
  <c r="A30" i="3"/>
  <c r="K70" i="3" s="1"/>
  <c r="X29" i="3"/>
  <c r="G30" i="3" s="1"/>
  <c r="W29" i="3"/>
  <c r="F30" i="3" s="1"/>
  <c r="V29" i="3"/>
  <c r="E30" i="3" s="1"/>
  <c r="R29" i="3"/>
  <c r="Q29" i="3"/>
  <c r="D30" i="3" s="1"/>
  <c r="P29" i="3"/>
  <c r="C30" i="3" s="1"/>
  <c r="O29" i="3"/>
  <c r="B30" i="3" s="1"/>
  <c r="A29" i="3"/>
  <c r="A69" i="3" s="1"/>
  <c r="X28" i="3"/>
  <c r="G29" i="3" s="1"/>
  <c r="W28" i="3"/>
  <c r="F29" i="3" s="1"/>
  <c r="V28" i="3"/>
  <c r="E29" i="3" s="1"/>
  <c r="R28" i="3"/>
  <c r="Q28" i="3"/>
  <c r="D29" i="3" s="1"/>
  <c r="P28" i="3"/>
  <c r="C29" i="3" s="1"/>
  <c r="O28" i="3"/>
  <c r="B29" i="3" s="1"/>
  <c r="A28" i="3"/>
  <c r="K68" i="3" s="1"/>
  <c r="X27" i="3"/>
  <c r="G28" i="3" s="1"/>
  <c r="W27" i="3"/>
  <c r="F28" i="3" s="1"/>
  <c r="V27" i="3"/>
  <c r="E28" i="3" s="1"/>
  <c r="R27" i="3"/>
  <c r="Q27" i="3"/>
  <c r="D28" i="3" s="1"/>
  <c r="P27" i="3"/>
  <c r="C28" i="3" s="1"/>
  <c r="O27" i="3"/>
  <c r="B28" i="3" s="1"/>
  <c r="A27" i="3"/>
  <c r="A67" i="3" s="1"/>
  <c r="X26" i="3"/>
  <c r="G27" i="3" s="1"/>
  <c r="W26" i="3"/>
  <c r="F27" i="3" s="1"/>
  <c r="V26" i="3"/>
  <c r="E27" i="3" s="1"/>
  <c r="R26" i="3"/>
  <c r="Q26" i="3"/>
  <c r="D27" i="3" s="1"/>
  <c r="P26" i="3"/>
  <c r="C27" i="3" s="1"/>
  <c r="O26" i="3"/>
  <c r="B27" i="3" s="1"/>
  <c r="A26" i="3"/>
  <c r="K66" i="3" s="1"/>
  <c r="X25" i="3"/>
  <c r="G26" i="3" s="1"/>
  <c r="W25" i="3"/>
  <c r="F26" i="3" s="1"/>
  <c r="V25" i="3"/>
  <c r="E26" i="3" s="1"/>
  <c r="R25" i="3"/>
  <c r="Q25" i="3"/>
  <c r="D26" i="3" s="1"/>
  <c r="P25" i="3"/>
  <c r="C26" i="3" s="1"/>
  <c r="O25" i="3"/>
  <c r="B26" i="3" s="1"/>
  <c r="A25" i="3"/>
  <c r="A65" i="3" s="1"/>
  <c r="X24" i="3"/>
  <c r="G25" i="3" s="1"/>
  <c r="W24" i="3"/>
  <c r="F25" i="3" s="1"/>
  <c r="V24" i="3"/>
  <c r="E25" i="3" s="1"/>
  <c r="R24" i="3"/>
  <c r="Q24" i="3"/>
  <c r="D25" i="3" s="1"/>
  <c r="P24" i="3"/>
  <c r="C25" i="3" s="1"/>
  <c r="O24" i="3"/>
  <c r="B25" i="3" s="1"/>
  <c r="A24" i="3"/>
  <c r="K64" i="3" s="1"/>
  <c r="X23" i="3"/>
  <c r="G24" i="3" s="1"/>
  <c r="W23" i="3"/>
  <c r="F24" i="3" s="1"/>
  <c r="F64" i="3" s="1"/>
  <c r="V23" i="3"/>
  <c r="E24" i="3" s="1"/>
  <c r="R23" i="3"/>
  <c r="Q23" i="3"/>
  <c r="D24" i="3" s="1"/>
  <c r="P23" i="3"/>
  <c r="C24" i="3" s="1"/>
  <c r="O23" i="3"/>
  <c r="B24" i="3" s="1"/>
  <c r="A23" i="3"/>
  <c r="A63" i="3" s="1"/>
  <c r="X22" i="3"/>
  <c r="G23" i="3" s="1"/>
  <c r="W22" i="3"/>
  <c r="F23" i="3" s="1"/>
  <c r="V22" i="3"/>
  <c r="E23" i="3" s="1"/>
  <c r="R22" i="3"/>
  <c r="Q22" i="3"/>
  <c r="D23" i="3" s="1"/>
  <c r="P22" i="3"/>
  <c r="C23" i="3" s="1"/>
  <c r="O22" i="3"/>
  <c r="B23" i="3" s="1"/>
  <c r="A22" i="3"/>
  <c r="K62" i="3" s="1"/>
  <c r="X21" i="3"/>
  <c r="G22" i="3" s="1"/>
  <c r="W21" i="3"/>
  <c r="F22" i="3" s="1"/>
  <c r="V21" i="3"/>
  <c r="E22" i="3" s="1"/>
  <c r="R21" i="3"/>
  <c r="Q21" i="3"/>
  <c r="D22" i="3" s="1"/>
  <c r="P21" i="3"/>
  <c r="C22" i="3" s="1"/>
  <c r="O21" i="3"/>
  <c r="B22" i="3" s="1"/>
  <c r="A21" i="3"/>
  <c r="A61" i="3" s="1"/>
  <c r="X20" i="3"/>
  <c r="G21" i="3" s="1"/>
  <c r="W20" i="3"/>
  <c r="F21" i="3" s="1"/>
  <c r="F61" i="3" s="1"/>
  <c r="V20" i="3"/>
  <c r="E21" i="3" s="1"/>
  <c r="R20" i="3"/>
  <c r="Q20" i="3"/>
  <c r="D21" i="3" s="1"/>
  <c r="P20" i="3"/>
  <c r="C21" i="3" s="1"/>
  <c r="O20" i="3"/>
  <c r="B21" i="3" s="1"/>
  <c r="A20" i="3"/>
  <c r="K60" i="3" s="1"/>
  <c r="X19" i="3"/>
  <c r="G20" i="3" s="1"/>
  <c r="W19" i="3"/>
  <c r="F20" i="3" s="1"/>
  <c r="V19" i="3"/>
  <c r="E20" i="3" s="1"/>
  <c r="R19" i="3"/>
  <c r="Q19" i="3"/>
  <c r="D20" i="3" s="1"/>
  <c r="P19" i="3"/>
  <c r="C20" i="3" s="1"/>
  <c r="O19" i="3"/>
  <c r="B20" i="3" s="1"/>
  <c r="A19" i="3"/>
  <c r="A59" i="3" s="1"/>
  <c r="X18" i="3"/>
  <c r="G19" i="3" s="1"/>
  <c r="W18" i="3"/>
  <c r="F19" i="3" s="1"/>
  <c r="V18" i="3"/>
  <c r="E19" i="3" s="1"/>
  <c r="R18" i="3"/>
  <c r="Q18" i="3"/>
  <c r="D19" i="3" s="1"/>
  <c r="P18" i="3"/>
  <c r="C19" i="3" s="1"/>
  <c r="O18" i="3"/>
  <c r="B19" i="3" s="1"/>
  <c r="A18" i="3"/>
  <c r="K58" i="3" s="1"/>
  <c r="X17" i="3"/>
  <c r="G18" i="3" s="1"/>
  <c r="W17" i="3"/>
  <c r="F18" i="3" s="1"/>
  <c r="V17" i="3"/>
  <c r="E18" i="3" s="1"/>
  <c r="R17" i="3"/>
  <c r="Q17" i="3"/>
  <c r="D18" i="3" s="1"/>
  <c r="P17" i="3"/>
  <c r="C18" i="3" s="1"/>
  <c r="O17" i="3"/>
  <c r="B18" i="3" s="1"/>
  <c r="A17" i="3"/>
  <c r="A57" i="3" s="1"/>
  <c r="X16" i="3"/>
  <c r="G17" i="3" s="1"/>
  <c r="W16" i="3"/>
  <c r="F17" i="3" s="1"/>
  <c r="V16" i="3"/>
  <c r="E17" i="3" s="1"/>
  <c r="R16" i="3"/>
  <c r="Q16" i="3"/>
  <c r="D17" i="3" s="1"/>
  <c r="P16" i="3"/>
  <c r="C17" i="3" s="1"/>
  <c r="O16" i="3"/>
  <c r="B17" i="3" s="1"/>
  <c r="A16" i="3"/>
  <c r="K56" i="3" s="1"/>
  <c r="X15" i="3"/>
  <c r="G16" i="3" s="1"/>
  <c r="W15" i="3"/>
  <c r="F16" i="3" s="1"/>
  <c r="V15" i="3"/>
  <c r="E16" i="3" s="1"/>
  <c r="R15" i="3"/>
  <c r="Q15" i="3"/>
  <c r="D16" i="3" s="1"/>
  <c r="P15" i="3"/>
  <c r="C16" i="3" s="1"/>
  <c r="O15" i="3"/>
  <c r="B16" i="3" s="1"/>
  <c r="A15" i="3"/>
  <c r="A55" i="3" s="1"/>
  <c r="X14" i="3"/>
  <c r="G15" i="3" s="1"/>
  <c r="W14" i="3"/>
  <c r="F15" i="3" s="1"/>
  <c r="F55" i="3" s="1"/>
  <c r="V14" i="3"/>
  <c r="E15" i="3" s="1"/>
  <c r="R14" i="3"/>
  <c r="Q14" i="3"/>
  <c r="D15" i="3" s="1"/>
  <c r="P14" i="3"/>
  <c r="C15" i="3" s="1"/>
  <c r="O14" i="3"/>
  <c r="B15" i="3" s="1"/>
  <c r="A14" i="3"/>
  <c r="K54" i="3" s="1"/>
  <c r="X13" i="3"/>
  <c r="G14" i="3" s="1"/>
  <c r="W13" i="3"/>
  <c r="F14" i="3" s="1"/>
  <c r="P54" i="3" s="1"/>
  <c r="V13" i="3"/>
  <c r="E14" i="3" s="1"/>
  <c r="R13" i="3"/>
  <c r="Q13" i="3"/>
  <c r="D14" i="3" s="1"/>
  <c r="P13" i="3"/>
  <c r="C14" i="3" s="1"/>
  <c r="O13" i="3"/>
  <c r="B14" i="3" s="1"/>
  <c r="A13" i="3"/>
  <c r="A53" i="3" s="1"/>
  <c r="X12" i="3"/>
  <c r="G13" i="3" s="1"/>
  <c r="W12" i="3"/>
  <c r="F13" i="3" s="1"/>
  <c r="V12" i="3"/>
  <c r="E13" i="3" s="1"/>
  <c r="R12" i="3"/>
  <c r="Q12" i="3"/>
  <c r="D13" i="3" s="1"/>
  <c r="P12" i="3"/>
  <c r="C13" i="3" s="1"/>
  <c r="O12" i="3"/>
  <c r="B13" i="3" s="1"/>
  <c r="A12" i="3"/>
  <c r="K52" i="3" s="1"/>
  <c r="X11" i="3"/>
  <c r="G12" i="3" s="1"/>
  <c r="W11" i="3"/>
  <c r="F12" i="3" s="1"/>
  <c r="V11" i="3"/>
  <c r="E12" i="3" s="1"/>
  <c r="R11" i="3"/>
  <c r="Q11" i="3"/>
  <c r="D12" i="3" s="1"/>
  <c r="P11" i="3"/>
  <c r="C12" i="3" s="1"/>
  <c r="O11" i="3"/>
  <c r="B12" i="3" s="1"/>
  <c r="A11" i="3"/>
  <c r="A51" i="3" s="1"/>
  <c r="X10" i="3"/>
  <c r="G11" i="3" s="1"/>
  <c r="W10" i="3"/>
  <c r="F11" i="3" s="1"/>
  <c r="V10" i="3"/>
  <c r="E11" i="3" s="1"/>
  <c r="R10" i="3"/>
  <c r="Q10" i="3"/>
  <c r="D11" i="3" s="1"/>
  <c r="P10" i="3"/>
  <c r="C11" i="3" s="1"/>
  <c r="O10" i="3"/>
  <c r="B11" i="3" s="1"/>
  <c r="A10" i="3"/>
  <c r="K50" i="3" s="1"/>
  <c r="X9" i="3"/>
  <c r="G10" i="3" s="1"/>
  <c r="W9" i="3"/>
  <c r="F10" i="3" s="1"/>
  <c r="V9" i="3"/>
  <c r="E10" i="3" s="1"/>
  <c r="R9" i="3"/>
  <c r="Q9" i="3"/>
  <c r="D10" i="3" s="1"/>
  <c r="P9" i="3"/>
  <c r="C10" i="3" s="1"/>
  <c r="O9" i="3"/>
  <c r="B10" i="3" s="1"/>
  <c r="A9" i="3"/>
  <c r="A49" i="3" s="1"/>
  <c r="X8" i="3"/>
  <c r="G9" i="3" s="1"/>
  <c r="W8" i="3"/>
  <c r="F9" i="3" s="1"/>
  <c r="V8" i="3"/>
  <c r="E9" i="3" s="1"/>
  <c r="R8" i="3"/>
  <c r="Q8" i="3"/>
  <c r="D9" i="3" s="1"/>
  <c r="P8" i="3"/>
  <c r="C9" i="3" s="1"/>
  <c r="O8" i="3"/>
  <c r="B9" i="3" s="1"/>
  <c r="A8" i="3"/>
  <c r="K48" i="3" s="1"/>
  <c r="X7" i="3"/>
  <c r="G8" i="3" s="1"/>
  <c r="W7" i="3"/>
  <c r="F8" i="3" s="1"/>
  <c r="V7" i="3"/>
  <c r="E8" i="3" s="1"/>
  <c r="R7" i="3"/>
  <c r="Q7" i="3"/>
  <c r="D8" i="3" s="1"/>
  <c r="P7" i="3"/>
  <c r="C8" i="3" s="1"/>
  <c r="O7" i="3"/>
  <c r="B8" i="3" s="1"/>
  <c r="A7" i="3"/>
  <c r="A47" i="3" s="1"/>
  <c r="X6" i="3"/>
  <c r="G7" i="3" s="1"/>
  <c r="W6" i="3"/>
  <c r="F7" i="3" s="1"/>
  <c r="V6" i="3"/>
  <c r="E7" i="3" s="1"/>
  <c r="R6" i="3"/>
  <c r="Q6" i="3"/>
  <c r="D7" i="3" s="1"/>
  <c r="P6" i="3"/>
  <c r="C7" i="3" s="1"/>
  <c r="O6" i="3"/>
  <c r="B7" i="3" s="1"/>
  <c r="A6" i="3"/>
  <c r="K46" i="3" s="1"/>
  <c r="X5" i="3"/>
  <c r="G6" i="3" s="1"/>
  <c r="W5" i="3"/>
  <c r="F6" i="3" s="1"/>
  <c r="V5" i="3"/>
  <c r="E6" i="3" s="1"/>
  <c r="R5" i="3"/>
  <c r="Q5" i="3"/>
  <c r="D6" i="3" s="1"/>
  <c r="P5" i="3"/>
  <c r="C6" i="3" s="1"/>
  <c r="O5" i="3"/>
  <c r="B6" i="3" s="1"/>
  <c r="A5" i="3"/>
  <c r="A45" i="3" s="1"/>
  <c r="X4" i="3"/>
  <c r="G5" i="3" s="1"/>
  <c r="W4" i="3"/>
  <c r="F5" i="3" s="1"/>
  <c r="V4" i="3"/>
  <c r="E5" i="3" s="1"/>
  <c r="R4" i="3"/>
  <c r="Q4" i="3"/>
  <c r="D5" i="3" s="1"/>
  <c r="P4" i="3"/>
  <c r="C5" i="3" s="1"/>
  <c r="O4" i="3"/>
  <c r="B5" i="3" s="1"/>
  <c r="A4" i="3"/>
  <c r="K44" i="3" s="1"/>
  <c r="X3" i="3"/>
  <c r="G4" i="3" s="1"/>
  <c r="W3" i="3"/>
  <c r="F4" i="3" s="1"/>
  <c r="V3" i="3"/>
  <c r="E4" i="3" s="1"/>
  <c r="R3" i="3"/>
  <c r="Q3" i="3"/>
  <c r="D4" i="3" s="1"/>
  <c r="P3" i="3"/>
  <c r="C4" i="3" s="1"/>
  <c r="O3" i="3"/>
  <c r="B4" i="3" s="1"/>
  <c r="A35" i="6"/>
  <c r="K75" i="6" s="1"/>
  <c r="X34" i="6"/>
  <c r="G35" i="6" s="1"/>
  <c r="W34" i="6"/>
  <c r="F35" i="6" s="1"/>
  <c r="V34" i="6"/>
  <c r="E35" i="6" s="1"/>
  <c r="R34" i="6"/>
  <c r="Q34" i="6"/>
  <c r="D35" i="6" s="1"/>
  <c r="P34" i="6"/>
  <c r="C35" i="6" s="1"/>
  <c r="O34" i="6"/>
  <c r="B35" i="6" s="1"/>
  <c r="A34" i="6"/>
  <c r="A74" i="6" s="1"/>
  <c r="X33" i="6"/>
  <c r="G34" i="6" s="1"/>
  <c r="W33" i="6"/>
  <c r="F34" i="6" s="1"/>
  <c r="V33" i="6"/>
  <c r="E34" i="6" s="1"/>
  <c r="R33" i="6"/>
  <c r="Q33" i="6"/>
  <c r="D34" i="6" s="1"/>
  <c r="P33" i="6"/>
  <c r="C34" i="6" s="1"/>
  <c r="O33" i="6"/>
  <c r="B34" i="6" s="1"/>
  <c r="A33" i="6"/>
  <c r="K73" i="6" s="1"/>
  <c r="X32" i="6"/>
  <c r="G33" i="6" s="1"/>
  <c r="W32" i="6"/>
  <c r="F33" i="6" s="1"/>
  <c r="V32" i="6"/>
  <c r="E33" i="6" s="1"/>
  <c r="R32" i="6"/>
  <c r="Q32" i="6"/>
  <c r="D33" i="6" s="1"/>
  <c r="P32" i="6"/>
  <c r="C33" i="6" s="1"/>
  <c r="O32" i="6"/>
  <c r="B33" i="6" s="1"/>
  <c r="A32" i="6"/>
  <c r="A72" i="6" s="1"/>
  <c r="X31" i="6"/>
  <c r="G32" i="6" s="1"/>
  <c r="W31" i="6"/>
  <c r="F32" i="6" s="1"/>
  <c r="V31" i="6"/>
  <c r="E32" i="6" s="1"/>
  <c r="R31" i="6"/>
  <c r="Q31" i="6"/>
  <c r="D32" i="6" s="1"/>
  <c r="P31" i="6"/>
  <c r="C32" i="6" s="1"/>
  <c r="O31" i="6"/>
  <c r="B32" i="6" s="1"/>
  <c r="A31" i="6"/>
  <c r="K71" i="6" s="1"/>
  <c r="X30" i="6"/>
  <c r="G31" i="6" s="1"/>
  <c r="W30" i="6"/>
  <c r="F31" i="6" s="1"/>
  <c r="V30" i="6"/>
  <c r="E31" i="6" s="1"/>
  <c r="R30" i="6"/>
  <c r="Q30" i="6"/>
  <c r="D31" i="6" s="1"/>
  <c r="P30" i="6"/>
  <c r="C31" i="6" s="1"/>
  <c r="O30" i="6"/>
  <c r="B31" i="6" s="1"/>
  <c r="A30" i="6"/>
  <c r="A70" i="6" s="1"/>
  <c r="X29" i="6"/>
  <c r="G30" i="6" s="1"/>
  <c r="W29" i="6"/>
  <c r="F30" i="6" s="1"/>
  <c r="V29" i="6"/>
  <c r="E30" i="6" s="1"/>
  <c r="R29" i="6"/>
  <c r="Q29" i="6"/>
  <c r="D30" i="6" s="1"/>
  <c r="P29" i="6"/>
  <c r="C30" i="6" s="1"/>
  <c r="O29" i="6"/>
  <c r="B30" i="6" s="1"/>
  <c r="A29" i="6"/>
  <c r="K69" i="6" s="1"/>
  <c r="X28" i="6"/>
  <c r="G29" i="6" s="1"/>
  <c r="W28" i="6"/>
  <c r="F29" i="6" s="1"/>
  <c r="V28" i="6"/>
  <c r="E29" i="6" s="1"/>
  <c r="R28" i="6"/>
  <c r="Q28" i="6"/>
  <c r="D29" i="6" s="1"/>
  <c r="P28" i="6"/>
  <c r="C29" i="6" s="1"/>
  <c r="O28" i="6"/>
  <c r="B29" i="6" s="1"/>
  <c r="A28" i="6"/>
  <c r="A68" i="6" s="1"/>
  <c r="X27" i="6"/>
  <c r="G28" i="6" s="1"/>
  <c r="W27" i="6"/>
  <c r="F28" i="6" s="1"/>
  <c r="V27" i="6"/>
  <c r="E28" i="6" s="1"/>
  <c r="R27" i="6"/>
  <c r="Q27" i="6"/>
  <c r="D28" i="6" s="1"/>
  <c r="P27" i="6"/>
  <c r="C28" i="6" s="1"/>
  <c r="O27" i="6"/>
  <c r="B28" i="6" s="1"/>
  <c r="A27" i="6"/>
  <c r="K67" i="6" s="1"/>
  <c r="X26" i="6"/>
  <c r="G27" i="6" s="1"/>
  <c r="W26" i="6"/>
  <c r="F27" i="6" s="1"/>
  <c r="V26" i="6"/>
  <c r="E27" i="6" s="1"/>
  <c r="R26" i="6"/>
  <c r="Q26" i="6"/>
  <c r="D27" i="6" s="1"/>
  <c r="P26" i="6"/>
  <c r="C27" i="6" s="1"/>
  <c r="O26" i="6"/>
  <c r="B27" i="6" s="1"/>
  <c r="A26" i="6"/>
  <c r="A66" i="6" s="1"/>
  <c r="X25" i="6"/>
  <c r="G26" i="6" s="1"/>
  <c r="W25" i="6"/>
  <c r="F26" i="6" s="1"/>
  <c r="V25" i="6"/>
  <c r="E26" i="6" s="1"/>
  <c r="R25" i="6"/>
  <c r="Q25" i="6"/>
  <c r="D26" i="6" s="1"/>
  <c r="P25" i="6"/>
  <c r="C26" i="6" s="1"/>
  <c r="O25" i="6"/>
  <c r="B26" i="6" s="1"/>
  <c r="A25" i="6"/>
  <c r="K65" i="6" s="1"/>
  <c r="X24" i="6"/>
  <c r="G25" i="6" s="1"/>
  <c r="W24" i="6"/>
  <c r="F25" i="6" s="1"/>
  <c r="V24" i="6"/>
  <c r="E25" i="6" s="1"/>
  <c r="R24" i="6"/>
  <c r="Q24" i="6"/>
  <c r="D25" i="6" s="1"/>
  <c r="P24" i="6"/>
  <c r="C25" i="6" s="1"/>
  <c r="O24" i="6"/>
  <c r="B25" i="6" s="1"/>
  <c r="A24" i="6"/>
  <c r="A64" i="6" s="1"/>
  <c r="X23" i="6"/>
  <c r="G24" i="6" s="1"/>
  <c r="W23" i="6"/>
  <c r="F24" i="6" s="1"/>
  <c r="V23" i="6"/>
  <c r="E24" i="6" s="1"/>
  <c r="R23" i="6"/>
  <c r="Q23" i="6"/>
  <c r="D24" i="6" s="1"/>
  <c r="P23" i="6"/>
  <c r="C24" i="6" s="1"/>
  <c r="O23" i="6"/>
  <c r="B24" i="6" s="1"/>
  <c r="A23" i="6"/>
  <c r="K63" i="6" s="1"/>
  <c r="X22" i="6"/>
  <c r="G23" i="6" s="1"/>
  <c r="W22" i="6"/>
  <c r="F23" i="6" s="1"/>
  <c r="V22" i="6"/>
  <c r="E23" i="6" s="1"/>
  <c r="R22" i="6"/>
  <c r="Q22" i="6"/>
  <c r="D23" i="6" s="1"/>
  <c r="P22" i="6"/>
  <c r="C23" i="6" s="1"/>
  <c r="O22" i="6"/>
  <c r="B23" i="6" s="1"/>
  <c r="A22" i="6"/>
  <c r="A62" i="6" s="1"/>
  <c r="X21" i="6"/>
  <c r="G22" i="6" s="1"/>
  <c r="W21" i="6"/>
  <c r="F22" i="6" s="1"/>
  <c r="V21" i="6"/>
  <c r="E22" i="6" s="1"/>
  <c r="R21" i="6"/>
  <c r="Q21" i="6"/>
  <c r="D22" i="6" s="1"/>
  <c r="P21" i="6"/>
  <c r="C22" i="6" s="1"/>
  <c r="O21" i="6"/>
  <c r="B22" i="6" s="1"/>
  <c r="A21" i="6"/>
  <c r="K61" i="6" s="1"/>
  <c r="X20" i="6"/>
  <c r="G21" i="6" s="1"/>
  <c r="W20" i="6"/>
  <c r="F21" i="6" s="1"/>
  <c r="V20" i="6"/>
  <c r="E21" i="6" s="1"/>
  <c r="R20" i="6"/>
  <c r="Q20" i="6"/>
  <c r="D21" i="6" s="1"/>
  <c r="P20" i="6"/>
  <c r="C21" i="6" s="1"/>
  <c r="O20" i="6"/>
  <c r="B21" i="6" s="1"/>
  <c r="A20" i="6"/>
  <c r="A60" i="6" s="1"/>
  <c r="X19" i="6"/>
  <c r="G20" i="6" s="1"/>
  <c r="W19" i="6"/>
  <c r="F20" i="6" s="1"/>
  <c r="V19" i="6"/>
  <c r="E20" i="6" s="1"/>
  <c r="R19" i="6"/>
  <c r="Q19" i="6"/>
  <c r="D20" i="6" s="1"/>
  <c r="P19" i="6"/>
  <c r="C20" i="6" s="1"/>
  <c r="O19" i="6"/>
  <c r="B20" i="6" s="1"/>
  <c r="A19" i="6"/>
  <c r="K59" i="6" s="1"/>
  <c r="X18" i="6"/>
  <c r="G19" i="6" s="1"/>
  <c r="W18" i="6"/>
  <c r="F19" i="6" s="1"/>
  <c r="V18" i="6"/>
  <c r="E19" i="6" s="1"/>
  <c r="R18" i="6"/>
  <c r="Q18" i="6"/>
  <c r="D19" i="6" s="1"/>
  <c r="P18" i="6"/>
  <c r="C19" i="6" s="1"/>
  <c r="O18" i="6"/>
  <c r="B19" i="6" s="1"/>
  <c r="A18" i="6"/>
  <c r="A58" i="6" s="1"/>
  <c r="X17" i="6"/>
  <c r="G18" i="6" s="1"/>
  <c r="W17" i="6"/>
  <c r="F18" i="6" s="1"/>
  <c r="V17" i="6"/>
  <c r="E18" i="6" s="1"/>
  <c r="R17" i="6"/>
  <c r="Q17" i="6"/>
  <c r="D18" i="6" s="1"/>
  <c r="P17" i="6"/>
  <c r="C18" i="6" s="1"/>
  <c r="O17" i="6"/>
  <c r="B18" i="6" s="1"/>
  <c r="A17" i="6"/>
  <c r="K57" i="6" s="1"/>
  <c r="X16" i="6"/>
  <c r="G17" i="6" s="1"/>
  <c r="W16" i="6"/>
  <c r="F17" i="6" s="1"/>
  <c r="V16" i="6"/>
  <c r="E17" i="6" s="1"/>
  <c r="R16" i="6"/>
  <c r="Q16" i="6"/>
  <c r="D17" i="6" s="1"/>
  <c r="P16" i="6"/>
  <c r="C17" i="6" s="1"/>
  <c r="O16" i="6"/>
  <c r="B17" i="6" s="1"/>
  <c r="A16" i="6"/>
  <c r="A56" i="6" s="1"/>
  <c r="X15" i="6"/>
  <c r="G16" i="6" s="1"/>
  <c r="W15" i="6"/>
  <c r="F16" i="6" s="1"/>
  <c r="V15" i="6"/>
  <c r="E16" i="6" s="1"/>
  <c r="R15" i="6"/>
  <c r="Q15" i="6"/>
  <c r="D16" i="6" s="1"/>
  <c r="P15" i="6"/>
  <c r="C16" i="6" s="1"/>
  <c r="O15" i="6"/>
  <c r="B16" i="6" s="1"/>
  <c r="F15" i="6"/>
  <c r="A15" i="6"/>
  <c r="K55" i="6" s="1"/>
  <c r="X14" i="6"/>
  <c r="G15" i="6" s="1"/>
  <c r="W14" i="6"/>
  <c r="V14" i="6"/>
  <c r="E15" i="6" s="1"/>
  <c r="R14" i="6"/>
  <c r="Q14" i="6"/>
  <c r="D15" i="6" s="1"/>
  <c r="P14" i="6"/>
  <c r="C15" i="6" s="1"/>
  <c r="O14" i="6"/>
  <c r="B15" i="6" s="1"/>
  <c r="A14" i="6"/>
  <c r="A54" i="6" s="1"/>
  <c r="X13" i="6"/>
  <c r="G14" i="6" s="1"/>
  <c r="W13" i="6"/>
  <c r="F14" i="6" s="1"/>
  <c r="V13" i="6"/>
  <c r="E14" i="6" s="1"/>
  <c r="R13" i="6"/>
  <c r="Q13" i="6"/>
  <c r="D14" i="6" s="1"/>
  <c r="P13" i="6"/>
  <c r="C14" i="6" s="1"/>
  <c r="O13" i="6"/>
  <c r="B14" i="6" s="1"/>
  <c r="A13" i="6"/>
  <c r="K53" i="6" s="1"/>
  <c r="X12" i="6"/>
  <c r="G13" i="6" s="1"/>
  <c r="W12" i="6"/>
  <c r="F13" i="6" s="1"/>
  <c r="V12" i="6"/>
  <c r="E13" i="6" s="1"/>
  <c r="R12" i="6"/>
  <c r="Q12" i="6"/>
  <c r="D13" i="6" s="1"/>
  <c r="P12" i="6"/>
  <c r="C13" i="6" s="1"/>
  <c r="O12" i="6"/>
  <c r="B13" i="6" s="1"/>
  <c r="A12" i="6"/>
  <c r="A52" i="6" s="1"/>
  <c r="X11" i="6"/>
  <c r="G12" i="6" s="1"/>
  <c r="W11" i="6"/>
  <c r="F12" i="6" s="1"/>
  <c r="V11" i="6"/>
  <c r="E12" i="6" s="1"/>
  <c r="R11" i="6"/>
  <c r="Q11" i="6"/>
  <c r="D12" i="6" s="1"/>
  <c r="P11" i="6"/>
  <c r="C12" i="6" s="1"/>
  <c r="O11" i="6"/>
  <c r="B12" i="6" s="1"/>
  <c r="A11" i="6"/>
  <c r="K51" i="6" s="1"/>
  <c r="X10" i="6"/>
  <c r="G11" i="6" s="1"/>
  <c r="W10" i="6"/>
  <c r="F11" i="6" s="1"/>
  <c r="V10" i="6"/>
  <c r="E11" i="6" s="1"/>
  <c r="R10" i="6"/>
  <c r="Q10" i="6"/>
  <c r="D11" i="6" s="1"/>
  <c r="P10" i="6"/>
  <c r="C11" i="6" s="1"/>
  <c r="O10" i="6"/>
  <c r="B11" i="6" s="1"/>
  <c r="A10" i="6"/>
  <c r="K50" i="6" s="1"/>
  <c r="X9" i="6"/>
  <c r="G10" i="6" s="1"/>
  <c r="W9" i="6"/>
  <c r="F10" i="6" s="1"/>
  <c r="V9" i="6"/>
  <c r="E10" i="6" s="1"/>
  <c r="R9" i="6"/>
  <c r="Q9" i="6"/>
  <c r="D10" i="6" s="1"/>
  <c r="P9" i="6"/>
  <c r="C10" i="6" s="1"/>
  <c r="O9" i="6"/>
  <c r="B10" i="6" s="1"/>
  <c r="A9" i="6"/>
  <c r="K49" i="6" s="1"/>
  <c r="X8" i="6"/>
  <c r="G9" i="6" s="1"/>
  <c r="W8" i="6"/>
  <c r="F9" i="6" s="1"/>
  <c r="V8" i="6"/>
  <c r="E9" i="6" s="1"/>
  <c r="R8" i="6"/>
  <c r="Q8" i="6"/>
  <c r="D9" i="6" s="1"/>
  <c r="P8" i="6"/>
  <c r="C9" i="6" s="1"/>
  <c r="O8" i="6"/>
  <c r="B9" i="6" s="1"/>
  <c r="A8" i="6"/>
  <c r="A48" i="6" s="1"/>
  <c r="X7" i="6"/>
  <c r="G8" i="6" s="1"/>
  <c r="W7" i="6"/>
  <c r="F8" i="6" s="1"/>
  <c r="V7" i="6"/>
  <c r="E8" i="6" s="1"/>
  <c r="R7" i="6"/>
  <c r="Q7" i="6"/>
  <c r="D8" i="6" s="1"/>
  <c r="P7" i="6"/>
  <c r="C8" i="6" s="1"/>
  <c r="O7" i="6"/>
  <c r="B8" i="6" s="1"/>
  <c r="A7" i="6"/>
  <c r="K47" i="6" s="1"/>
  <c r="X6" i="6"/>
  <c r="G7" i="6" s="1"/>
  <c r="W6" i="6"/>
  <c r="F7" i="6" s="1"/>
  <c r="V6" i="6"/>
  <c r="E7" i="6" s="1"/>
  <c r="R6" i="6"/>
  <c r="Q6" i="6"/>
  <c r="D7" i="6" s="1"/>
  <c r="P6" i="6"/>
  <c r="C7" i="6" s="1"/>
  <c r="O6" i="6"/>
  <c r="B7" i="6" s="1"/>
  <c r="A6" i="6"/>
  <c r="K46" i="6" s="1"/>
  <c r="X5" i="6"/>
  <c r="G6" i="6" s="1"/>
  <c r="W5" i="6"/>
  <c r="F6" i="6" s="1"/>
  <c r="V5" i="6"/>
  <c r="E6" i="6" s="1"/>
  <c r="R5" i="6"/>
  <c r="Q5" i="6"/>
  <c r="D6" i="6" s="1"/>
  <c r="P5" i="6"/>
  <c r="C6" i="6" s="1"/>
  <c r="O5" i="6"/>
  <c r="B6" i="6" s="1"/>
  <c r="A5" i="6"/>
  <c r="K45" i="6" s="1"/>
  <c r="X4" i="6"/>
  <c r="G5" i="6" s="1"/>
  <c r="W4" i="6"/>
  <c r="F5" i="6" s="1"/>
  <c r="V4" i="6"/>
  <c r="E5" i="6" s="1"/>
  <c r="R4" i="6"/>
  <c r="Q4" i="6"/>
  <c r="D5" i="6" s="1"/>
  <c r="P4" i="6"/>
  <c r="C5" i="6" s="1"/>
  <c r="O4" i="6"/>
  <c r="B5" i="6" s="1"/>
  <c r="A4" i="6"/>
  <c r="A44" i="6" s="1"/>
  <c r="X3" i="6"/>
  <c r="G4" i="6" s="1"/>
  <c r="W3" i="6"/>
  <c r="F4" i="6" s="1"/>
  <c r="V3" i="6"/>
  <c r="E4" i="6" s="1"/>
  <c r="R3" i="6"/>
  <c r="Q3" i="6"/>
  <c r="D4" i="6" s="1"/>
  <c r="P3" i="6"/>
  <c r="C4" i="6" s="1"/>
  <c r="O3" i="6"/>
  <c r="B4" i="6" s="1"/>
  <c r="A35" i="12"/>
  <c r="A75" i="12" s="1"/>
  <c r="X34" i="12"/>
  <c r="G35" i="12" s="1"/>
  <c r="W34" i="12"/>
  <c r="F35" i="12" s="1"/>
  <c r="V34" i="12"/>
  <c r="E35" i="12" s="1"/>
  <c r="R34" i="12"/>
  <c r="Q34" i="12"/>
  <c r="D35" i="12" s="1"/>
  <c r="P34" i="12"/>
  <c r="C35" i="12" s="1"/>
  <c r="O34" i="12"/>
  <c r="B35" i="12" s="1"/>
  <c r="A34" i="12"/>
  <c r="K74" i="12" s="1"/>
  <c r="X33" i="12"/>
  <c r="G34" i="12" s="1"/>
  <c r="W33" i="12"/>
  <c r="F34" i="12" s="1"/>
  <c r="V33" i="12"/>
  <c r="E34" i="12" s="1"/>
  <c r="R33" i="12"/>
  <c r="Q33" i="12"/>
  <c r="D34" i="12" s="1"/>
  <c r="P33" i="12"/>
  <c r="C34" i="12" s="1"/>
  <c r="O33" i="12"/>
  <c r="B34" i="12" s="1"/>
  <c r="A33" i="12"/>
  <c r="A73" i="12" s="1"/>
  <c r="X32" i="12"/>
  <c r="G33" i="12" s="1"/>
  <c r="W32" i="12"/>
  <c r="F33" i="12" s="1"/>
  <c r="V32" i="12"/>
  <c r="E33" i="12" s="1"/>
  <c r="R32" i="12"/>
  <c r="Q32" i="12"/>
  <c r="D33" i="12" s="1"/>
  <c r="P32" i="12"/>
  <c r="C33" i="12" s="1"/>
  <c r="O32" i="12"/>
  <c r="B33" i="12" s="1"/>
  <c r="A32" i="12"/>
  <c r="K72" i="12" s="1"/>
  <c r="X31" i="12"/>
  <c r="G32" i="12" s="1"/>
  <c r="W31" i="12"/>
  <c r="F32" i="12" s="1"/>
  <c r="V31" i="12"/>
  <c r="E32" i="12" s="1"/>
  <c r="R31" i="12"/>
  <c r="Q31" i="12"/>
  <c r="D32" i="12" s="1"/>
  <c r="P31" i="12"/>
  <c r="C32" i="12" s="1"/>
  <c r="O31" i="12"/>
  <c r="B32" i="12" s="1"/>
  <c r="A31" i="12"/>
  <c r="A71" i="12" s="1"/>
  <c r="X30" i="12"/>
  <c r="G31" i="12" s="1"/>
  <c r="W30" i="12"/>
  <c r="F31" i="12" s="1"/>
  <c r="V30" i="12"/>
  <c r="E31" i="12" s="1"/>
  <c r="R30" i="12"/>
  <c r="Q30" i="12"/>
  <c r="D31" i="12" s="1"/>
  <c r="P30" i="12"/>
  <c r="C31" i="12" s="1"/>
  <c r="O30" i="12"/>
  <c r="B31" i="12" s="1"/>
  <c r="A30" i="12"/>
  <c r="K70" i="12" s="1"/>
  <c r="X29" i="12"/>
  <c r="G30" i="12" s="1"/>
  <c r="W29" i="12"/>
  <c r="F30" i="12" s="1"/>
  <c r="V29" i="12"/>
  <c r="E30" i="12" s="1"/>
  <c r="R29" i="12"/>
  <c r="Q29" i="12"/>
  <c r="D30" i="12" s="1"/>
  <c r="P29" i="12"/>
  <c r="C30" i="12" s="1"/>
  <c r="O29" i="12"/>
  <c r="B30" i="12" s="1"/>
  <c r="A29" i="12"/>
  <c r="A69" i="12" s="1"/>
  <c r="X28" i="12"/>
  <c r="G29" i="12" s="1"/>
  <c r="W28" i="12"/>
  <c r="F29" i="12" s="1"/>
  <c r="V28" i="12"/>
  <c r="E29" i="12" s="1"/>
  <c r="R28" i="12"/>
  <c r="Q28" i="12"/>
  <c r="D29" i="12" s="1"/>
  <c r="P28" i="12"/>
  <c r="C29" i="12" s="1"/>
  <c r="O28" i="12"/>
  <c r="B29" i="12" s="1"/>
  <c r="A28" i="12"/>
  <c r="K68" i="12" s="1"/>
  <c r="X27" i="12"/>
  <c r="G28" i="12" s="1"/>
  <c r="W27" i="12"/>
  <c r="F28" i="12" s="1"/>
  <c r="V27" i="12"/>
  <c r="E28" i="12" s="1"/>
  <c r="R27" i="12"/>
  <c r="Q27" i="12"/>
  <c r="D28" i="12" s="1"/>
  <c r="P27" i="12"/>
  <c r="C28" i="12" s="1"/>
  <c r="O27" i="12"/>
  <c r="B28" i="12" s="1"/>
  <c r="A27" i="12"/>
  <c r="A67" i="12" s="1"/>
  <c r="X26" i="12"/>
  <c r="G27" i="12" s="1"/>
  <c r="W26" i="12"/>
  <c r="F27" i="12" s="1"/>
  <c r="V26" i="12"/>
  <c r="E27" i="12" s="1"/>
  <c r="R26" i="12"/>
  <c r="Q26" i="12"/>
  <c r="D27" i="12" s="1"/>
  <c r="P26" i="12"/>
  <c r="C27" i="12" s="1"/>
  <c r="O26" i="12"/>
  <c r="B27" i="12" s="1"/>
  <c r="A26" i="12"/>
  <c r="K66" i="12" s="1"/>
  <c r="X25" i="12"/>
  <c r="G26" i="12" s="1"/>
  <c r="W25" i="12"/>
  <c r="F26" i="12" s="1"/>
  <c r="V25" i="12"/>
  <c r="E26" i="12" s="1"/>
  <c r="R25" i="12"/>
  <c r="Q25" i="12"/>
  <c r="D26" i="12" s="1"/>
  <c r="P25" i="12"/>
  <c r="C26" i="12" s="1"/>
  <c r="O25" i="12"/>
  <c r="B26" i="12" s="1"/>
  <c r="A25" i="12"/>
  <c r="A65" i="12" s="1"/>
  <c r="X24" i="12"/>
  <c r="G25" i="12" s="1"/>
  <c r="W24" i="12"/>
  <c r="F25" i="12" s="1"/>
  <c r="V24" i="12"/>
  <c r="E25" i="12" s="1"/>
  <c r="R24" i="12"/>
  <c r="Q24" i="12"/>
  <c r="D25" i="12" s="1"/>
  <c r="P24" i="12"/>
  <c r="C25" i="12" s="1"/>
  <c r="O24" i="12"/>
  <c r="B25" i="12" s="1"/>
  <c r="A24" i="12"/>
  <c r="K64" i="12" s="1"/>
  <c r="X23" i="12"/>
  <c r="G24" i="12" s="1"/>
  <c r="W23" i="12"/>
  <c r="F24" i="12" s="1"/>
  <c r="V23" i="12"/>
  <c r="E24" i="12" s="1"/>
  <c r="R23" i="12"/>
  <c r="Q23" i="12"/>
  <c r="D24" i="12" s="1"/>
  <c r="P23" i="12"/>
  <c r="C24" i="12" s="1"/>
  <c r="O23" i="12"/>
  <c r="B24" i="12" s="1"/>
  <c r="A23" i="12"/>
  <c r="A63" i="12" s="1"/>
  <c r="X22" i="12"/>
  <c r="G23" i="12" s="1"/>
  <c r="W22" i="12"/>
  <c r="F23" i="12" s="1"/>
  <c r="V22" i="12"/>
  <c r="E23" i="12" s="1"/>
  <c r="R22" i="12"/>
  <c r="Q22" i="12"/>
  <c r="D23" i="12" s="1"/>
  <c r="P22" i="12"/>
  <c r="C23" i="12" s="1"/>
  <c r="O22" i="12"/>
  <c r="B23" i="12" s="1"/>
  <c r="A22" i="12"/>
  <c r="K62" i="12" s="1"/>
  <c r="X21" i="12"/>
  <c r="G22" i="12" s="1"/>
  <c r="W21" i="12"/>
  <c r="F22" i="12" s="1"/>
  <c r="V21" i="12"/>
  <c r="E22" i="12" s="1"/>
  <c r="R21" i="12"/>
  <c r="Q21" i="12"/>
  <c r="D22" i="12" s="1"/>
  <c r="P21" i="12"/>
  <c r="C22" i="12" s="1"/>
  <c r="O21" i="12"/>
  <c r="B22" i="12" s="1"/>
  <c r="A21" i="12"/>
  <c r="A61" i="12" s="1"/>
  <c r="X20" i="12"/>
  <c r="G21" i="12" s="1"/>
  <c r="W20" i="12"/>
  <c r="F21" i="12" s="1"/>
  <c r="V20" i="12"/>
  <c r="E21" i="12" s="1"/>
  <c r="R20" i="12"/>
  <c r="Q20" i="12"/>
  <c r="D21" i="12" s="1"/>
  <c r="P20" i="12"/>
  <c r="C21" i="12" s="1"/>
  <c r="O20" i="12"/>
  <c r="B21" i="12" s="1"/>
  <c r="A20" i="12"/>
  <c r="K60" i="12" s="1"/>
  <c r="X19" i="12"/>
  <c r="G20" i="12" s="1"/>
  <c r="W19" i="12"/>
  <c r="F20" i="12" s="1"/>
  <c r="V19" i="12"/>
  <c r="E20" i="12" s="1"/>
  <c r="R19" i="12"/>
  <c r="Q19" i="12"/>
  <c r="D20" i="12" s="1"/>
  <c r="P19" i="12"/>
  <c r="C20" i="12" s="1"/>
  <c r="O19" i="12"/>
  <c r="B20" i="12" s="1"/>
  <c r="A19" i="12"/>
  <c r="A59" i="12" s="1"/>
  <c r="X18" i="12"/>
  <c r="G19" i="12" s="1"/>
  <c r="W18" i="12"/>
  <c r="F19" i="12" s="1"/>
  <c r="V18" i="12"/>
  <c r="E19" i="12" s="1"/>
  <c r="R18" i="12"/>
  <c r="Q18" i="12"/>
  <c r="D19" i="12" s="1"/>
  <c r="P18" i="12"/>
  <c r="C19" i="12" s="1"/>
  <c r="O18" i="12"/>
  <c r="B19" i="12" s="1"/>
  <c r="A18" i="12"/>
  <c r="K58" i="12" s="1"/>
  <c r="X17" i="12"/>
  <c r="G18" i="12" s="1"/>
  <c r="W17" i="12"/>
  <c r="F18" i="12" s="1"/>
  <c r="V17" i="12"/>
  <c r="E18" i="12" s="1"/>
  <c r="R17" i="12"/>
  <c r="Q17" i="12"/>
  <c r="D18" i="12" s="1"/>
  <c r="P17" i="12"/>
  <c r="C18" i="12" s="1"/>
  <c r="O17" i="12"/>
  <c r="B18" i="12" s="1"/>
  <c r="A17" i="12"/>
  <c r="A57" i="12" s="1"/>
  <c r="X16" i="12"/>
  <c r="G17" i="12" s="1"/>
  <c r="W16" i="12"/>
  <c r="F17" i="12" s="1"/>
  <c r="V16" i="12"/>
  <c r="E17" i="12" s="1"/>
  <c r="R16" i="12"/>
  <c r="Q16" i="12"/>
  <c r="D17" i="12" s="1"/>
  <c r="P16" i="12"/>
  <c r="C17" i="12" s="1"/>
  <c r="O16" i="12"/>
  <c r="B17" i="12" s="1"/>
  <c r="G16" i="12"/>
  <c r="A16" i="12"/>
  <c r="K56" i="12" s="1"/>
  <c r="X15" i="12"/>
  <c r="W15" i="12"/>
  <c r="F16" i="12" s="1"/>
  <c r="V15" i="12"/>
  <c r="E16" i="12" s="1"/>
  <c r="R15" i="12"/>
  <c r="Q15" i="12"/>
  <c r="D16" i="12" s="1"/>
  <c r="P15" i="12"/>
  <c r="C16" i="12" s="1"/>
  <c r="O15" i="12"/>
  <c r="B16" i="12" s="1"/>
  <c r="A15" i="12"/>
  <c r="A55" i="12" s="1"/>
  <c r="X14" i="12"/>
  <c r="G15" i="12" s="1"/>
  <c r="W14" i="12"/>
  <c r="F15" i="12" s="1"/>
  <c r="V14" i="12"/>
  <c r="E15" i="12" s="1"/>
  <c r="R14" i="12"/>
  <c r="Q14" i="12"/>
  <c r="D15" i="12" s="1"/>
  <c r="P14" i="12"/>
  <c r="C15" i="12" s="1"/>
  <c r="O14" i="12"/>
  <c r="B15" i="12" s="1"/>
  <c r="A14" i="12"/>
  <c r="K54" i="12" s="1"/>
  <c r="X13" i="12"/>
  <c r="G14" i="12" s="1"/>
  <c r="W13" i="12"/>
  <c r="F14" i="12" s="1"/>
  <c r="V13" i="12"/>
  <c r="E14" i="12" s="1"/>
  <c r="R13" i="12"/>
  <c r="Q13" i="12"/>
  <c r="D14" i="12" s="1"/>
  <c r="P13" i="12"/>
  <c r="C14" i="12" s="1"/>
  <c r="O13" i="12"/>
  <c r="B14" i="12" s="1"/>
  <c r="A13" i="12"/>
  <c r="A53" i="12" s="1"/>
  <c r="X12" i="12"/>
  <c r="G13" i="12" s="1"/>
  <c r="W12" i="12"/>
  <c r="F13" i="12" s="1"/>
  <c r="V12" i="12"/>
  <c r="E13" i="12" s="1"/>
  <c r="R12" i="12"/>
  <c r="Q12" i="12"/>
  <c r="D13" i="12" s="1"/>
  <c r="P12" i="12"/>
  <c r="C13" i="12" s="1"/>
  <c r="O12" i="12"/>
  <c r="B13" i="12" s="1"/>
  <c r="A12" i="12"/>
  <c r="K52" i="12" s="1"/>
  <c r="X11" i="12"/>
  <c r="G12" i="12" s="1"/>
  <c r="W11" i="12"/>
  <c r="F12" i="12" s="1"/>
  <c r="V11" i="12"/>
  <c r="E12" i="12" s="1"/>
  <c r="R11" i="12"/>
  <c r="Q11" i="12"/>
  <c r="D12" i="12" s="1"/>
  <c r="P11" i="12"/>
  <c r="C12" i="12" s="1"/>
  <c r="O11" i="12"/>
  <c r="B12" i="12" s="1"/>
  <c r="A11" i="12"/>
  <c r="A51" i="12" s="1"/>
  <c r="X10" i="12"/>
  <c r="G11" i="12" s="1"/>
  <c r="W10" i="12"/>
  <c r="F11" i="12" s="1"/>
  <c r="V10" i="12"/>
  <c r="E11" i="12" s="1"/>
  <c r="R10" i="12"/>
  <c r="Q10" i="12"/>
  <c r="D11" i="12" s="1"/>
  <c r="P10" i="12"/>
  <c r="C11" i="12" s="1"/>
  <c r="O10" i="12"/>
  <c r="B11" i="12" s="1"/>
  <c r="A10" i="12"/>
  <c r="K50" i="12" s="1"/>
  <c r="X9" i="12"/>
  <c r="G10" i="12" s="1"/>
  <c r="W9" i="12"/>
  <c r="F10" i="12" s="1"/>
  <c r="V9" i="12"/>
  <c r="E10" i="12" s="1"/>
  <c r="R9" i="12"/>
  <c r="Q9" i="12"/>
  <c r="D10" i="12" s="1"/>
  <c r="P9" i="12"/>
  <c r="C10" i="12" s="1"/>
  <c r="O9" i="12"/>
  <c r="B10" i="12" s="1"/>
  <c r="A9" i="12"/>
  <c r="A49" i="12" s="1"/>
  <c r="X8" i="12"/>
  <c r="G9" i="12" s="1"/>
  <c r="W8" i="12"/>
  <c r="F9" i="12" s="1"/>
  <c r="V8" i="12"/>
  <c r="E9" i="12" s="1"/>
  <c r="R8" i="12"/>
  <c r="Q8" i="12"/>
  <c r="D9" i="12" s="1"/>
  <c r="P8" i="12"/>
  <c r="C9" i="12" s="1"/>
  <c r="O8" i="12"/>
  <c r="B9" i="12" s="1"/>
  <c r="A8" i="12"/>
  <c r="K48" i="12" s="1"/>
  <c r="X7" i="12"/>
  <c r="G8" i="12" s="1"/>
  <c r="W7" i="12"/>
  <c r="F8" i="12" s="1"/>
  <c r="V7" i="12"/>
  <c r="E8" i="12" s="1"/>
  <c r="R7" i="12"/>
  <c r="Q7" i="12"/>
  <c r="D8" i="12" s="1"/>
  <c r="P7" i="12"/>
  <c r="C8" i="12" s="1"/>
  <c r="O7" i="12"/>
  <c r="B8" i="12" s="1"/>
  <c r="A7" i="12"/>
  <c r="A47" i="12" s="1"/>
  <c r="X6" i="12"/>
  <c r="G7" i="12" s="1"/>
  <c r="W6" i="12"/>
  <c r="F7" i="12" s="1"/>
  <c r="V6" i="12"/>
  <c r="E7" i="12" s="1"/>
  <c r="R6" i="12"/>
  <c r="Q6" i="12"/>
  <c r="D7" i="12" s="1"/>
  <c r="P6" i="12"/>
  <c r="C7" i="12" s="1"/>
  <c r="O6" i="12"/>
  <c r="B7" i="12" s="1"/>
  <c r="A6" i="12"/>
  <c r="K46" i="12" s="1"/>
  <c r="X5" i="12"/>
  <c r="G6" i="12" s="1"/>
  <c r="W5" i="12"/>
  <c r="F6" i="12" s="1"/>
  <c r="V5" i="12"/>
  <c r="E6" i="12" s="1"/>
  <c r="R5" i="12"/>
  <c r="Q5" i="12"/>
  <c r="D6" i="12" s="1"/>
  <c r="P5" i="12"/>
  <c r="C6" i="12" s="1"/>
  <c r="O5" i="12"/>
  <c r="B6" i="12" s="1"/>
  <c r="A5" i="12"/>
  <c r="A45" i="12" s="1"/>
  <c r="X4" i="12"/>
  <c r="G5" i="12" s="1"/>
  <c r="W4" i="12"/>
  <c r="F5" i="12" s="1"/>
  <c r="V4" i="12"/>
  <c r="E5" i="12" s="1"/>
  <c r="R4" i="12"/>
  <c r="Q4" i="12"/>
  <c r="D5" i="12" s="1"/>
  <c r="P4" i="12"/>
  <c r="C5" i="12" s="1"/>
  <c r="O4" i="12"/>
  <c r="B5" i="12" s="1"/>
  <c r="A4" i="12"/>
  <c r="K44" i="12" s="1"/>
  <c r="X3" i="12"/>
  <c r="G4" i="12" s="1"/>
  <c r="W3" i="12"/>
  <c r="F4" i="12" s="1"/>
  <c r="V3" i="12"/>
  <c r="E4" i="12" s="1"/>
  <c r="R3" i="12"/>
  <c r="Q3" i="12"/>
  <c r="D4" i="12" s="1"/>
  <c r="P3" i="12"/>
  <c r="C4" i="12" s="1"/>
  <c r="O3" i="12"/>
  <c r="B4" i="12" s="1"/>
  <c r="A35" i="13"/>
  <c r="K75" i="13" s="1"/>
  <c r="X34" i="13"/>
  <c r="G35" i="13" s="1"/>
  <c r="W34" i="13"/>
  <c r="F35" i="13" s="1"/>
  <c r="V34" i="13"/>
  <c r="E35" i="13" s="1"/>
  <c r="R34" i="13"/>
  <c r="Q34" i="13"/>
  <c r="D35" i="13" s="1"/>
  <c r="P34" i="13"/>
  <c r="C35" i="13" s="1"/>
  <c r="O34" i="13"/>
  <c r="B35" i="13" s="1"/>
  <c r="A34" i="13"/>
  <c r="A74" i="13" s="1"/>
  <c r="X33" i="13"/>
  <c r="G34" i="13" s="1"/>
  <c r="W33" i="13"/>
  <c r="F34" i="13" s="1"/>
  <c r="V33" i="13"/>
  <c r="E34" i="13" s="1"/>
  <c r="R33" i="13"/>
  <c r="Q33" i="13"/>
  <c r="D34" i="13" s="1"/>
  <c r="P33" i="13"/>
  <c r="C34" i="13" s="1"/>
  <c r="O33" i="13"/>
  <c r="B34" i="13" s="1"/>
  <c r="A33" i="13"/>
  <c r="K73" i="13" s="1"/>
  <c r="X32" i="13"/>
  <c r="G33" i="13" s="1"/>
  <c r="W32" i="13"/>
  <c r="F33" i="13" s="1"/>
  <c r="V32" i="13"/>
  <c r="E33" i="13" s="1"/>
  <c r="R32" i="13"/>
  <c r="Q32" i="13"/>
  <c r="D33" i="13" s="1"/>
  <c r="P32" i="13"/>
  <c r="C33" i="13" s="1"/>
  <c r="O32" i="13"/>
  <c r="B33" i="13" s="1"/>
  <c r="A32" i="13"/>
  <c r="A72" i="13" s="1"/>
  <c r="X31" i="13"/>
  <c r="G32" i="13" s="1"/>
  <c r="W31" i="13"/>
  <c r="F32" i="13" s="1"/>
  <c r="P72" i="13" s="1"/>
  <c r="V31" i="13"/>
  <c r="E32" i="13" s="1"/>
  <c r="R31" i="13"/>
  <c r="Q31" i="13"/>
  <c r="D32" i="13" s="1"/>
  <c r="P31" i="13"/>
  <c r="C32" i="13" s="1"/>
  <c r="O31" i="13"/>
  <c r="B32" i="13" s="1"/>
  <c r="A31" i="13"/>
  <c r="K71" i="13" s="1"/>
  <c r="X30" i="13"/>
  <c r="G31" i="13" s="1"/>
  <c r="W30" i="13"/>
  <c r="F31" i="13" s="1"/>
  <c r="V30" i="13"/>
  <c r="E31" i="13" s="1"/>
  <c r="R30" i="13"/>
  <c r="Q30" i="13"/>
  <c r="D31" i="13" s="1"/>
  <c r="P30" i="13"/>
  <c r="C31" i="13" s="1"/>
  <c r="O30" i="13"/>
  <c r="B31" i="13" s="1"/>
  <c r="A30" i="13"/>
  <c r="A70" i="13" s="1"/>
  <c r="X29" i="13"/>
  <c r="G30" i="13" s="1"/>
  <c r="W29" i="13"/>
  <c r="F30" i="13" s="1"/>
  <c r="P70" i="13" s="1"/>
  <c r="V29" i="13"/>
  <c r="E30" i="13" s="1"/>
  <c r="R29" i="13"/>
  <c r="Q29" i="13"/>
  <c r="D30" i="13" s="1"/>
  <c r="P29" i="13"/>
  <c r="C30" i="13" s="1"/>
  <c r="O29" i="13"/>
  <c r="B30" i="13" s="1"/>
  <c r="A29" i="13"/>
  <c r="K69" i="13" s="1"/>
  <c r="X28" i="13"/>
  <c r="G29" i="13" s="1"/>
  <c r="W28" i="13"/>
  <c r="F29" i="13" s="1"/>
  <c r="V28" i="13"/>
  <c r="E29" i="13" s="1"/>
  <c r="R28" i="13"/>
  <c r="Q28" i="13"/>
  <c r="D29" i="13" s="1"/>
  <c r="P28" i="13"/>
  <c r="C29" i="13" s="1"/>
  <c r="O28" i="13"/>
  <c r="B29" i="13" s="1"/>
  <c r="A28" i="13"/>
  <c r="A68" i="13" s="1"/>
  <c r="X27" i="13"/>
  <c r="G28" i="13" s="1"/>
  <c r="W27" i="13"/>
  <c r="F28" i="13" s="1"/>
  <c r="V27" i="13"/>
  <c r="E28" i="13" s="1"/>
  <c r="R27" i="13"/>
  <c r="Q27" i="13"/>
  <c r="D28" i="13" s="1"/>
  <c r="P27" i="13"/>
  <c r="C28" i="13" s="1"/>
  <c r="O27" i="13"/>
  <c r="B28" i="13" s="1"/>
  <c r="A27" i="13"/>
  <c r="K67" i="13" s="1"/>
  <c r="X26" i="13"/>
  <c r="G27" i="13" s="1"/>
  <c r="W26" i="13"/>
  <c r="F27" i="13" s="1"/>
  <c r="V26" i="13"/>
  <c r="E27" i="13" s="1"/>
  <c r="R26" i="13"/>
  <c r="Q26" i="13"/>
  <c r="D27" i="13" s="1"/>
  <c r="P26" i="13"/>
  <c r="C27" i="13" s="1"/>
  <c r="O26" i="13"/>
  <c r="B27" i="13" s="1"/>
  <c r="A26" i="13"/>
  <c r="A66" i="13" s="1"/>
  <c r="X25" i="13"/>
  <c r="G26" i="13" s="1"/>
  <c r="W25" i="13"/>
  <c r="F26" i="13" s="1"/>
  <c r="V25" i="13"/>
  <c r="E26" i="13" s="1"/>
  <c r="R25" i="13"/>
  <c r="Q25" i="13"/>
  <c r="D26" i="13" s="1"/>
  <c r="P25" i="13"/>
  <c r="C26" i="13" s="1"/>
  <c r="O25" i="13"/>
  <c r="B26" i="13" s="1"/>
  <c r="A25" i="13"/>
  <c r="K65" i="13" s="1"/>
  <c r="X24" i="13"/>
  <c r="G25" i="13" s="1"/>
  <c r="W24" i="13"/>
  <c r="F25" i="13" s="1"/>
  <c r="V24" i="13"/>
  <c r="E25" i="13" s="1"/>
  <c r="R24" i="13"/>
  <c r="Q24" i="13"/>
  <c r="D25" i="13" s="1"/>
  <c r="P24" i="13"/>
  <c r="C25" i="13" s="1"/>
  <c r="O24" i="13"/>
  <c r="B25" i="13" s="1"/>
  <c r="A24" i="13"/>
  <c r="A64" i="13" s="1"/>
  <c r="X23" i="13"/>
  <c r="G24" i="13" s="1"/>
  <c r="W23" i="13"/>
  <c r="F24" i="13" s="1"/>
  <c r="P64" i="13" s="1"/>
  <c r="V23" i="13"/>
  <c r="E24" i="13" s="1"/>
  <c r="R23" i="13"/>
  <c r="Q23" i="13"/>
  <c r="D24" i="13" s="1"/>
  <c r="P23" i="13"/>
  <c r="C24" i="13" s="1"/>
  <c r="O23" i="13"/>
  <c r="B24" i="13" s="1"/>
  <c r="A23" i="13"/>
  <c r="K63" i="13" s="1"/>
  <c r="X22" i="13"/>
  <c r="G23" i="13" s="1"/>
  <c r="W22" i="13"/>
  <c r="F23" i="13" s="1"/>
  <c r="V22" i="13"/>
  <c r="E23" i="13" s="1"/>
  <c r="R22" i="13"/>
  <c r="Q22" i="13"/>
  <c r="D23" i="13" s="1"/>
  <c r="P22" i="13"/>
  <c r="C23" i="13" s="1"/>
  <c r="O22" i="13"/>
  <c r="B23" i="13" s="1"/>
  <c r="A22" i="13"/>
  <c r="A62" i="13" s="1"/>
  <c r="X21" i="13"/>
  <c r="G22" i="13" s="1"/>
  <c r="W21" i="13"/>
  <c r="F22" i="13" s="1"/>
  <c r="P62" i="13" s="1"/>
  <c r="V21" i="13"/>
  <c r="E22" i="13" s="1"/>
  <c r="R21" i="13"/>
  <c r="Q21" i="13"/>
  <c r="D22" i="13" s="1"/>
  <c r="P21" i="13"/>
  <c r="C22" i="13" s="1"/>
  <c r="O21" i="13"/>
  <c r="B22" i="13" s="1"/>
  <c r="A21" i="13"/>
  <c r="K61" i="13" s="1"/>
  <c r="X20" i="13"/>
  <c r="G21" i="13" s="1"/>
  <c r="W20" i="13"/>
  <c r="F21" i="13" s="1"/>
  <c r="V20" i="13"/>
  <c r="E21" i="13" s="1"/>
  <c r="R20" i="13"/>
  <c r="Q20" i="13"/>
  <c r="D21" i="13" s="1"/>
  <c r="P20" i="13"/>
  <c r="C21" i="13" s="1"/>
  <c r="O20" i="13"/>
  <c r="B21" i="13" s="1"/>
  <c r="A20" i="13"/>
  <c r="A60" i="13" s="1"/>
  <c r="X19" i="13"/>
  <c r="G20" i="13" s="1"/>
  <c r="W19" i="13"/>
  <c r="F20" i="13" s="1"/>
  <c r="V19" i="13"/>
  <c r="E20" i="13" s="1"/>
  <c r="R19" i="13"/>
  <c r="Q19" i="13"/>
  <c r="D20" i="13" s="1"/>
  <c r="P19" i="13"/>
  <c r="C20" i="13" s="1"/>
  <c r="O19" i="13"/>
  <c r="B20" i="13" s="1"/>
  <c r="A19" i="13"/>
  <c r="K59" i="13" s="1"/>
  <c r="X18" i="13"/>
  <c r="G19" i="13" s="1"/>
  <c r="W18" i="13"/>
  <c r="F19" i="13" s="1"/>
  <c r="V18" i="13"/>
  <c r="E19" i="13" s="1"/>
  <c r="R18" i="13"/>
  <c r="Q18" i="13"/>
  <c r="D19" i="13" s="1"/>
  <c r="P18" i="13"/>
  <c r="C19" i="13" s="1"/>
  <c r="O18" i="13"/>
  <c r="B19" i="13" s="1"/>
  <c r="A18" i="13"/>
  <c r="A58" i="13" s="1"/>
  <c r="X17" i="13"/>
  <c r="G18" i="13" s="1"/>
  <c r="W17" i="13"/>
  <c r="F18" i="13" s="1"/>
  <c r="V17" i="13"/>
  <c r="E18" i="13" s="1"/>
  <c r="R17" i="13"/>
  <c r="Q17" i="13"/>
  <c r="D18" i="13" s="1"/>
  <c r="P17" i="13"/>
  <c r="C18" i="13" s="1"/>
  <c r="O17" i="13"/>
  <c r="B18" i="13" s="1"/>
  <c r="A17" i="13"/>
  <c r="K57" i="13" s="1"/>
  <c r="X16" i="13"/>
  <c r="G17" i="13" s="1"/>
  <c r="W16" i="13"/>
  <c r="F17" i="13" s="1"/>
  <c r="V16" i="13"/>
  <c r="E17" i="13" s="1"/>
  <c r="R16" i="13"/>
  <c r="Q16" i="13"/>
  <c r="D17" i="13" s="1"/>
  <c r="P16" i="13"/>
  <c r="C17" i="13" s="1"/>
  <c r="O16" i="13"/>
  <c r="B17" i="13" s="1"/>
  <c r="A16" i="13"/>
  <c r="A56" i="13" s="1"/>
  <c r="X15" i="13"/>
  <c r="G16" i="13" s="1"/>
  <c r="W15" i="13"/>
  <c r="F16" i="13" s="1"/>
  <c r="V15" i="13"/>
  <c r="E16" i="13" s="1"/>
  <c r="R15" i="13"/>
  <c r="Q15" i="13"/>
  <c r="D16" i="13" s="1"/>
  <c r="P15" i="13"/>
  <c r="C16" i="13" s="1"/>
  <c r="O15" i="13"/>
  <c r="B16" i="13" s="1"/>
  <c r="A15" i="13"/>
  <c r="K55" i="13" s="1"/>
  <c r="X14" i="13"/>
  <c r="G15" i="13" s="1"/>
  <c r="W14" i="13"/>
  <c r="F15" i="13" s="1"/>
  <c r="V14" i="13"/>
  <c r="E15" i="13" s="1"/>
  <c r="R14" i="13"/>
  <c r="Q14" i="13"/>
  <c r="D15" i="13" s="1"/>
  <c r="P14" i="13"/>
  <c r="C15" i="13" s="1"/>
  <c r="O14" i="13"/>
  <c r="B15" i="13" s="1"/>
  <c r="A14" i="13"/>
  <c r="A54" i="13" s="1"/>
  <c r="X13" i="13"/>
  <c r="G14" i="13" s="1"/>
  <c r="W13" i="13"/>
  <c r="F14" i="13" s="1"/>
  <c r="V13" i="13"/>
  <c r="E14" i="13" s="1"/>
  <c r="R13" i="13"/>
  <c r="Q13" i="13"/>
  <c r="D14" i="13" s="1"/>
  <c r="P13" i="13"/>
  <c r="C14" i="13" s="1"/>
  <c r="O13" i="13"/>
  <c r="B14" i="13" s="1"/>
  <c r="A13" i="13"/>
  <c r="K53" i="13" s="1"/>
  <c r="X12" i="13"/>
  <c r="G13" i="13" s="1"/>
  <c r="W12" i="13"/>
  <c r="F13" i="13" s="1"/>
  <c r="V12" i="13"/>
  <c r="E13" i="13" s="1"/>
  <c r="R12" i="13"/>
  <c r="Q12" i="13"/>
  <c r="D13" i="13" s="1"/>
  <c r="P12" i="13"/>
  <c r="C13" i="13" s="1"/>
  <c r="O12" i="13"/>
  <c r="B13" i="13" s="1"/>
  <c r="A12" i="13"/>
  <c r="A52" i="13" s="1"/>
  <c r="X11" i="13"/>
  <c r="G12" i="13" s="1"/>
  <c r="W11" i="13"/>
  <c r="F12" i="13" s="1"/>
  <c r="V11" i="13"/>
  <c r="E12" i="13" s="1"/>
  <c r="R11" i="13"/>
  <c r="Q11" i="13"/>
  <c r="D12" i="13" s="1"/>
  <c r="P11" i="13"/>
  <c r="C12" i="13" s="1"/>
  <c r="O11" i="13"/>
  <c r="B12" i="13" s="1"/>
  <c r="A11" i="13"/>
  <c r="K51" i="13" s="1"/>
  <c r="X10" i="13"/>
  <c r="G11" i="13" s="1"/>
  <c r="W10" i="13"/>
  <c r="F11" i="13" s="1"/>
  <c r="V10" i="13"/>
  <c r="E11" i="13" s="1"/>
  <c r="R10" i="13"/>
  <c r="Q10" i="13"/>
  <c r="D11" i="13" s="1"/>
  <c r="P10" i="13"/>
  <c r="C11" i="13" s="1"/>
  <c r="O10" i="13"/>
  <c r="B11" i="13" s="1"/>
  <c r="A10" i="13"/>
  <c r="A50" i="13" s="1"/>
  <c r="X9" i="13"/>
  <c r="G10" i="13" s="1"/>
  <c r="W9" i="13"/>
  <c r="F10" i="13" s="1"/>
  <c r="V9" i="13"/>
  <c r="E10" i="13" s="1"/>
  <c r="R9" i="13"/>
  <c r="Q9" i="13"/>
  <c r="D10" i="13" s="1"/>
  <c r="P9" i="13"/>
  <c r="C10" i="13" s="1"/>
  <c r="O9" i="13"/>
  <c r="B10" i="13" s="1"/>
  <c r="A9" i="13"/>
  <c r="K49" i="13" s="1"/>
  <c r="X8" i="13"/>
  <c r="G9" i="13" s="1"/>
  <c r="W8" i="13"/>
  <c r="F9" i="13" s="1"/>
  <c r="V8" i="13"/>
  <c r="E9" i="13" s="1"/>
  <c r="R8" i="13"/>
  <c r="Q8" i="13"/>
  <c r="D9" i="13" s="1"/>
  <c r="P8" i="13"/>
  <c r="C9" i="13" s="1"/>
  <c r="O8" i="13"/>
  <c r="B9" i="13" s="1"/>
  <c r="A8" i="13"/>
  <c r="A48" i="13" s="1"/>
  <c r="X7" i="13"/>
  <c r="G8" i="13" s="1"/>
  <c r="W7" i="13"/>
  <c r="F8" i="13" s="1"/>
  <c r="V7" i="13"/>
  <c r="E8" i="13" s="1"/>
  <c r="R7" i="13"/>
  <c r="Q7" i="13"/>
  <c r="D8" i="13" s="1"/>
  <c r="P7" i="13"/>
  <c r="C8" i="13" s="1"/>
  <c r="O7" i="13"/>
  <c r="B8" i="13" s="1"/>
  <c r="A7" i="13"/>
  <c r="K47" i="13" s="1"/>
  <c r="X6" i="13"/>
  <c r="G7" i="13" s="1"/>
  <c r="W6" i="13"/>
  <c r="F7" i="13" s="1"/>
  <c r="V6" i="13"/>
  <c r="E7" i="13" s="1"/>
  <c r="R6" i="13"/>
  <c r="Q6" i="13"/>
  <c r="D7" i="13" s="1"/>
  <c r="P6" i="13"/>
  <c r="C7" i="13" s="1"/>
  <c r="O6" i="13"/>
  <c r="B7" i="13" s="1"/>
  <c r="G6" i="13"/>
  <c r="A6" i="13"/>
  <c r="A46" i="13" s="1"/>
  <c r="X5" i="13"/>
  <c r="W5" i="13"/>
  <c r="F6" i="13" s="1"/>
  <c r="V5" i="13"/>
  <c r="E6" i="13" s="1"/>
  <c r="R5" i="13"/>
  <c r="Q5" i="13"/>
  <c r="D6" i="13" s="1"/>
  <c r="P5" i="13"/>
  <c r="C6" i="13" s="1"/>
  <c r="O5" i="13"/>
  <c r="B6" i="13" s="1"/>
  <c r="A5" i="13"/>
  <c r="K45" i="13" s="1"/>
  <c r="X4" i="13"/>
  <c r="G5" i="13" s="1"/>
  <c r="W4" i="13"/>
  <c r="F5" i="13" s="1"/>
  <c r="F45" i="13" s="1"/>
  <c r="V4" i="13"/>
  <c r="E5" i="13" s="1"/>
  <c r="R4" i="13"/>
  <c r="Q4" i="13"/>
  <c r="D5" i="13" s="1"/>
  <c r="P4" i="13"/>
  <c r="C5" i="13" s="1"/>
  <c r="O4" i="13"/>
  <c r="B5" i="13" s="1"/>
  <c r="A4" i="13"/>
  <c r="A44" i="13" s="1"/>
  <c r="X3" i="13"/>
  <c r="G4" i="13" s="1"/>
  <c r="W3" i="13"/>
  <c r="F4" i="13" s="1"/>
  <c r="V3" i="13"/>
  <c r="E4" i="13" s="1"/>
  <c r="R3" i="13"/>
  <c r="Q3" i="13"/>
  <c r="D4" i="13" s="1"/>
  <c r="P3" i="13"/>
  <c r="C4" i="13" s="1"/>
  <c r="O3" i="13"/>
  <c r="B4" i="13" s="1"/>
  <c r="A35" i="16"/>
  <c r="K75" i="16" s="1"/>
  <c r="X34" i="16"/>
  <c r="G35" i="16" s="1"/>
  <c r="W34" i="16"/>
  <c r="F35" i="16" s="1"/>
  <c r="V34" i="16"/>
  <c r="E35" i="16" s="1"/>
  <c r="R34" i="16"/>
  <c r="Q34" i="16"/>
  <c r="D35" i="16" s="1"/>
  <c r="P34" i="16"/>
  <c r="C35" i="16" s="1"/>
  <c r="O34" i="16"/>
  <c r="B35" i="16" s="1"/>
  <c r="A34" i="16"/>
  <c r="K74" i="16" s="1"/>
  <c r="X33" i="16"/>
  <c r="G34" i="16" s="1"/>
  <c r="W33" i="16"/>
  <c r="F34" i="16" s="1"/>
  <c r="V33" i="16"/>
  <c r="E34" i="16" s="1"/>
  <c r="R33" i="16"/>
  <c r="Q33" i="16"/>
  <c r="D34" i="16" s="1"/>
  <c r="P33" i="16"/>
  <c r="C34" i="16" s="1"/>
  <c r="O33" i="16"/>
  <c r="B34" i="16" s="1"/>
  <c r="A33" i="16"/>
  <c r="K73" i="16" s="1"/>
  <c r="X32" i="16"/>
  <c r="G33" i="16" s="1"/>
  <c r="W32" i="16"/>
  <c r="F33" i="16" s="1"/>
  <c r="V32" i="16"/>
  <c r="E33" i="16" s="1"/>
  <c r="R32" i="16"/>
  <c r="Q32" i="16"/>
  <c r="D33" i="16" s="1"/>
  <c r="P32" i="16"/>
  <c r="C33" i="16" s="1"/>
  <c r="O32" i="16"/>
  <c r="B33" i="16" s="1"/>
  <c r="A32" i="16"/>
  <c r="K72" i="16" s="1"/>
  <c r="X31" i="16"/>
  <c r="G32" i="16" s="1"/>
  <c r="W31" i="16"/>
  <c r="F32" i="16" s="1"/>
  <c r="V31" i="16"/>
  <c r="E32" i="16" s="1"/>
  <c r="R31" i="16"/>
  <c r="Q31" i="16"/>
  <c r="D32" i="16" s="1"/>
  <c r="P31" i="16"/>
  <c r="C32" i="16" s="1"/>
  <c r="O31" i="16"/>
  <c r="B32" i="16" s="1"/>
  <c r="A31" i="16"/>
  <c r="K71" i="16" s="1"/>
  <c r="X30" i="16"/>
  <c r="G31" i="16" s="1"/>
  <c r="W30" i="16"/>
  <c r="F31" i="16" s="1"/>
  <c r="V30" i="16"/>
  <c r="E31" i="16" s="1"/>
  <c r="R30" i="16"/>
  <c r="Q30" i="16"/>
  <c r="D31" i="16" s="1"/>
  <c r="P30" i="16"/>
  <c r="C31" i="16" s="1"/>
  <c r="O30" i="16"/>
  <c r="B31" i="16" s="1"/>
  <c r="A30" i="16"/>
  <c r="K70" i="16" s="1"/>
  <c r="X29" i="16"/>
  <c r="G30" i="16" s="1"/>
  <c r="W29" i="16"/>
  <c r="F30" i="16" s="1"/>
  <c r="V29" i="16"/>
  <c r="E30" i="16" s="1"/>
  <c r="R29" i="16"/>
  <c r="Q29" i="16"/>
  <c r="D30" i="16" s="1"/>
  <c r="P29" i="16"/>
  <c r="C30" i="16" s="1"/>
  <c r="O29" i="16"/>
  <c r="B30" i="16" s="1"/>
  <c r="A29" i="16"/>
  <c r="A69" i="16" s="1"/>
  <c r="X28" i="16"/>
  <c r="G29" i="16" s="1"/>
  <c r="W28" i="16"/>
  <c r="F29" i="16" s="1"/>
  <c r="V28" i="16"/>
  <c r="E29" i="16" s="1"/>
  <c r="R28" i="16"/>
  <c r="Q28" i="16"/>
  <c r="D29" i="16" s="1"/>
  <c r="P28" i="16"/>
  <c r="C29" i="16" s="1"/>
  <c r="O28" i="16"/>
  <c r="B29" i="16" s="1"/>
  <c r="A28" i="16"/>
  <c r="K68" i="16" s="1"/>
  <c r="X27" i="16"/>
  <c r="G28" i="16" s="1"/>
  <c r="W27" i="16"/>
  <c r="F28" i="16" s="1"/>
  <c r="V27" i="16"/>
  <c r="E28" i="16" s="1"/>
  <c r="R27" i="16"/>
  <c r="Q27" i="16"/>
  <c r="D28" i="16" s="1"/>
  <c r="P27" i="16"/>
  <c r="C28" i="16" s="1"/>
  <c r="O27" i="16"/>
  <c r="B28" i="16" s="1"/>
  <c r="A27" i="16"/>
  <c r="K67" i="16" s="1"/>
  <c r="X26" i="16"/>
  <c r="G27" i="16" s="1"/>
  <c r="W26" i="16"/>
  <c r="F27" i="16" s="1"/>
  <c r="V26" i="16"/>
  <c r="E27" i="16" s="1"/>
  <c r="R26" i="16"/>
  <c r="Q26" i="16"/>
  <c r="D27" i="16" s="1"/>
  <c r="P26" i="16"/>
  <c r="C27" i="16" s="1"/>
  <c r="O26" i="16"/>
  <c r="B27" i="16" s="1"/>
  <c r="A26" i="16"/>
  <c r="K66" i="16" s="1"/>
  <c r="X25" i="16"/>
  <c r="G26" i="16" s="1"/>
  <c r="W25" i="16"/>
  <c r="F26" i="16" s="1"/>
  <c r="V25" i="16"/>
  <c r="E26" i="16" s="1"/>
  <c r="R25" i="16"/>
  <c r="Q25" i="16"/>
  <c r="D26" i="16" s="1"/>
  <c r="P25" i="16"/>
  <c r="C26" i="16" s="1"/>
  <c r="O25" i="16"/>
  <c r="B26" i="16" s="1"/>
  <c r="A25" i="16"/>
  <c r="K65" i="16" s="1"/>
  <c r="X24" i="16"/>
  <c r="G25" i="16" s="1"/>
  <c r="W24" i="16"/>
  <c r="F25" i="16" s="1"/>
  <c r="V24" i="16"/>
  <c r="E25" i="16" s="1"/>
  <c r="R24" i="16"/>
  <c r="Q24" i="16"/>
  <c r="D25" i="16" s="1"/>
  <c r="P24" i="16"/>
  <c r="C25" i="16" s="1"/>
  <c r="O24" i="16"/>
  <c r="B25" i="16" s="1"/>
  <c r="A24" i="16"/>
  <c r="K64" i="16" s="1"/>
  <c r="X23" i="16"/>
  <c r="G24" i="16" s="1"/>
  <c r="W23" i="16"/>
  <c r="F24" i="16" s="1"/>
  <c r="V23" i="16"/>
  <c r="E24" i="16" s="1"/>
  <c r="R23" i="16"/>
  <c r="Q23" i="16"/>
  <c r="D24" i="16" s="1"/>
  <c r="P23" i="16"/>
  <c r="C24" i="16" s="1"/>
  <c r="O23" i="16"/>
  <c r="B24" i="16" s="1"/>
  <c r="A23" i="16"/>
  <c r="A63" i="16" s="1"/>
  <c r="X22" i="16"/>
  <c r="G23" i="16" s="1"/>
  <c r="W22" i="16"/>
  <c r="F23" i="16" s="1"/>
  <c r="V22" i="16"/>
  <c r="E23" i="16" s="1"/>
  <c r="R22" i="16"/>
  <c r="Q22" i="16"/>
  <c r="D23" i="16" s="1"/>
  <c r="P22" i="16"/>
  <c r="C23" i="16" s="1"/>
  <c r="O22" i="16"/>
  <c r="B23" i="16" s="1"/>
  <c r="A22" i="16"/>
  <c r="K62" i="16" s="1"/>
  <c r="X21" i="16"/>
  <c r="G22" i="16" s="1"/>
  <c r="W21" i="16"/>
  <c r="F22" i="16" s="1"/>
  <c r="V21" i="16"/>
  <c r="E22" i="16" s="1"/>
  <c r="R21" i="16"/>
  <c r="Q21" i="16"/>
  <c r="D22" i="16" s="1"/>
  <c r="P21" i="16"/>
  <c r="C22" i="16" s="1"/>
  <c r="O21" i="16"/>
  <c r="B22" i="16" s="1"/>
  <c r="A21" i="16"/>
  <c r="K61" i="16" s="1"/>
  <c r="X20" i="16"/>
  <c r="G21" i="16" s="1"/>
  <c r="W20" i="16"/>
  <c r="F21" i="16" s="1"/>
  <c r="V20" i="16"/>
  <c r="E21" i="16" s="1"/>
  <c r="R20" i="16"/>
  <c r="Q20" i="16"/>
  <c r="D21" i="16" s="1"/>
  <c r="P20" i="16"/>
  <c r="C21" i="16" s="1"/>
  <c r="O20" i="16"/>
  <c r="B21" i="16" s="1"/>
  <c r="A20" i="16"/>
  <c r="K60" i="16" s="1"/>
  <c r="X19" i="16"/>
  <c r="G20" i="16" s="1"/>
  <c r="W19" i="16"/>
  <c r="F20" i="16" s="1"/>
  <c r="V19" i="16"/>
  <c r="E20" i="16" s="1"/>
  <c r="R19" i="16"/>
  <c r="Q19" i="16"/>
  <c r="D20" i="16" s="1"/>
  <c r="P19" i="16"/>
  <c r="C20" i="16" s="1"/>
  <c r="O19" i="16"/>
  <c r="B20" i="16" s="1"/>
  <c r="A19" i="16"/>
  <c r="A59" i="16" s="1"/>
  <c r="X18" i="16"/>
  <c r="G19" i="16" s="1"/>
  <c r="W18" i="16"/>
  <c r="F19" i="16" s="1"/>
  <c r="V18" i="16"/>
  <c r="E19" i="16" s="1"/>
  <c r="R18" i="16"/>
  <c r="Q18" i="16"/>
  <c r="D19" i="16" s="1"/>
  <c r="P18" i="16"/>
  <c r="C19" i="16" s="1"/>
  <c r="O18" i="16"/>
  <c r="B19" i="16" s="1"/>
  <c r="A18" i="16"/>
  <c r="K58" i="16" s="1"/>
  <c r="X17" i="16"/>
  <c r="G18" i="16" s="1"/>
  <c r="W17" i="16"/>
  <c r="F18" i="16" s="1"/>
  <c r="V17" i="16"/>
  <c r="E18" i="16" s="1"/>
  <c r="R17" i="16"/>
  <c r="Q17" i="16"/>
  <c r="D18" i="16" s="1"/>
  <c r="P17" i="16"/>
  <c r="C18" i="16" s="1"/>
  <c r="O17" i="16"/>
  <c r="B18" i="16" s="1"/>
  <c r="A17" i="16"/>
  <c r="A57" i="16" s="1"/>
  <c r="X16" i="16"/>
  <c r="G17" i="16" s="1"/>
  <c r="W16" i="16"/>
  <c r="F17" i="16" s="1"/>
  <c r="V16" i="16"/>
  <c r="E17" i="16" s="1"/>
  <c r="R16" i="16"/>
  <c r="Q16" i="16"/>
  <c r="D17" i="16" s="1"/>
  <c r="P16" i="16"/>
  <c r="C17" i="16" s="1"/>
  <c r="O16" i="16"/>
  <c r="B17" i="16" s="1"/>
  <c r="A16" i="16"/>
  <c r="A56" i="16" s="1"/>
  <c r="X15" i="16"/>
  <c r="G16" i="16" s="1"/>
  <c r="W15" i="16"/>
  <c r="F16" i="16" s="1"/>
  <c r="V15" i="16"/>
  <c r="E16" i="16" s="1"/>
  <c r="R15" i="16"/>
  <c r="Q15" i="16"/>
  <c r="D16" i="16" s="1"/>
  <c r="P15" i="16"/>
  <c r="C16" i="16" s="1"/>
  <c r="O15" i="16"/>
  <c r="B16" i="16" s="1"/>
  <c r="A15" i="16"/>
  <c r="K55" i="16" s="1"/>
  <c r="X14" i="16"/>
  <c r="G15" i="16" s="1"/>
  <c r="W14" i="16"/>
  <c r="F15" i="16" s="1"/>
  <c r="V14" i="16"/>
  <c r="E15" i="16" s="1"/>
  <c r="R14" i="16"/>
  <c r="Q14" i="16"/>
  <c r="D15" i="16" s="1"/>
  <c r="P14" i="16"/>
  <c r="C15" i="16" s="1"/>
  <c r="O14" i="16"/>
  <c r="B15" i="16" s="1"/>
  <c r="A14" i="16"/>
  <c r="K54" i="16" s="1"/>
  <c r="X13" i="16"/>
  <c r="G14" i="16" s="1"/>
  <c r="W13" i="16"/>
  <c r="F14" i="16" s="1"/>
  <c r="V13" i="16"/>
  <c r="E14" i="16" s="1"/>
  <c r="R13" i="16"/>
  <c r="Q13" i="16"/>
  <c r="D14" i="16" s="1"/>
  <c r="P13" i="16"/>
  <c r="C14" i="16" s="1"/>
  <c r="O13" i="16"/>
  <c r="B14" i="16" s="1"/>
  <c r="A13" i="16"/>
  <c r="A53" i="16" s="1"/>
  <c r="X12" i="16"/>
  <c r="G13" i="16" s="1"/>
  <c r="W12" i="16"/>
  <c r="F13" i="16" s="1"/>
  <c r="V12" i="16"/>
  <c r="E13" i="16" s="1"/>
  <c r="R12" i="16"/>
  <c r="Q12" i="16"/>
  <c r="D13" i="16" s="1"/>
  <c r="P12" i="16"/>
  <c r="C13" i="16" s="1"/>
  <c r="O12" i="16"/>
  <c r="B13" i="16" s="1"/>
  <c r="A12" i="16"/>
  <c r="K52" i="16" s="1"/>
  <c r="X11" i="16"/>
  <c r="G12" i="16" s="1"/>
  <c r="W11" i="16"/>
  <c r="F12" i="16" s="1"/>
  <c r="V11" i="16"/>
  <c r="E12" i="16" s="1"/>
  <c r="R11" i="16"/>
  <c r="Q11" i="16"/>
  <c r="D12" i="16" s="1"/>
  <c r="P11" i="16"/>
  <c r="C12" i="16" s="1"/>
  <c r="O11" i="16"/>
  <c r="B12" i="16" s="1"/>
  <c r="A11" i="16"/>
  <c r="K51" i="16" s="1"/>
  <c r="X10" i="16"/>
  <c r="G11" i="16" s="1"/>
  <c r="W10" i="16"/>
  <c r="F11" i="16" s="1"/>
  <c r="V10" i="16"/>
  <c r="E11" i="16" s="1"/>
  <c r="R10" i="16"/>
  <c r="Q10" i="16"/>
  <c r="D11" i="16" s="1"/>
  <c r="P10" i="16"/>
  <c r="C11" i="16" s="1"/>
  <c r="O10" i="16"/>
  <c r="B11" i="16" s="1"/>
  <c r="A10" i="16"/>
  <c r="A50" i="16" s="1"/>
  <c r="X9" i="16"/>
  <c r="G10" i="16" s="1"/>
  <c r="W9" i="16"/>
  <c r="F10" i="16" s="1"/>
  <c r="V9" i="16"/>
  <c r="E10" i="16" s="1"/>
  <c r="R9" i="16"/>
  <c r="Q9" i="16"/>
  <c r="D10" i="16" s="1"/>
  <c r="P9" i="16"/>
  <c r="C10" i="16" s="1"/>
  <c r="O9" i="16"/>
  <c r="B10" i="16" s="1"/>
  <c r="A9" i="16"/>
  <c r="K49" i="16" s="1"/>
  <c r="X8" i="16"/>
  <c r="G9" i="16" s="1"/>
  <c r="W8" i="16"/>
  <c r="F9" i="16" s="1"/>
  <c r="V8" i="16"/>
  <c r="E9" i="16" s="1"/>
  <c r="R8" i="16"/>
  <c r="Q8" i="16"/>
  <c r="D9" i="16" s="1"/>
  <c r="P8" i="16"/>
  <c r="C9" i="16" s="1"/>
  <c r="O8" i="16"/>
  <c r="B9" i="16" s="1"/>
  <c r="A8" i="16"/>
  <c r="A48" i="16" s="1"/>
  <c r="X7" i="16"/>
  <c r="G8" i="16" s="1"/>
  <c r="W7" i="16"/>
  <c r="F8" i="16" s="1"/>
  <c r="V7" i="16"/>
  <c r="E8" i="16" s="1"/>
  <c r="R7" i="16"/>
  <c r="Q7" i="16"/>
  <c r="D8" i="16" s="1"/>
  <c r="P7" i="16"/>
  <c r="C8" i="16" s="1"/>
  <c r="O7" i="16"/>
  <c r="B8" i="16" s="1"/>
  <c r="A7" i="16"/>
  <c r="K47" i="16" s="1"/>
  <c r="X6" i="16"/>
  <c r="G7" i="16" s="1"/>
  <c r="W6" i="16"/>
  <c r="F7" i="16" s="1"/>
  <c r="V6" i="16"/>
  <c r="E7" i="16" s="1"/>
  <c r="R6" i="16"/>
  <c r="Q6" i="16"/>
  <c r="D7" i="16" s="1"/>
  <c r="P6" i="16"/>
  <c r="C7" i="16" s="1"/>
  <c r="O6" i="16"/>
  <c r="B7" i="16" s="1"/>
  <c r="A6" i="16"/>
  <c r="A46" i="16" s="1"/>
  <c r="X5" i="16"/>
  <c r="G6" i="16" s="1"/>
  <c r="W5" i="16"/>
  <c r="F6" i="16" s="1"/>
  <c r="V5" i="16"/>
  <c r="E6" i="16" s="1"/>
  <c r="R5" i="16"/>
  <c r="Q5" i="16"/>
  <c r="D6" i="16" s="1"/>
  <c r="P5" i="16"/>
  <c r="C6" i="16" s="1"/>
  <c r="O5" i="16"/>
  <c r="B6" i="16" s="1"/>
  <c r="A5" i="16"/>
  <c r="K45" i="16" s="1"/>
  <c r="X4" i="16"/>
  <c r="G5" i="16" s="1"/>
  <c r="W4" i="16"/>
  <c r="F5" i="16" s="1"/>
  <c r="V4" i="16"/>
  <c r="E5" i="16" s="1"/>
  <c r="R4" i="16"/>
  <c r="Q4" i="16"/>
  <c r="D5" i="16" s="1"/>
  <c r="P4" i="16"/>
  <c r="C5" i="16" s="1"/>
  <c r="O4" i="16"/>
  <c r="B5" i="16" s="1"/>
  <c r="A4" i="16"/>
  <c r="A44" i="16" s="1"/>
  <c r="X3" i="16"/>
  <c r="G4" i="16" s="1"/>
  <c r="W3" i="16"/>
  <c r="F4" i="16" s="1"/>
  <c r="V3" i="16"/>
  <c r="E4" i="16" s="1"/>
  <c r="R3" i="16"/>
  <c r="Q3" i="16"/>
  <c r="D4" i="16" s="1"/>
  <c r="P3" i="16"/>
  <c r="C4" i="16" s="1"/>
  <c r="O3" i="16"/>
  <c r="B4" i="16" s="1"/>
  <c r="A35" i="19"/>
  <c r="A75" i="19" s="1"/>
  <c r="X34" i="19"/>
  <c r="G35" i="19" s="1"/>
  <c r="W34" i="19"/>
  <c r="F35" i="19" s="1"/>
  <c r="V34" i="19"/>
  <c r="E35" i="19" s="1"/>
  <c r="R34" i="19"/>
  <c r="Q34" i="19"/>
  <c r="D35" i="19" s="1"/>
  <c r="P34" i="19"/>
  <c r="C35" i="19" s="1"/>
  <c r="O34" i="19"/>
  <c r="B35" i="19" s="1"/>
  <c r="A34" i="19"/>
  <c r="A74" i="19" s="1"/>
  <c r="X33" i="19"/>
  <c r="G34" i="19" s="1"/>
  <c r="W33" i="19"/>
  <c r="F34" i="19" s="1"/>
  <c r="V33" i="19"/>
  <c r="E34" i="19" s="1"/>
  <c r="R33" i="19"/>
  <c r="Q33" i="19"/>
  <c r="D34" i="19" s="1"/>
  <c r="P33" i="19"/>
  <c r="C34" i="19" s="1"/>
  <c r="O33" i="19"/>
  <c r="B34" i="19" s="1"/>
  <c r="A33" i="19"/>
  <c r="A73" i="19" s="1"/>
  <c r="X32" i="19"/>
  <c r="G33" i="19" s="1"/>
  <c r="W32" i="19"/>
  <c r="F33" i="19" s="1"/>
  <c r="V32" i="19"/>
  <c r="E33" i="19" s="1"/>
  <c r="R32" i="19"/>
  <c r="Q32" i="19"/>
  <c r="D33" i="19" s="1"/>
  <c r="P32" i="19"/>
  <c r="C33" i="19" s="1"/>
  <c r="O32" i="19"/>
  <c r="B33" i="19" s="1"/>
  <c r="A32" i="19"/>
  <c r="A72" i="19" s="1"/>
  <c r="X31" i="19"/>
  <c r="G32" i="19" s="1"/>
  <c r="W31" i="19"/>
  <c r="F32" i="19" s="1"/>
  <c r="V31" i="19"/>
  <c r="E32" i="19" s="1"/>
  <c r="R31" i="19"/>
  <c r="Q31" i="19"/>
  <c r="D32" i="19" s="1"/>
  <c r="P31" i="19"/>
  <c r="C32" i="19" s="1"/>
  <c r="O31" i="19"/>
  <c r="B32" i="19" s="1"/>
  <c r="A31" i="19"/>
  <c r="K71" i="19" s="1"/>
  <c r="X30" i="19"/>
  <c r="G31" i="19" s="1"/>
  <c r="W30" i="19"/>
  <c r="F31" i="19" s="1"/>
  <c r="V30" i="19"/>
  <c r="E31" i="19" s="1"/>
  <c r="R30" i="19"/>
  <c r="Q30" i="19"/>
  <c r="D31" i="19" s="1"/>
  <c r="P30" i="19"/>
  <c r="C31" i="19" s="1"/>
  <c r="O30" i="19"/>
  <c r="B31" i="19" s="1"/>
  <c r="A30" i="19"/>
  <c r="A70" i="19" s="1"/>
  <c r="X29" i="19"/>
  <c r="G30" i="19" s="1"/>
  <c r="W29" i="19"/>
  <c r="F30" i="19" s="1"/>
  <c r="V29" i="19"/>
  <c r="E30" i="19" s="1"/>
  <c r="R29" i="19"/>
  <c r="Q29" i="19"/>
  <c r="D30" i="19" s="1"/>
  <c r="P29" i="19"/>
  <c r="C30" i="19" s="1"/>
  <c r="O29" i="19"/>
  <c r="B30" i="19" s="1"/>
  <c r="A29" i="19"/>
  <c r="A69" i="19" s="1"/>
  <c r="X28" i="19"/>
  <c r="G29" i="19" s="1"/>
  <c r="W28" i="19"/>
  <c r="F29" i="19" s="1"/>
  <c r="V28" i="19"/>
  <c r="E29" i="19" s="1"/>
  <c r="R28" i="19"/>
  <c r="Q28" i="19"/>
  <c r="D29" i="19" s="1"/>
  <c r="P28" i="19"/>
  <c r="C29" i="19" s="1"/>
  <c r="O28" i="19"/>
  <c r="B29" i="19" s="1"/>
  <c r="A28" i="19"/>
  <c r="A68" i="19" s="1"/>
  <c r="X27" i="19"/>
  <c r="G28" i="19" s="1"/>
  <c r="W27" i="19"/>
  <c r="F28" i="19" s="1"/>
  <c r="V27" i="19"/>
  <c r="E28" i="19" s="1"/>
  <c r="R27" i="19"/>
  <c r="Q27" i="19"/>
  <c r="D28" i="19" s="1"/>
  <c r="P27" i="19"/>
  <c r="C28" i="19" s="1"/>
  <c r="O27" i="19"/>
  <c r="B28" i="19" s="1"/>
  <c r="A27" i="19"/>
  <c r="A67" i="19" s="1"/>
  <c r="X26" i="19"/>
  <c r="G27" i="19" s="1"/>
  <c r="W26" i="19"/>
  <c r="F27" i="19" s="1"/>
  <c r="V26" i="19"/>
  <c r="E27" i="19" s="1"/>
  <c r="R26" i="19"/>
  <c r="Q26" i="19"/>
  <c r="D27" i="19" s="1"/>
  <c r="P26" i="19"/>
  <c r="C27" i="19" s="1"/>
  <c r="O26" i="19"/>
  <c r="B27" i="19" s="1"/>
  <c r="A26" i="19"/>
  <c r="A66" i="19" s="1"/>
  <c r="X25" i="19"/>
  <c r="G26" i="19" s="1"/>
  <c r="W25" i="19"/>
  <c r="F26" i="19" s="1"/>
  <c r="V25" i="19"/>
  <c r="E26" i="19" s="1"/>
  <c r="R25" i="19"/>
  <c r="Q25" i="19"/>
  <c r="D26" i="19" s="1"/>
  <c r="P25" i="19"/>
  <c r="C26" i="19" s="1"/>
  <c r="O25" i="19"/>
  <c r="B26" i="19" s="1"/>
  <c r="A25" i="19"/>
  <c r="A65" i="19" s="1"/>
  <c r="X24" i="19"/>
  <c r="G25" i="19" s="1"/>
  <c r="W24" i="19"/>
  <c r="F25" i="19" s="1"/>
  <c r="V24" i="19"/>
  <c r="E25" i="19" s="1"/>
  <c r="R24" i="19"/>
  <c r="Q24" i="19"/>
  <c r="D25" i="19" s="1"/>
  <c r="P24" i="19"/>
  <c r="C25" i="19" s="1"/>
  <c r="O24" i="19"/>
  <c r="B25" i="19" s="1"/>
  <c r="A24" i="19"/>
  <c r="A64" i="19" s="1"/>
  <c r="X23" i="19"/>
  <c r="G24" i="19" s="1"/>
  <c r="W23" i="19"/>
  <c r="F24" i="19" s="1"/>
  <c r="V23" i="19"/>
  <c r="E24" i="19" s="1"/>
  <c r="R23" i="19"/>
  <c r="Q23" i="19"/>
  <c r="D24" i="19" s="1"/>
  <c r="P23" i="19"/>
  <c r="C24" i="19" s="1"/>
  <c r="O23" i="19"/>
  <c r="B24" i="19" s="1"/>
  <c r="A23" i="19"/>
  <c r="A63" i="19" s="1"/>
  <c r="X22" i="19"/>
  <c r="G23" i="19" s="1"/>
  <c r="W22" i="19"/>
  <c r="F23" i="19" s="1"/>
  <c r="V22" i="19"/>
  <c r="E23" i="19" s="1"/>
  <c r="R22" i="19"/>
  <c r="Q22" i="19"/>
  <c r="D23" i="19" s="1"/>
  <c r="P22" i="19"/>
  <c r="C23" i="19" s="1"/>
  <c r="O22" i="19"/>
  <c r="B23" i="19" s="1"/>
  <c r="A22" i="19"/>
  <c r="A62" i="19" s="1"/>
  <c r="X21" i="19"/>
  <c r="G22" i="19" s="1"/>
  <c r="W21" i="19"/>
  <c r="F22" i="19" s="1"/>
  <c r="V21" i="19"/>
  <c r="E22" i="19" s="1"/>
  <c r="R21" i="19"/>
  <c r="Q21" i="19"/>
  <c r="D22" i="19" s="1"/>
  <c r="P21" i="19"/>
  <c r="C22" i="19" s="1"/>
  <c r="O21" i="19"/>
  <c r="B22" i="19" s="1"/>
  <c r="A21" i="19"/>
  <c r="A61" i="19" s="1"/>
  <c r="X20" i="19"/>
  <c r="G21" i="19" s="1"/>
  <c r="W20" i="19"/>
  <c r="F21" i="19" s="1"/>
  <c r="V20" i="19"/>
  <c r="E21" i="19" s="1"/>
  <c r="R20" i="19"/>
  <c r="Q20" i="19"/>
  <c r="D21" i="19" s="1"/>
  <c r="P20" i="19"/>
  <c r="C21" i="19" s="1"/>
  <c r="O20" i="19"/>
  <c r="B21" i="19" s="1"/>
  <c r="A20" i="19"/>
  <c r="A60" i="19" s="1"/>
  <c r="X19" i="19"/>
  <c r="G20" i="19" s="1"/>
  <c r="W19" i="19"/>
  <c r="F20" i="19" s="1"/>
  <c r="V19" i="19"/>
  <c r="E20" i="19" s="1"/>
  <c r="R19" i="19"/>
  <c r="Q19" i="19"/>
  <c r="D20" i="19" s="1"/>
  <c r="P19" i="19"/>
  <c r="C20" i="19" s="1"/>
  <c r="O19" i="19"/>
  <c r="B20" i="19" s="1"/>
  <c r="A19" i="19"/>
  <c r="A59" i="19" s="1"/>
  <c r="X18" i="19"/>
  <c r="G19" i="19" s="1"/>
  <c r="W18" i="19"/>
  <c r="F19" i="19" s="1"/>
  <c r="V18" i="19"/>
  <c r="E19" i="19" s="1"/>
  <c r="R18" i="19"/>
  <c r="Q18" i="19"/>
  <c r="D19" i="19" s="1"/>
  <c r="P18" i="19"/>
  <c r="C19" i="19" s="1"/>
  <c r="O18" i="19"/>
  <c r="B19" i="19" s="1"/>
  <c r="A18" i="19"/>
  <c r="A58" i="19" s="1"/>
  <c r="X17" i="19"/>
  <c r="G18" i="19" s="1"/>
  <c r="W17" i="19"/>
  <c r="F18" i="19" s="1"/>
  <c r="V17" i="19"/>
  <c r="E18" i="19" s="1"/>
  <c r="R17" i="19"/>
  <c r="Q17" i="19"/>
  <c r="D18" i="19" s="1"/>
  <c r="P17" i="19"/>
  <c r="C18" i="19" s="1"/>
  <c r="O17" i="19"/>
  <c r="B18" i="19" s="1"/>
  <c r="A17" i="19"/>
  <c r="A57" i="19" s="1"/>
  <c r="X16" i="19"/>
  <c r="G17" i="19" s="1"/>
  <c r="W16" i="19"/>
  <c r="F17" i="19" s="1"/>
  <c r="V16" i="19"/>
  <c r="E17" i="19" s="1"/>
  <c r="R16" i="19"/>
  <c r="Q16" i="19"/>
  <c r="D17" i="19" s="1"/>
  <c r="P16" i="19"/>
  <c r="C17" i="19" s="1"/>
  <c r="O16" i="19"/>
  <c r="B17" i="19" s="1"/>
  <c r="A16" i="19"/>
  <c r="A56" i="19" s="1"/>
  <c r="X15" i="19"/>
  <c r="G16" i="19" s="1"/>
  <c r="W15" i="19"/>
  <c r="F16" i="19" s="1"/>
  <c r="V15" i="19"/>
  <c r="E16" i="19" s="1"/>
  <c r="R15" i="19"/>
  <c r="Q15" i="19"/>
  <c r="D16" i="19" s="1"/>
  <c r="P15" i="19"/>
  <c r="C16" i="19" s="1"/>
  <c r="O15" i="19"/>
  <c r="B16" i="19" s="1"/>
  <c r="A15" i="19"/>
  <c r="K55" i="19" s="1"/>
  <c r="X14" i="19"/>
  <c r="G15" i="19" s="1"/>
  <c r="W14" i="19"/>
  <c r="F15" i="19" s="1"/>
  <c r="V14" i="19"/>
  <c r="E15" i="19" s="1"/>
  <c r="R14" i="19"/>
  <c r="Q14" i="19"/>
  <c r="D15" i="19" s="1"/>
  <c r="P14" i="19"/>
  <c r="C15" i="19" s="1"/>
  <c r="O14" i="19"/>
  <c r="B15" i="19" s="1"/>
  <c r="A14" i="19"/>
  <c r="A54" i="19" s="1"/>
  <c r="X13" i="19"/>
  <c r="G14" i="19" s="1"/>
  <c r="W13" i="19"/>
  <c r="F14" i="19" s="1"/>
  <c r="V13" i="19"/>
  <c r="E14" i="19" s="1"/>
  <c r="R13" i="19"/>
  <c r="Q13" i="19"/>
  <c r="D14" i="19" s="1"/>
  <c r="P13" i="19"/>
  <c r="C14" i="19" s="1"/>
  <c r="O13" i="19"/>
  <c r="B14" i="19" s="1"/>
  <c r="A13" i="19"/>
  <c r="A53" i="19" s="1"/>
  <c r="X12" i="19"/>
  <c r="G13" i="19" s="1"/>
  <c r="W12" i="19"/>
  <c r="F13" i="19" s="1"/>
  <c r="V12" i="19"/>
  <c r="E13" i="19" s="1"/>
  <c r="R12" i="19"/>
  <c r="Q12" i="19"/>
  <c r="D13" i="19" s="1"/>
  <c r="P12" i="19"/>
  <c r="C13" i="19" s="1"/>
  <c r="O12" i="19"/>
  <c r="B13" i="19" s="1"/>
  <c r="A12" i="19"/>
  <c r="A52" i="19" s="1"/>
  <c r="X11" i="19"/>
  <c r="G12" i="19" s="1"/>
  <c r="W11" i="19"/>
  <c r="F12" i="19" s="1"/>
  <c r="V11" i="19"/>
  <c r="E12" i="19" s="1"/>
  <c r="R11" i="19"/>
  <c r="Q11" i="19"/>
  <c r="D12" i="19" s="1"/>
  <c r="P11" i="19"/>
  <c r="C12" i="19" s="1"/>
  <c r="O11" i="19"/>
  <c r="B12" i="19" s="1"/>
  <c r="A11" i="19"/>
  <c r="A51" i="19" s="1"/>
  <c r="X10" i="19"/>
  <c r="G11" i="19" s="1"/>
  <c r="W10" i="19"/>
  <c r="F11" i="19" s="1"/>
  <c r="V10" i="19"/>
  <c r="E11" i="19" s="1"/>
  <c r="R10" i="19"/>
  <c r="Q10" i="19"/>
  <c r="D11" i="19" s="1"/>
  <c r="P10" i="19"/>
  <c r="C11" i="19" s="1"/>
  <c r="O10" i="19"/>
  <c r="B11" i="19" s="1"/>
  <c r="A10" i="19"/>
  <c r="A50" i="19" s="1"/>
  <c r="X9" i="19"/>
  <c r="G10" i="19" s="1"/>
  <c r="W9" i="19"/>
  <c r="F10" i="19" s="1"/>
  <c r="V9" i="19"/>
  <c r="E10" i="19" s="1"/>
  <c r="R9" i="19"/>
  <c r="Q9" i="19"/>
  <c r="D10" i="19" s="1"/>
  <c r="P9" i="19"/>
  <c r="C10" i="19" s="1"/>
  <c r="O9" i="19"/>
  <c r="B10" i="19" s="1"/>
  <c r="A9" i="19"/>
  <c r="A49" i="19" s="1"/>
  <c r="X8" i="19"/>
  <c r="G9" i="19" s="1"/>
  <c r="W8" i="19"/>
  <c r="F9" i="19" s="1"/>
  <c r="V8" i="19"/>
  <c r="E9" i="19" s="1"/>
  <c r="R8" i="19"/>
  <c r="Q8" i="19"/>
  <c r="D9" i="19" s="1"/>
  <c r="P8" i="19"/>
  <c r="C9" i="19" s="1"/>
  <c r="O8" i="19"/>
  <c r="B9" i="19" s="1"/>
  <c r="A8" i="19"/>
  <c r="A48" i="19" s="1"/>
  <c r="X7" i="19"/>
  <c r="G8" i="19" s="1"/>
  <c r="W7" i="19"/>
  <c r="F8" i="19" s="1"/>
  <c r="V7" i="19"/>
  <c r="E8" i="19" s="1"/>
  <c r="R7" i="19"/>
  <c r="Q7" i="19"/>
  <c r="D8" i="19" s="1"/>
  <c r="P7" i="19"/>
  <c r="C8" i="19" s="1"/>
  <c r="O7" i="19"/>
  <c r="B8" i="19" s="1"/>
  <c r="A7" i="19"/>
  <c r="A47" i="19" s="1"/>
  <c r="X6" i="19"/>
  <c r="G7" i="19" s="1"/>
  <c r="W6" i="19"/>
  <c r="F7" i="19" s="1"/>
  <c r="V6" i="19"/>
  <c r="E7" i="19" s="1"/>
  <c r="R6" i="19"/>
  <c r="Q6" i="19"/>
  <c r="D7" i="19" s="1"/>
  <c r="P6" i="19"/>
  <c r="C7" i="19" s="1"/>
  <c r="O6" i="19"/>
  <c r="B7" i="19" s="1"/>
  <c r="A6" i="19"/>
  <c r="A46" i="19" s="1"/>
  <c r="X5" i="19"/>
  <c r="G6" i="19" s="1"/>
  <c r="W5" i="19"/>
  <c r="F6" i="19" s="1"/>
  <c r="V5" i="19"/>
  <c r="E6" i="19" s="1"/>
  <c r="R5" i="19"/>
  <c r="Q5" i="19"/>
  <c r="D6" i="19" s="1"/>
  <c r="P5" i="19"/>
  <c r="C6" i="19" s="1"/>
  <c r="O5" i="19"/>
  <c r="B6" i="19" s="1"/>
  <c r="A5" i="19"/>
  <c r="A45" i="19" s="1"/>
  <c r="X4" i="19"/>
  <c r="G5" i="19" s="1"/>
  <c r="W4" i="19"/>
  <c r="F5" i="19" s="1"/>
  <c r="V4" i="19"/>
  <c r="E5" i="19" s="1"/>
  <c r="R4" i="19"/>
  <c r="Q4" i="19"/>
  <c r="D5" i="19" s="1"/>
  <c r="P4" i="19"/>
  <c r="C5" i="19" s="1"/>
  <c r="O4" i="19"/>
  <c r="B5" i="19" s="1"/>
  <c r="A4" i="19"/>
  <c r="A44" i="19" s="1"/>
  <c r="X3" i="19"/>
  <c r="G4" i="19" s="1"/>
  <c r="W3" i="19"/>
  <c r="F4" i="19" s="1"/>
  <c r="V3" i="19"/>
  <c r="E4" i="19" s="1"/>
  <c r="R3" i="19"/>
  <c r="Q3" i="19"/>
  <c r="D4" i="19" s="1"/>
  <c r="P3" i="19"/>
  <c r="C4" i="19" s="1"/>
  <c r="O3" i="19"/>
  <c r="B4" i="19" s="1"/>
  <c r="A35" i="17"/>
  <c r="K75" i="17" s="1"/>
  <c r="X34" i="17"/>
  <c r="G35" i="17" s="1"/>
  <c r="W34" i="17"/>
  <c r="F35" i="17" s="1"/>
  <c r="V34" i="17"/>
  <c r="E35" i="17" s="1"/>
  <c r="R34" i="17"/>
  <c r="Q34" i="17"/>
  <c r="D35" i="17" s="1"/>
  <c r="P34" i="17"/>
  <c r="C35" i="17" s="1"/>
  <c r="O34" i="17"/>
  <c r="B35" i="17" s="1"/>
  <c r="A34" i="17"/>
  <c r="K74" i="17" s="1"/>
  <c r="X33" i="17"/>
  <c r="G34" i="17" s="1"/>
  <c r="W33" i="17"/>
  <c r="F34" i="17" s="1"/>
  <c r="V33" i="17"/>
  <c r="E34" i="17" s="1"/>
  <c r="R33" i="17"/>
  <c r="Q33" i="17"/>
  <c r="D34" i="17" s="1"/>
  <c r="P33" i="17"/>
  <c r="C34" i="17" s="1"/>
  <c r="O33" i="17"/>
  <c r="B34" i="17" s="1"/>
  <c r="A33" i="17"/>
  <c r="K73" i="17" s="1"/>
  <c r="X32" i="17"/>
  <c r="G33" i="17" s="1"/>
  <c r="W32" i="17"/>
  <c r="F33" i="17" s="1"/>
  <c r="V32" i="17"/>
  <c r="E33" i="17" s="1"/>
  <c r="R32" i="17"/>
  <c r="Q32" i="17"/>
  <c r="D33" i="17" s="1"/>
  <c r="P32" i="17"/>
  <c r="C33" i="17" s="1"/>
  <c r="O32" i="17"/>
  <c r="B33" i="17" s="1"/>
  <c r="A32" i="17"/>
  <c r="K72" i="17" s="1"/>
  <c r="X31" i="17"/>
  <c r="G32" i="17" s="1"/>
  <c r="W31" i="17"/>
  <c r="F32" i="17" s="1"/>
  <c r="V31" i="17"/>
  <c r="E32" i="17" s="1"/>
  <c r="R31" i="17"/>
  <c r="Q31" i="17"/>
  <c r="D32" i="17" s="1"/>
  <c r="P31" i="17"/>
  <c r="C32" i="17" s="1"/>
  <c r="O31" i="17"/>
  <c r="B32" i="17" s="1"/>
  <c r="A31" i="17"/>
  <c r="K71" i="17" s="1"/>
  <c r="X30" i="17"/>
  <c r="G31" i="17" s="1"/>
  <c r="W30" i="17"/>
  <c r="F31" i="17" s="1"/>
  <c r="V30" i="17"/>
  <c r="E31" i="17" s="1"/>
  <c r="R30" i="17"/>
  <c r="Q30" i="17"/>
  <c r="D31" i="17" s="1"/>
  <c r="P30" i="17"/>
  <c r="C31" i="17" s="1"/>
  <c r="O30" i="17"/>
  <c r="B31" i="17" s="1"/>
  <c r="A30" i="17"/>
  <c r="K70" i="17" s="1"/>
  <c r="X29" i="17"/>
  <c r="G30" i="17" s="1"/>
  <c r="W29" i="17"/>
  <c r="F30" i="17" s="1"/>
  <c r="V29" i="17"/>
  <c r="E30" i="17" s="1"/>
  <c r="R29" i="17"/>
  <c r="Q29" i="17"/>
  <c r="D30" i="17" s="1"/>
  <c r="P29" i="17"/>
  <c r="C30" i="17" s="1"/>
  <c r="O29" i="17"/>
  <c r="B30" i="17" s="1"/>
  <c r="A29" i="17"/>
  <c r="K69" i="17" s="1"/>
  <c r="X28" i="17"/>
  <c r="G29" i="17" s="1"/>
  <c r="W28" i="17"/>
  <c r="F29" i="17" s="1"/>
  <c r="V28" i="17"/>
  <c r="E29" i="17" s="1"/>
  <c r="R28" i="17"/>
  <c r="Q28" i="17"/>
  <c r="D29" i="17" s="1"/>
  <c r="P28" i="17"/>
  <c r="C29" i="17" s="1"/>
  <c r="O28" i="17"/>
  <c r="B29" i="17" s="1"/>
  <c r="A28" i="17"/>
  <c r="K68" i="17" s="1"/>
  <c r="X27" i="17"/>
  <c r="G28" i="17" s="1"/>
  <c r="W27" i="17"/>
  <c r="F28" i="17" s="1"/>
  <c r="V27" i="17"/>
  <c r="E28" i="17" s="1"/>
  <c r="R27" i="17"/>
  <c r="Q27" i="17"/>
  <c r="D28" i="17" s="1"/>
  <c r="P27" i="17"/>
  <c r="C28" i="17" s="1"/>
  <c r="O27" i="17"/>
  <c r="B28" i="17" s="1"/>
  <c r="A27" i="17"/>
  <c r="K67" i="17" s="1"/>
  <c r="X26" i="17"/>
  <c r="G27" i="17" s="1"/>
  <c r="W26" i="17"/>
  <c r="F27" i="17" s="1"/>
  <c r="V26" i="17"/>
  <c r="E27" i="17" s="1"/>
  <c r="R26" i="17"/>
  <c r="Q26" i="17"/>
  <c r="D27" i="17" s="1"/>
  <c r="P26" i="17"/>
  <c r="C27" i="17" s="1"/>
  <c r="O26" i="17"/>
  <c r="B27" i="17" s="1"/>
  <c r="A26" i="17"/>
  <c r="K66" i="17" s="1"/>
  <c r="X25" i="17"/>
  <c r="G26" i="17" s="1"/>
  <c r="W25" i="17"/>
  <c r="F26" i="17" s="1"/>
  <c r="V25" i="17"/>
  <c r="E26" i="17" s="1"/>
  <c r="R25" i="17"/>
  <c r="Q25" i="17"/>
  <c r="D26" i="17" s="1"/>
  <c r="P25" i="17"/>
  <c r="C26" i="17" s="1"/>
  <c r="O25" i="17"/>
  <c r="B26" i="17" s="1"/>
  <c r="A25" i="17"/>
  <c r="K65" i="17" s="1"/>
  <c r="X24" i="17"/>
  <c r="G25" i="17" s="1"/>
  <c r="W24" i="17"/>
  <c r="F25" i="17" s="1"/>
  <c r="V24" i="17"/>
  <c r="E25" i="17" s="1"/>
  <c r="R24" i="17"/>
  <c r="Q24" i="17"/>
  <c r="D25" i="17" s="1"/>
  <c r="P24" i="17"/>
  <c r="C25" i="17" s="1"/>
  <c r="O24" i="17"/>
  <c r="B25" i="17" s="1"/>
  <c r="A24" i="17"/>
  <c r="K64" i="17" s="1"/>
  <c r="X23" i="17"/>
  <c r="G24" i="17" s="1"/>
  <c r="W23" i="17"/>
  <c r="F24" i="17" s="1"/>
  <c r="V23" i="17"/>
  <c r="E24" i="17" s="1"/>
  <c r="R23" i="17"/>
  <c r="Q23" i="17"/>
  <c r="D24" i="17" s="1"/>
  <c r="P23" i="17"/>
  <c r="C24" i="17" s="1"/>
  <c r="O23" i="17"/>
  <c r="B24" i="17" s="1"/>
  <c r="A23" i="17"/>
  <c r="K63" i="17" s="1"/>
  <c r="X22" i="17"/>
  <c r="G23" i="17" s="1"/>
  <c r="W22" i="17"/>
  <c r="F23" i="17" s="1"/>
  <c r="V22" i="17"/>
  <c r="E23" i="17" s="1"/>
  <c r="R22" i="17"/>
  <c r="Q22" i="17"/>
  <c r="D23" i="17" s="1"/>
  <c r="P22" i="17"/>
  <c r="C23" i="17" s="1"/>
  <c r="O22" i="17"/>
  <c r="B23" i="17" s="1"/>
  <c r="A22" i="17"/>
  <c r="K62" i="17" s="1"/>
  <c r="X21" i="17"/>
  <c r="G22" i="17" s="1"/>
  <c r="W21" i="17"/>
  <c r="F22" i="17" s="1"/>
  <c r="V21" i="17"/>
  <c r="E22" i="17" s="1"/>
  <c r="R21" i="17"/>
  <c r="Q21" i="17"/>
  <c r="D22" i="17" s="1"/>
  <c r="P21" i="17"/>
  <c r="C22" i="17" s="1"/>
  <c r="O21" i="17"/>
  <c r="B22" i="17" s="1"/>
  <c r="A21" i="17"/>
  <c r="K61" i="17" s="1"/>
  <c r="X20" i="17"/>
  <c r="G21" i="17" s="1"/>
  <c r="W20" i="17"/>
  <c r="F21" i="17" s="1"/>
  <c r="V20" i="17"/>
  <c r="E21" i="17" s="1"/>
  <c r="R20" i="17"/>
  <c r="Q20" i="17"/>
  <c r="D21" i="17" s="1"/>
  <c r="P20" i="17"/>
  <c r="C21" i="17" s="1"/>
  <c r="O20" i="17"/>
  <c r="B21" i="17" s="1"/>
  <c r="A20" i="17"/>
  <c r="K60" i="17" s="1"/>
  <c r="X19" i="17"/>
  <c r="G20" i="17" s="1"/>
  <c r="W19" i="17"/>
  <c r="F20" i="17" s="1"/>
  <c r="V19" i="17"/>
  <c r="E20" i="17" s="1"/>
  <c r="R19" i="17"/>
  <c r="Q19" i="17"/>
  <c r="D20" i="17" s="1"/>
  <c r="P19" i="17"/>
  <c r="C20" i="17" s="1"/>
  <c r="O19" i="17"/>
  <c r="B20" i="17" s="1"/>
  <c r="A19" i="17"/>
  <c r="K59" i="17" s="1"/>
  <c r="X18" i="17"/>
  <c r="G19" i="17" s="1"/>
  <c r="W18" i="17"/>
  <c r="F19" i="17" s="1"/>
  <c r="V18" i="17"/>
  <c r="E19" i="17" s="1"/>
  <c r="R18" i="17"/>
  <c r="Q18" i="17"/>
  <c r="D19" i="17" s="1"/>
  <c r="P18" i="17"/>
  <c r="C19" i="17" s="1"/>
  <c r="O18" i="17"/>
  <c r="B19" i="17" s="1"/>
  <c r="A18" i="17"/>
  <c r="K58" i="17" s="1"/>
  <c r="X17" i="17"/>
  <c r="G18" i="17" s="1"/>
  <c r="W17" i="17"/>
  <c r="F18" i="17" s="1"/>
  <c r="V17" i="17"/>
  <c r="E18" i="17" s="1"/>
  <c r="R17" i="17"/>
  <c r="Q17" i="17"/>
  <c r="D18" i="17" s="1"/>
  <c r="P17" i="17"/>
  <c r="C18" i="17" s="1"/>
  <c r="O17" i="17"/>
  <c r="B18" i="17" s="1"/>
  <c r="A17" i="17"/>
  <c r="K57" i="17" s="1"/>
  <c r="X16" i="17"/>
  <c r="G17" i="17" s="1"/>
  <c r="W16" i="17"/>
  <c r="F17" i="17" s="1"/>
  <c r="V16" i="17"/>
  <c r="E17" i="17" s="1"/>
  <c r="R16" i="17"/>
  <c r="Q16" i="17"/>
  <c r="D17" i="17" s="1"/>
  <c r="P16" i="17"/>
  <c r="C17" i="17" s="1"/>
  <c r="O16" i="17"/>
  <c r="B17" i="17" s="1"/>
  <c r="A16" i="17"/>
  <c r="K56" i="17" s="1"/>
  <c r="X15" i="17"/>
  <c r="G16" i="17" s="1"/>
  <c r="W15" i="17"/>
  <c r="F16" i="17" s="1"/>
  <c r="V15" i="17"/>
  <c r="E16" i="17" s="1"/>
  <c r="R15" i="17"/>
  <c r="Q15" i="17"/>
  <c r="D16" i="17" s="1"/>
  <c r="P15" i="17"/>
  <c r="C16" i="17" s="1"/>
  <c r="O15" i="17"/>
  <c r="B16" i="17" s="1"/>
  <c r="A15" i="17"/>
  <c r="K55" i="17" s="1"/>
  <c r="X14" i="17"/>
  <c r="G15" i="17" s="1"/>
  <c r="W14" i="17"/>
  <c r="F15" i="17" s="1"/>
  <c r="V14" i="17"/>
  <c r="E15" i="17" s="1"/>
  <c r="R14" i="17"/>
  <c r="Q14" i="17"/>
  <c r="D15" i="17" s="1"/>
  <c r="P14" i="17"/>
  <c r="C15" i="17" s="1"/>
  <c r="O14" i="17"/>
  <c r="B15" i="17" s="1"/>
  <c r="A14" i="17"/>
  <c r="K54" i="17" s="1"/>
  <c r="X13" i="17"/>
  <c r="G14" i="17" s="1"/>
  <c r="W13" i="17"/>
  <c r="F14" i="17" s="1"/>
  <c r="V13" i="17"/>
  <c r="E14" i="17" s="1"/>
  <c r="R13" i="17"/>
  <c r="Q13" i="17"/>
  <c r="D14" i="17" s="1"/>
  <c r="P13" i="17"/>
  <c r="C14" i="17" s="1"/>
  <c r="O13" i="17"/>
  <c r="B14" i="17" s="1"/>
  <c r="A13" i="17"/>
  <c r="K53" i="17" s="1"/>
  <c r="X12" i="17"/>
  <c r="G13" i="17" s="1"/>
  <c r="W12" i="17"/>
  <c r="F13" i="17" s="1"/>
  <c r="V12" i="17"/>
  <c r="E13" i="17" s="1"/>
  <c r="R12" i="17"/>
  <c r="Q12" i="17"/>
  <c r="D13" i="17" s="1"/>
  <c r="P12" i="17"/>
  <c r="C13" i="17" s="1"/>
  <c r="O12" i="17"/>
  <c r="B13" i="17" s="1"/>
  <c r="A12" i="17"/>
  <c r="K52" i="17" s="1"/>
  <c r="X11" i="17"/>
  <c r="G12" i="17" s="1"/>
  <c r="W11" i="17"/>
  <c r="F12" i="17" s="1"/>
  <c r="V11" i="17"/>
  <c r="E12" i="17" s="1"/>
  <c r="R11" i="17"/>
  <c r="Q11" i="17"/>
  <c r="D12" i="17" s="1"/>
  <c r="P11" i="17"/>
  <c r="C12" i="17" s="1"/>
  <c r="O11" i="17"/>
  <c r="B12" i="17" s="1"/>
  <c r="A11" i="17"/>
  <c r="K51" i="17" s="1"/>
  <c r="X10" i="17"/>
  <c r="G11" i="17" s="1"/>
  <c r="W10" i="17"/>
  <c r="F11" i="17" s="1"/>
  <c r="V10" i="17"/>
  <c r="E11" i="17" s="1"/>
  <c r="R10" i="17"/>
  <c r="Q10" i="17"/>
  <c r="D11" i="17" s="1"/>
  <c r="P10" i="17"/>
  <c r="C11" i="17" s="1"/>
  <c r="O10" i="17"/>
  <c r="B11" i="17" s="1"/>
  <c r="A10" i="17"/>
  <c r="K50" i="17" s="1"/>
  <c r="X9" i="17"/>
  <c r="G10" i="17" s="1"/>
  <c r="W9" i="17"/>
  <c r="F10" i="17" s="1"/>
  <c r="V9" i="17"/>
  <c r="E10" i="17" s="1"/>
  <c r="R9" i="17"/>
  <c r="Q9" i="17"/>
  <c r="D10" i="17" s="1"/>
  <c r="P9" i="17"/>
  <c r="C10" i="17" s="1"/>
  <c r="O9" i="17"/>
  <c r="B10" i="17" s="1"/>
  <c r="A9" i="17"/>
  <c r="K49" i="17" s="1"/>
  <c r="X8" i="17"/>
  <c r="G9" i="17" s="1"/>
  <c r="W8" i="17"/>
  <c r="F9" i="17" s="1"/>
  <c r="V8" i="17"/>
  <c r="E9" i="17" s="1"/>
  <c r="R8" i="17"/>
  <c r="Q8" i="17"/>
  <c r="D9" i="17" s="1"/>
  <c r="P8" i="17"/>
  <c r="C9" i="17" s="1"/>
  <c r="O8" i="17"/>
  <c r="B9" i="17" s="1"/>
  <c r="A8" i="17"/>
  <c r="K48" i="17" s="1"/>
  <c r="X7" i="17"/>
  <c r="G8" i="17" s="1"/>
  <c r="W7" i="17"/>
  <c r="F8" i="17" s="1"/>
  <c r="V7" i="17"/>
  <c r="E8" i="17" s="1"/>
  <c r="R7" i="17"/>
  <c r="Q7" i="17"/>
  <c r="D8" i="17" s="1"/>
  <c r="P7" i="17"/>
  <c r="C8" i="17" s="1"/>
  <c r="O7" i="17"/>
  <c r="B8" i="17" s="1"/>
  <c r="A7" i="17"/>
  <c r="K47" i="17" s="1"/>
  <c r="X6" i="17"/>
  <c r="G7" i="17" s="1"/>
  <c r="W6" i="17"/>
  <c r="F7" i="17" s="1"/>
  <c r="V6" i="17"/>
  <c r="E7" i="17" s="1"/>
  <c r="R6" i="17"/>
  <c r="Q6" i="17"/>
  <c r="D7" i="17" s="1"/>
  <c r="P6" i="17"/>
  <c r="C7" i="17" s="1"/>
  <c r="O6" i="17"/>
  <c r="B7" i="17" s="1"/>
  <c r="A6" i="17"/>
  <c r="K46" i="17" s="1"/>
  <c r="X5" i="17"/>
  <c r="G6" i="17" s="1"/>
  <c r="W5" i="17"/>
  <c r="F6" i="17" s="1"/>
  <c r="V5" i="17"/>
  <c r="E6" i="17" s="1"/>
  <c r="R5" i="17"/>
  <c r="Q5" i="17"/>
  <c r="D6" i="17" s="1"/>
  <c r="P5" i="17"/>
  <c r="C6" i="17" s="1"/>
  <c r="O5" i="17"/>
  <c r="B6" i="17" s="1"/>
  <c r="A5" i="17"/>
  <c r="K45" i="17" s="1"/>
  <c r="X4" i="17"/>
  <c r="G5" i="17" s="1"/>
  <c r="W4" i="17"/>
  <c r="F5" i="17" s="1"/>
  <c r="V4" i="17"/>
  <c r="E5" i="17" s="1"/>
  <c r="R4" i="17"/>
  <c r="Q4" i="17"/>
  <c r="D5" i="17" s="1"/>
  <c r="P4" i="17"/>
  <c r="C5" i="17" s="1"/>
  <c r="O4" i="17"/>
  <c r="B5" i="17" s="1"/>
  <c r="A4" i="17"/>
  <c r="K44" i="17" s="1"/>
  <c r="X3" i="17"/>
  <c r="G4" i="17" s="1"/>
  <c r="W3" i="17"/>
  <c r="F4" i="17" s="1"/>
  <c r="V3" i="17"/>
  <c r="E4" i="17" s="1"/>
  <c r="R3" i="17"/>
  <c r="Q3" i="17"/>
  <c r="D4" i="17" s="1"/>
  <c r="P3" i="17"/>
  <c r="C4" i="17" s="1"/>
  <c r="O3" i="17"/>
  <c r="B4" i="17" s="1"/>
  <c r="P53" i="12" l="1"/>
  <c r="P46" i="12"/>
  <c r="P67" i="12"/>
  <c r="F48" i="11"/>
  <c r="F70" i="11"/>
  <c r="F54" i="11"/>
  <c r="F66" i="11"/>
  <c r="P52" i="7"/>
  <c r="P48" i="7"/>
  <c r="A61" i="16"/>
  <c r="K61" i="19"/>
  <c r="K71" i="3"/>
  <c r="A65" i="22"/>
  <c r="K60" i="20"/>
  <c r="F44" i="15"/>
  <c r="P47" i="15"/>
  <c r="P67" i="15"/>
  <c r="P49" i="15"/>
  <c r="P50" i="15"/>
  <c r="P51" i="15"/>
  <c r="P69" i="15"/>
  <c r="P53" i="14"/>
  <c r="P55" i="14"/>
  <c r="P57" i="14"/>
  <c r="F48" i="13"/>
  <c r="P54" i="13"/>
  <c r="P56" i="13"/>
  <c r="F44" i="12"/>
  <c r="P51" i="12"/>
  <c r="P59" i="12"/>
  <c r="P61" i="12"/>
  <c r="F75" i="12"/>
  <c r="I8" i="7"/>
  <c r="P48" i="3"/>
  <c r="I8" i="6"/>
  <c r="K69" i="16"/>
  <c r="K53" i="16"/>
  <c r="A51" i="13"/>
  <c r="A44" i="3"/>
  <c r="A46" i="14"/>
  <c r="M75" i="15"/>
  <c r="C75" i="15"/>
  <c r="M75" i="14"/>
  <c r="C75" i="14"/>
  <c r="C75" i="13"/>
  <c r="M75" i="13"/>
  <c r="M75" i="12"/>
  <c r="C75" i="12"/>
  <c r="M75" i="11"/>
  <c r="C75" i="11"/>
  <c r="M75" i="7"/>
  <c r="C75" i="7"/>
  <c r="M75" i="8"/>
  <c r="C75" i="8"/>
  <c r="M75" i="3"/>
  <c r="C75" i="3"/>
  <c r="C75" i="6"/>
  <c r="M75" i="6"/>
  <c r="P46" i="15"/>
  <c r="F46" i="15"/>
  <c r="F49" i="13"/>
  <c r="P69" i="12"/>
  <c r="F69" i="12"/>
  <c r="P71" i="12"/>
  <c r="F71" i="12"/>
  <c r="P73" i="12"/>
  <c r="F73" i="12"/>
  <c r="F50" i="12"/>
  <c r="F55" i="12"/>
  <c r="F63" i="12"/>
  <c r="F53" i="12"/>
  <c r="F61" i="12"/>
  <c r="F46" i="12"/>
  <c r="P47" i="12"/>
  <c r="F59" i="12"/>
  <c r="F67" i="12"/>
  <c r="P75" i="12"/>
  <c r="F57" i="12"/>
  <c r="F65" i="12"/>
  <c r="I5" i="11"/>
  <c r="P45" i="11"/>
  <c r="F49" i="11"/>
  <c r="P49" i="11"/>
  <c r="F58" i="11"/>
  <c r="I8" i="11"/>
  <c r="P75" i="11"/>
  <c r="P48" i="11"/>
  <c r="P50" i="11"/>
  <c r="P46" i="11"/>
  <c r="P52" i="11"/>
  <c r="I7" i="11"/>
  <c r="P54" i="11"/>
  <c r="F55" i="11"/>
  <c r="P56" i="11"/>
  <c r="F57" i="11"/>
  <c r="P58" i="11"/>
  <c r="P59" i="11"/>
  <c r="P60" i="11"/>
  <c r="I9" i="11"/>
  <c r="P62" i="11"/>
  <c r="P63" i="11"/>
  <c r="P64" i="11"/>
  <c r="P65" i="11"/>
  <c r="P66" i="11"/>
  <c r="P67" i="11"/>
  <c r="P68" i="11"/>
  <c r="P69" i="11"/>
  <c r="P70" i="11"/>
  <c r="F71" i="11"/>
  <c r="P72" i="11"/>
  <c r="P73" i="11"/>
  <c r="P74" i="11"/>
  <c r="P48" i="8"/>
  <c r="P54" i="8"/>
  <c r="P58" i="8"/>
  <c r="P62" i="8"/>
  <c r="P66" i="8"/>
  <c r="P70" i="8"/>
  <c r="P74" i="8"/>
  <c r="P52" i="8"/>
  <c r="P56" i="8"/>
  <c r="P60" i="8"/>
  <c r="P64" i="8"/>
  <c r="P68" i="8"/>
  <c r="P72" i="8"/>
  <c r="F62" i="3"/>
  <c r="A66" i="18"/>
  <c r="A64" i="23" s="1"/>
  <c r="A19" i="23"/>
  <c r="K19" i="23" s="1"/>
  <c r="A71" i="18"/>
  <c r="A69" i="23" s="1"/>
  <c r="A22" i="23"/>
  <c r="K22" i="23" s="1"/>
  <c r="K63" i="18"/>
  <c r="K61" i="23" s="1"/>
  <c r="A55" i="18"/>
  <c r="A53" i="23" s="1"/>
  <c r="A26" i="23"/>
  <c r="K26" i="23" s="1"/>
  <c r="K46" i="20"/>
  <c r="K50" i="20"/>
  <c r="K63" i="20"/>
  <c r="A67" i="22"/>
  <c r="A57" i="22"/>
  <c r="A73" i="22"/>
  <c r="A61" i="22"/>
  <c r="A49" i="15"/>
  <c r="A45" i="15"/>
  <c r="K60" i="9"/>
  <c r="K50" i="9"/>
  <c r="K63" i="9"/>
  <c r="K46" i="9"/>
  <c r="A50" i="3"/>
  <c r="K55" i="3"/>
  <c r="K63" i="3"/>
  <c r="A46" i="12"/>
  <c r="A45" i="13"/>
  <c r="A47" i="13"/>
  <c r="A49" i="13"/>
  <c r="K59" i="16"/>
  <c r="A73" i="16"/>
  <c r="K44" i="16"/>
  <c r="A67" i="16"/>
  <c r="K74" i="19"/>
  <c r="K58" i="19"/>
  <c r="A45" i="6"/>
  <c r="A49" i="6"/>
  <c r="I10" i="6"/>
  <c r="P60" i="24"/>
  <c r="F60" i="24"/>
  <c r="F61" i="24"/>
  <c r="P61" i="24"/>
  <c r="I9" i="24"/>
  <c r="P62" i="24"/>
  <c r="F62" i="24"/>
  <c r="F63" i="24"/>
  <c r="P63" i="24"/>
  <c r="P64" i="24"/>
  <c r="F64" i="24"/>
  <c r="F65" i="24"/>
  <c r="P65" i="24"/>
  <c r="I10" i="24"/>
  <c r="P66" i="24"/>
  <c r="F66" i="24"/>
  <c r="F67" i="24"/>
  <c r="P67" i="24"/>
  <c r="P68" i="24"/>
  <c r="F68" i="24"/>
  <c r="F69" i="24"/>
  <c r="P69" i="24"/>
  <c r="I11" i="24"/>
  <c r="P70" i="24"/>
  <c r="F70" i="24"/>
  <c r="F71" i="24"/>
  <c r="P71" i="24"/>
  <c r="P72" i="24"/>
  <c r="F72" i="24"/>
  <c r="F73" i="24"/>
  <c r="P73" i="24"/>
  <c r="P74" i="24"/>
  <c r="F74" i="24"/>
  <c r="F75" i="24"/>
  <c r="P75" i="24"/>
  <c r="F38" i="24"/>
  <c r="P44" i="24"/>
  <c r="F44" i="24"/>
  <c r="F45" i="24"/>
  <c r="P45" i="24"/>
  <c r="I5" i="24"/>
  <c r="P46" i="24"/>
  <c r="F46" i="24"/>
  <c r="F47" i="24"/>
  <c r="P47" i="24"/>
  <c r="P48" i="24"/>
  <c r="F48" i="24"/>
  <c r="F49" i="24"/>
  <c r="I6" i="24"/>
  <c r="P49" i="24"/>
  <c r="P50" i="24"/>
  <c r="F50" i="24"/>
  <c r="F51" i="24"/>
  <c r="P51" i="24"/>
  <c r="P52" i="24"/>
  <c r="F52" i="24"/>
  <c r="F53" i="24"/>
  <c r="P53" i="24"/>
  <c r="I7" i="24"/>
  <c r="P54" i="24"/>
  <c r="F54" i="24"/>
  <c r="F55" i="24"/>
  <c r="P55" i="24"/>
  <c r="P56" i="24"/>
  <c r="F56" i="24"/>
  <c r="F57" i="24"/>
  <c r="P57" i="24"/>
  <c r="I8" i="24"/>
  <c r="P58" i="24"/>
  <c r="F58" i="24"/>
  <c r="F59" i="24"/>
  <c r="P59" i="24"/>
  <c r="C38" i="15"/>
  <c r="M44" i="15"/>
  <c r="C44" i="15"/>
  <c r="M50" i="15"/>
  <c r="C50" i="15"/>
  <c r="C54" i="15"/>
  <c r="M54" i="15"/>
  <c r="M57" i="15"/>
  <c r="C57" i="15"/>
  <c r="C70" i="15"/>
  <c r="M70" i="15"/>
  <c r="M73" i="15"/>
  <c r="C73" i="15"/>
  <c r="C52" i="15"/>
  <c r="M52" i="15"/>
  <c r="M55" i="15"/>
  <c r="C55" i="15"/>
  <c r="C60" i="15"/>
  <c r="M60" i="15"/>
  <c r="M63" i="15"/>
  <c r="C63" i="15"/>
  <c r="M68" i="15"/>
  <c r="C68" i="15"/>
  <c r="M71" i="15"/>
  <c r="C71" i="15"/>
  <c r="C48" i="15"/>
  <c r="M48" i="15"/>
  <c r="M45" i="15"/>
  <c r="C45" i="15"/>
  <c r="M47" i="15"/>
  <c r="C47" i="15"/>
  <c r="M49" i="15"/>
  <c r="C49" i="15"/>
  <c r="M53" i="15"/>
  <c r="C53" i="15"/>
  <c r="M58" i="15"/>
  <c r="C58" i="15"/>
  <c r="M61" i="15"/>
  <c r="C61" i="15"/>
  <c r="C66" i="15"/>
  <c r="M66" i="15"/>
  <c r="M69" i="15"/>
  <c r="C69" i="15"/>
  <c r="C74" i="15"/>
  <c r="M74" i="15"/>
  <c r="C62" i="15"/>
  <c r="M62" i="15"/>
  <c r="M65" i="15"/>
  <c r="C65" i="15"/>
  <c r="C46" i="15"/>
  <c r="M46" i="15"/>
  <c r="M51" i="15"/>
  <c r="C51" i="15"/>
  <c r="C56" i="15"/>
  <c r="M56" i="15"/>
  <c r="M59" i="15"/>
  <c r="C59" i="15"/>
  <c r="M64" i="15"/>
  <c r="C64" i="15"/>
  <c r="M67" i="15"/>
  <c r="C67" i="15"/>
  <c r="M72" i="15"/>
  <c r="C72" i="15"/>
  <c r="M44" i="14"/>
  <c r="C44" i="14"/>
  <c r="C38" i="14"/>
  <c r="C54" i="14"/>
  <c r="M54" i="14"/>
  <c r="M55" i="14"/>
  <c r="C55" i="14"/>
  <c r="C60" i="14"/>
  <c r="M60" i="14"/>
  <c r="M63" i="14"/>
  <c r="C63" i="14"/>
  <c r="M67" i="14"/>
  <c r="C67" i="14"/>
  <c r="C70" i="14"/>
  <c r="M70" i="14"/>
  <c r="C72" i="14"/>
  <c r="M72" i="14"/>
  <c r="C74" i="14"/>
  <c r="M74" i="14"/>
  <c r="M57" i="14"/>
  <c r="C57" i="14"/>
  <c r="C62" i="14"/>
  <c r="M62" i="14"/>
  <c r="C66" i="14"/>
  <c r="M66" i="14"/>
  <c r="C58" i="14"/>
  <c r="M58" i="14"/>
  <c r="M61" i="14"/>
  <c r="C61" i="14"/>
  <c r="C64" i="14"/>
  <c r="M64" i="14"/>
  <c r="C68" i="14"/>
  <c r="M68" i="14"/>
  <c r="M45" i="14"/>
  <c r="C45" i="14"/>
  <c r="C46" i="14"/>
  <c r="M46" i="14"/>
  <c r="M47" i="14"/>
  <c r="C47" i="14"/>
  <c r="C48" i="14"/>
  <c r="M48" i="14"/>
  <c r="M49" i="14"/>
  <c r="C49" i="14"/>
  <c r="C50" i="14"/>
  <c r="M50" i="14"/>
  <c r="M51" i="14"/>
  <c r="C51" i="14"/>
  <c r="C52" i="14"/>
  <c r="M52" i="14"/>
  <c r="M53" i="14"/>
  <c r="C53" i="14"/>
  <c r="C56" i="14"/>
  <c r="M56" i="14"/>
  <c r="M59" i="14"/>
  <c r="C59" i="14"/>
  <c r="M65" i="14"/>
  <c r="C65" i="14"/>
  <c r="M69" i="14"/>
  <c r="C69" i="14"/>
  <c r="M71" i="14"/>
  <c r="C71" i="14"/>
  <c r="M73" i="14"/>
  <c r="C73" i="14"/>
  <c r="C44" i="11"/>
  <c r="C38" i="11"/>
  <c r="M44" i="11"/>
  <c r="M46" i="11"/>
  <c r="C46" i="11"/>
  <c r="M48" i="11"/>
  <c r="C48" i="11"/>
  <c r="M51" i="11"/>
  <c r="C51" i="11"/>
  <c r="C53" i="11"/>
  <c r="M53" i="11"/>
  <c r="M55" i="11"/>
  <c r="C55" i="11"/>
  <c r="C57" i="11"/>
  <c r="M57" i="11"/>
  <c r="M59" i="11"/>
  <c r="C59" i="11"/>
  <c r="C61" i="11"/>
  <c r="M61" i="11"/>
  <c r="C63" i="11"/>
  <c r="M63" i="11"/>
  <c r="M65" i="11"/>
  <c r="C65" i="11"/>
  <c r="C67" i="11"/>
  <c r="M67" i="11"/>
  <c r="C69" i="11"/>
  <c r="M69" i="11"/>
  <c r="M71" i="11"/>
  <c r="C71" i="11"/>
  <c r="C73" i="11"/>
  <c r="M73" i="11"/>
  <c r="M45" i="11"/>
  <c r="C45" i="11"/>
  <c r="C49" i="11"/>
  <c r="M49" i="11"/>
  <c r="C47" i="11"/>
  <c r="M47" i="11"/>
  <c r="M50" i="11"/>
  <c r="C50" i="11"/>
  <c r="M52" i="11"/>
  <c r="C52" i="11"/>
  <c r="M54" i="11"/>
  <c r="C54" i="11"/>
  <c r="M56" i="11"/>
  <c r="C56" i="11"/>
  <c r="M58" i="11"/>
  <c r="C58" i="11"/>
  <c r="M60" i="11"/>
  <c r="C60" i="11"/>
  <c r="M62" i="11"/>
  <c r="C62" i="11"/>
  <c r="M64" i="11"/>
  <c r="C64" i="11"/>
  <c r="M66" i="11"/>
  <c r="C66" i="11"/>
  <c r="M68" i="11"/>
  <c r="C68" i="11"/>
  <c r="M70" i="11"/>
  <c r="C70" i="11"/>
  <c r="M72" i="11"/>
  <c r="C72" i="11"/>
  <c r="M74" i="11"/>
  <c r="C74" i="11"/>
  <c r="C54" i="7"/>
  <c r="M54" i="7"/>
  <c r="C58" i="7"/>
  <c r="M58" i="7"/>
  <c r="C66" i="7"/>
  <c r="M66" i="7"/>
  <c r="C48" i="7"/>
  <c r="M48" i="7"/>
  <c r="C50" i="7"/>
  <c r="M50" i="7"/>
  <c r="M55" i="7"/>
  <c r="C55" i="7"/>
  <c r="M59" i="7"/>
  <c r="C59" i="7"/>
  <c r="M63" i="7"/>
  <c r="C63" i="7"/>
  <c r="M67" i="7"/>
  <c r="C67" i="7"/>
  <c r="M71" i="7"/>
  <c r="C71" i="7"/>
  <c r="C44" i="7"/>
  <c r="M44" i="7"/>
  <c r="C38" i="7"/>
  <c r="C46" i="7"/>
  <c r="M46" i="7"/>
  <c r="C52" i="7"/>
  <c r="M52" i="7"/>
  <c r="C56" i="7"/>
  <c r="M56" i="7"/>
  <c r="C60" i="7"/>
  <c r="M60" i="7"/>
  <c r="C64" i="7"/>
  <c r="M64" i="7"/>
  <c r="C68" i="7"/>
  <c r="M68" i="7"/>
  <c r="C72" i="7"/>
  <c r="M72" i="7"/>
  <c r="M45" i="7"/>
  <c r="C45" i="7"/>
  <c r="C62" i="7"/>
  <c r="M62" i="7"/>
  <c r="C70" i="7"/>
  <c r="M70" i="7"/>
  <c r="C74" i="7"/>
  <c r="M74" i="7"/>
  <c r="M47" i="7"/>
  <c r="C47" i="7"/>
  <c r="M49" i="7"/>
  <c r="C49" i="7"/>
  <c r="M51" i="7"/>
  <c r="C51" i="7"/>
  <c r="M53" i="7"/>
  <c r="C53" i="7"/>
  <c r="M57" i="7"/>
  <c r="C57" i="7"/>
  <c r="M61" i="7"/>
  <c r="C61" i="7"/>
  <c r="M65" i="7"/>
  <c r="C65" i="7"/>
  <c r="M69" i="7"/>
  <c r="C69" i="7"/>
  <c r="M73" i="7"/>
  <c r="C73" i="7"/>
  <c r="C45" i="8"/>
  <c r="M45" i="8"/>
  <c r="M56" i="8"/>
  <c r="C56" i="8"/>
  <c r="M48" i="8"/>
  <c r="C48" i="8"/>
  <c r="M50" i="8"/>
  <c r="C50" i="8"/>
  <c r="C53" i="8"/>
  <c r="M53" i="8"/>
  <c r="C57" i="8"/>
  <c r="M57" i="8"/>
  <c r="C61" i="8"/>
  <c r="M61" i="8"/>
  <c r="C65" i="8"/>
  <c r="M65" i="8"/>
  <c r="C69" i="8"/>
  <c r="M69" i="8"/>
  <c r="C73" i="8"/>
  <c r="M73" i="8"/>
  <c r="M60" i="8"/>
  <c r="C60" i="8"/>
  <c r="M64" i="8"/>
  <c r="C64" i="8"/>
  <c r="M72" i="8"/>
  <c r="C72" i="8"/>
  <c r="C38" i="8"/>
  <c r="M44" i="8"/>
  <c r="C44" i="8"/>
  <c r="M46" i="8"/>
  <c r="C46" i="8"/>
  <c r="C51" i="8"/>
  <c r="M51" i="8"/>
  <c r="M54" i="8"/>
  <c r="C54" i="8"/>
  <c r="M58" i="8"/>
  <c r="C58" i="8"/>
  <c r="M62" i="8"/>
  <c r="C62" i="8"/>
  <c r="M66" i="8"/>
  <c r="C66" i="8"/>
  <c r="M70" i="8"/>
  <c r="C70" i="8"/>
  <c r="M74" i="8"/>
  <c r="C74" i="8"/>
  <c r="M52" i="8"/>
  <c r="C52" i="8"/>
  <c r="M68" i="8"/>
  <c r="C68" i="8"/>
  <c r="C47" i="8"/>
  <c r="M47" i="8"/>
  <c r="C49" i="8"/>
  <c r="M49" i="8"/>
  <c r="C55" i="8"/>
  <c r="M55" i="8"/>
  <c r="C59" i="8"/>
  <c r="M59" i="8"/>
  <c r="C63" i="8"/>
  <c r="M63" i="8"/>
  <c r="C67" i="8"/>
  <c r="M67" i="8"/>
  <c r="C71" i="8"/>
  <c r="M71" i="8"/>
  <c r="M50" i="3"/>
  <c r="C50" i="3"/>
  <c r="C58" i="3"/>
  <c r="M58" i="3"/>
  <c r="C60" i="3"/>
  <c r="M60" i="3"/>
  <c r="M46" i="3"/>
  <c r="C46" i="3"/>
  <c r="C47" i="3"/>
  <c r="M47" i="3"/>
  <c r="M52" i="3"/>
  <c r="C52" i="3"/>
  <c r="C62" i="3"/>
  <c r="M62" i="3"/>
  <c r="C45" i="3"/>
  <c r="M45" i="3"/>
  <c r="C56" i="3"/>
  <c r="M56" i="3"/>
  <c r="M48" i="3"/>
  <c r="C48" i="3"/>
  <c r="C53" i="3"/>
  <c r="M53" i="3"/>
  <c r="M54" i="3"/>
  <c r="C54" i="3"/>
  <c r="M63" i="3"/>
  <c r="C63" i="3"/>
  <c r="M64" i="3"/>
  <c r="C64" i="3"/>
  <c r="C51" i="3"/>
  <c r="M51" i="3"/>
  <c r="M57" i="3"/>
  <c r="C57" i="3"/>
  <c r="M59" i="3"/>
  <c r="C59" i="3"/>
  <c r="M61" i="3"/>
  <c r="C61" i="3"/>
  <c r="M44" i="3"/>
  <c r="C38" i="3"/>
  <c r="C44" i="3"/>
  <c r="C49" i="3"/>
  <c r="M49" i="3"/>
  <c r="M55" i="3"/>
  <c r="C55" i="3"/>
  <c r="M65" i="3"/>
  <c r="C65" i="3"/>
  <c r="C66" i="3"/>
  <c r="M66" i="3"/>
  <c r="M67" i="3"/>
  <c r="C67" i="3"/>
  <c r="M68" i="3"/>
  <c r="C68" i="3"/>
  <c r="M69" i="3"/>
  <c r="C69" i="3"/>
  <c r="C70" i="3"/>
  <c r="M70" i="3"/>
  <c r="M71" i="3"/>
  <c r="C71" i="3"/>
  <c r="M72" i="3"/>
  <c r="C72" i="3"/>
  <c r="C73" i="3"/>
  <c r="M73" i="3"/>
  <c r="M74" i="3"/>
  <c r="C74" i="3"/>
  <c r="M50" i="6"/>
  <c r="C50" i="6"/>
  <c r="M60" i="6"/>
  <c r="C60" i="6"/>
  <c r="M68" i="6"/>
  <c r="C68" i="6"/>
  <c r="M72" i="6"/>
  <c r="C72" i="6"/>
  <c r="C44" i="6"/>
  <c r="C38" i="6"/>
  <c r="M44" i="6"/>
  <c r="M46" i="6"/>
  <c r="C46" i="6"/>
  <c r="C53" i="6"/>
  <c r="M53" i="6"/>
  <c r="C57" i="6"/>
  <c r="M57" i="6"/>
  <c r="M61" i="6"/>
  <c r="C61" i="6"/>
  <c r="C65" i="6"/>
  <c r="M65" i="6"/>
  <c r="C69" i="6"/>
  <c r="M69" i="6"/>
  <c r="C73" i="6"/>
  <c r="M73" i="6"/>
  <c r="M52" i="6"/>
  <c r="C52" i="6"/>
  <c r="M56" i="6"/>
  <c r="C56" i="6"/>
  <c r="M64" i="6"/>
  <c r="C64" i="6"/>
  <c r="C47" i="6"/>
  <c r="M47" i="6"/>
  <c r="C49" i="6"/>
  <c r="M49" i="6"/>
  <c r="M51" i="6"/>
  <c r="C51" i="6"/>
  <c r="M54" i="6"/>
  <c r="C54" i="6"/>
  <c r="M58" i="6"/>
  <c r="C58" i="6"/>
  <c r="M62" i="6"/>
  <c r="C62" i="6"/>
  <c r="M66" i="6"/>
  <c r="C66" i="6"/>
  <c r="M70" i="6"/>
  <c r="C70" i="6"/>
  <c r="M74" i="6"/>
  <c r="C74" i="6"/>
  <c r="M48" i="6"/>
  <c r="C48" i="6"/>
  <c r="C45" i="6"/>
  <c r="M45" i="6"/>
  <c r="M55" i="6"/>
  <c r="C55" i="6"/>
  <c r="C59" i="6"/>
  <c r="M59" i="6"/>
  <c r="C63" i="6"/>
  <c r="M63" i="6"/>
  <c r="M67" i="6"/>
  <c r="C67" i="6"/>
  <c r="M71" i="6"/>
  <c r="C71" i="6"/>
  <c r="M54" i="12"/>
  <c r="C54" i="12"/>
  <c r="C62" i="12"/>
  <c r="M62" i="12"/>
  <c r="M45" i="12"/>
  <c r="C45" i="12"/>
  <c r="M53" i="12"/>
  <c r="C53" i="12"/>
  <c r="C58" i="12"/>
  <c r="M58" i="12"/>
  <c r="M61" i="12"/>
  <c r="C61" i="12"/>
  <c r="C66" i="12"/>
  <c r="M66" i="12"/>
  <c r="M69" i="12"/>
  <c r="C69" i="12"/>
  <c r="M72" i="12"/>
  <c r="C72" i="12"/>
  <c r="M46" i="12"/>
  <c r="C46" i="12"/>
  <c r="C48" i="12"/>
  <c r="M48" i="12"/>
  <c r="M51" i="12"/>
  <c r="C51" i="12"/>
  <c r="C56" i="12"/>
  <c r="M56" i="12"/>
  <c r="M59" i="12"/>
  <c r="C59" i="12"/>
  <c r="M64" i="12"/>
  <c r="C64" i="12"/>
  <c r="M67" i="12"/>
  <c r="C67" i="12"/>
  <c r="C71" i="12"/>
  <c r="M71" i="12"/>
  <c r="C74" i="12"/>
  <c r="M74" i="12"/>
  <c r="M65" i="12"/>
  <c r="C65" i="12"/>
  <c r="C73" i="12"/>
  <c r="M73" i="12"/>
  <c r="C44" i="12"/>
  <c r="M44" i="12"/>
  <c r="C38" i="12"/>
  <c r="M49" i="12"/>
  <c r="C49" i="12"/>
  <c r="M57" i="12"/>
  <c r="C57" i="12"/>
  <c r="M47" i="12"/>
  <c r="C47" i="12"/>
  <c r="M50" i="12"/>
  <c r="C50" i="12"/>
  <c r="C52" i="12"/>
  <c r="M52" i="12"/>
  <c r="M55" i="12"/>
  <c r="C55" i="12"/>
  <c r="M60" i="12"/>
  <c r="C60" i="12"/>
  <c r="M63" i="12"/>
  <c r="C63" i="12"/>
  <c r="M68" i="12"/>
  <c r="C68" i="12"/>
  <c r="M70" i="12"/>
  <c r="C70" i="12"/>
  <c r="M46" i="13"/>
  <c r="C46" i="13"/>
  <c r="M49" i="13"/>
  <c r="C49" i="13"/>
  <c r="M52" i="13"/>
  <c r="C52" i="13"/>
  <c r="C57" i="13"/>
  <c r="M57" i="13"/>
  <c r="M60" i="13"/>
  <c r="C60" i="13"/>
  <c r="C65" i="13"/>
  <c r="M65" i="13"/>
  <c r="M68" i="13"/>
  <c r="C68" i="13"/>
  <c r="C73" i="13"/>
  <c r="M73" i="13"/>
  <c r="C38" i="13"/>
  <c r="M44" i="13"/>
  <c r="C44" i="13"/>
  <c r="M47" i="13"/>
  <c r="C47" i="13"/>
  <c r="C55" i="13"/>
  <c r="M55" i="13"/>
  <c r="M58" i="13"/>
  <c r="C58" i="13"/>
  <c r="C63" i="13"/>
  <c r="M63" i="13"/>
  <c r="M66" i="13"/>
  <c r="C66" i="13"/>
  <c r="C71" i="13"/>
  <c r="M71" i="13"/>
  <c r="M74" i="13"/>
  <c r="C74" i="13"/>
  <c r="C45" i="13"/>
  <c r="M45" i="13"/>
  <c r="C50" i="13"/>
  <c r="M50" i="13"/>
  <c r="C53" i="13"/>
  <c r="M53" i="13"/>
  <c r="M72" i="13"/>
  <c r="C72" i="13"/>
  <c r="C48" i="13"/>
  <c r="M48" i="13"/>
  <c r="M56" i="13"/>
  <c r="C56" i="13"/>
  <c r="C61" i="13"/>
  <c r="M61" i="13"/>
  <c r="M64" i="13"/>
  <c r="C64" i="13"/>
  <c r="C69" i="13"/>
  <c r="M69" i="13"/>
  <c r="C51" i="13"/>
  <c r="M51" i="13"/>
  <c r="M54" i="13"/>
  <c r="C54" i="13"/>
  <c r="C59" i="13"/>
  <c r="M59" i="13"/>
  <c r="M62" i="13"/>
  <c r="C62" i="13"/>
  <c r="C67" i="13"/>
  <c r="M67" i="13"/>
  <c r="M70" i="13"/>
  <c r="C70" i="13"/>
  <c r="F38" i="19"/>
  <c r="P44" i="19"/>
  <c r="F44" i="19"/>
  <c r="P45" i="19"/>
  <c r="F45" i="19"/>
  <c r="I5" i="19"/>
  <c r="F46" i="19"/>
  <c r="P46" i="19"/>
  <c r="P47" i="19"/>
  <c r="F47" i="19"/>
  <c r="F48" i="19"/>
  <c r="P48" i="19"/>
  <c r="P49" i="19"/>
  <c r="F49" i="19"/>
  <c r="I6" i="19"/>
  <c r="F50" i="19"/>
  <c r="P50" i="19"/>
  <c r="P51" i="19"/>
  <c r="F51" i="19"/>
  <c r="F52" i="19"/>
  <c r="P52" i="19"/>
  <c r="P53" i="19"/>
  <c r="F53" i="19"/>
  <c r="I7" i="19"/>
  <c r="P54" i="19"/>
  <c r="F54" i="19"/>
  <c r="P55" i="19"/>
  <c r="F55" i="19"/>
  <c r="F56" i="19"/>
  <c r="P56" i="19"/>
  <c r="P57" i="19"/>
  <c r="F57" i="19"/>
  <c r="I8" i="19"/>
  <c r="F58" i="19"/>
  <c r="P58" i="19"/>
  <c r="F59" i="19"/>
  <c r="P59" i="19"/>
  <c r="P60" i="19"/>
  <c r="F60" i="19"/>
  <c r="F61" i="19"/>
  <c r="P61" i="19"/>
  <c r="I9" i="19"/>
  <c r="P62" i="19"/>
  <c r="F62" i="19"/>
  <c r="F63" i="19"/>
  <c r="P63" i="19"/>
  <c r="P64" i="19"/>
  <c r="F64" i="19"/>
  <c r="P65" i="19"/>
  <c r="I10" i="19"/>
  <c r="F65" i="19"/>
  <c r="P66" i="19"/>
  <c r="F66" i="19"/>
  <c r="F67" i="19"/>
  <c r="P67" i="19"/>
  <c r="P68" i="19"/>
  <c r="F68" i="19"/>
  <c r="F69" i="19"/>
  <c r="P69" i="19"/>
  <c r="I11" i="19"/>
  <c r="P70" i="19"/>
  <c r="F70" i="19"/>
  <c r="P71" i="19"/>
  <c r="F71" i="19"/>
  <c r="P72" i="19"/>
  <c r="F72" i="19"/>
  <c r="F73" i="19"/>
  <c r="P73" i="19"/>
  <c r="F74" i="19"/>
  <c r="P74" i="19"/>
  <c r="P75" i="19"/>
  <c r="F75" i="19"/>
  <c r="F44" i="18"/>
  <c r="F38" i="18"/>
  <c r="P44" i="18"/>
  <c r="I5" i="18"/>
  <c r="P45" i="18"/>
  <c r="F45" i="18"/>
  <c r="F46" i="18"/>
  <c r="P46" i="18"/>
  <c r="P47" i="18"/>
  <c r="F47" i="18"/>
  <c r="F48" i="18"/>
  <c r="P48" i="18"/>
  <c r="I6" i="18"/>
  <c r="P49" i="18"/>
  <c r="F49" i="18"/>
  <c r="F50" i="18"/>
  <c r="P50" i="18"/>
  <c r="P51" i="18"/>
  <c r="F51" i="18"/>
  <c r="F52" i="18"/>
  <c r="P52" i="18"/>
  <c r="I7" i="18"/>
  <c r="P53" i="18"/>
  <c r="F53" i="18"/>
  <c r="F54" i="18"/>
  <c r="P54" i="18"/>
  <c r="P55" i="18"/>
  <c r="F55" i="18"/>
  <c r="P56" i="18"/>
  <c r="F56" i="18"/>
  <c r="P57" i="18"/>
  <c r="I8" i="18"/>
  <c r="F57" i="18"/>
  <c r="F58" i="18"/>
  <c r="P58" i="18"/>
  <c r="P59" i="18"/>
  <c r="F59" i="18"/>
  <c r="F60" i="18"/>
  <c r="P60" i="18"/>
  <c r="P61" i="18"/>
  <c r="I9" i="18"/>
  <c r="F61" i="18"/>
  <c r="P62" i="18"/>
  <c r="F62" i="18"/>
  <c r="F63" i="18"/>
  <c r="P63" i="18"/>
  <c r="P64" i="18"/>
  <c r="F64" i="18"/>
  <c r="F65" i="18"/>
  <c r="I10" i="18"/>
  <c r="P65" i="18"/>
  <c r="P66" i="18"/>
  <c r="F66" i="18"/>
  <c r="P67" i="18"/>
  <c r="F67" i="18"/>
  <c r="P68" i="18"/>
  <c r="F68" i="18"/>
  <c r="I11" i="18"/>
  <c r="F69" i="18"/>
  <c r="P69" i="18"/>
  <c r="P70" i="18"/>
  <c r="F70" i="18"/>
  <c r="P71" i="18"/>
  <c r="F71" i="18"/>
  <c r="F72" i="18"/>
  <c r="P72" i="18"/>
  <c r="P73" i="18"/>
  <c r="F73" i="18"/>
  <c r="F74" i="18"/>
  <c r="P74" i="18"/>
  <c r="P75" i="18"/>
  <c r="F75" i="18"/>
  <c r="F44" i="17"/>
  <c r="F38" i="17"/>
  <c r="P44" i="17"/>
  <c r="I5" i="17"/>
  <c r="P45" i="17"/>
  <c r="F45" i="17"/>
  <c r="F46" i="17"/>
  <c r="P46" i="17"/>
  <c r="P47" i="17"/>
  <c r="F47" i="17"/>
  <c r="F48" i="17"/>
  <c r="P48" i="17"/>
  <c r="P49" i="17"/>
  <c r="I6" i="17"/>
  <c r="F49" i="17"/>
  <c r="F50" i="17"/>
  <c r="P50" i="17"/>
  <c r="P51" i="17"/>
  <c r="F51" i="17"/>
  <c r="F52" i="17"/>
  <c r="P52" i="17"/>
  <c r="P53" i="17"/>
  <c r="F53" i="17"/>
  <c r="I7" i="17"/>
  <c r="F54" i="17"/>
  <c r="P54" i="17"/>
  <c r="P55" i="17"/>
  <c r="F55" i="17"/>
  <c r="F56" i="17"/>
  <c r="P56" i="17"/>
  <c r="I8" i="17"/>
  <c r="P57" i="17"/>
  <c r="F57" i="17"/>
  <c r="F58" i="17"/>
  <c r="P58" i="17"/>
  <c r="P59" i="17"/>
  <c r="F59" i="17"/>
  <c r="F60" i="17"/>
  <c r="P60" i="17"/>
  <c r="I9" i="17"/>
  <c r="P61" i="17"/>
  <c r="F61" i="17"/>
  <c r="F62" i="17"/>
  <c r="P62" i="17"/>
  <c r="P63" i="17"/>
  <c r="F63" i="17"/>
  <c r="F64" i="17"/>
  <c r="P64" i="17"/>
  <c r="P65" i="17"/>
  <c r="I10" i="17"/>
  <c r="F65" i="17"/>
  <c r="F66" i="17"/>
  <c r="P66" i="17"/>
  <c r="P67" i="17"/>
  <c r="F67" i="17"/>
  <c r="F68" i="17"/>
  <c r="P68" i="17"/>
  <c r="P69" i="17"/>
  <c r="F69" i="17"/>
  <c r="I11" i="17"/>
  <c r="F70" i="17"/>
  <c r="P70" i="17"/>
  <c r="P71" i="17"/>
  <c r="F71" i="17"/>
  <c r="F72" i="17"/>
  <c r="P72" i="17"/>
  <c r="P73" i="17"/>
  <c r="F73" i="17"/>
  <c r="F74" i="17"/>
  <c r="P74" i="17"/>
  <c r="P75" i="17"/>
  <c r="F75" i="17"/>
  <c r="P44" i="16"/>
  <c r="F38" i="16"/>
  <c r="F44" i="16"/>
  <c r="P46" i="16"/>
  <c r="F46" i="16"/>
  <c r="P48" i="16"/>
  <c r="F48" i="16"/>
  <c r="P50" i="16"/>
  <c r="F50" i="16"/>
  <c r="P52" i="16"/>
  <c r="F52" i="16"/>
  <c r="F54" i="16"/>
  <c r="P54" i="16"/>
  <c r="F56" i="16"/>
  <c r="P56" i="16"/>
  <c r="F58" i="16"/>
  <c r="P58" i="16"/>
  <c r="F60" i="16"/>
  <c r="P60" i="16"/>
  <c r="P62" i="16"/>
  <c r="F62" i="16"/>
  <c r="P64" i="16"/>
  <c r="F64" i="16"/>
  <c r="F67" i="16"/>
  <c r="P67" i="16"/>
  <c r="P69" i="16"/>
  <c r="I11" i="16"/>
  <c r="F69" i="16"/>
  <c r="P71" i="16"/>
  <c r="F71" i="16"/>
  <c r="P73" i="16"/>
  <c r="F73" i="16"/>
  <c r="P74" i="16"/>
  <c r="F74" i="16"/>
  <c r="P75" i="16"/>
  <c r="F75" i="16"/>
  <c r="F45" i="16"/>
  <c r="P45" i="16"/>
  <c r="I5" i="16"/>
  <c r="F47" i="16"/>
  <c r="P47" i="16"/>
  <c r="P49" i="16"/>
  <c r="I6" i="16"/>
  <c r="F49" i="16"/>
  <c r="F51" i="16"/>
  <c r="P51" i="16"/>
  <c r="P53" i="16"/>
  <c r="I7" i="16"/>
  <c r="F53" i="16"/>
  <c r="P55" i="16"/>
  <c r="F55" i="16"/>
  <c r="P57" i="16"/>
  <c r="F57" i="16"/>
  <c r="I8" i="16"/>
  <c r="P59" i="16"/>
  <c r="F59" i="16"/>
  <c r="F61" i="16"/>
  <c r="P61" i="16"/>
  <c r="I9" i="16"/>
  <c r="F63" i="16"/>
  <c r="P63" i="16"/>
  <c r="F65" i="16"/>
  <c r="P65" i="16"/>
  <c r="I10" i="16"/>
  <c r="P66" i="16"/>
  <c r="F66" i="16"/>
  <c r="P68" i="16"/>
  <c r="F68" i="16"/>
  <c r="F70" i="16"/>
  <c r="P70" i="16"/>
  <c r="F72" i="16"/>
  <c r="P72" i="16"/>
  <c r="P44" i="22"/>
  <c r="F44" i="22"/>
  <c r="F38" i="22"/>
  <c r="F45" i="22"/>
  <c r="I5" i="22"/>
  <c r="P45" i="22"/>
  <c r="P46" i="22"/>
  <c r="F46" i="22"/>
  <c r="P47" i="22"/>
  <c r="F47" i="22"/>
  <c r="P48" i="22"/>
  <c r="F48" i="22"/>
  <c r="F49" i="22"/>
  <c r="I6" i="22"/>
  <c r="P49" i="22"/>
  <c r="P50" i="22"/>
  <c r="F50" i="22"/>
  <c r="F51" i="22"/>
  <c r="P51" i="22"/>
  <c r="P52" i="22"/>
  <c r="F52" i="22"/>
  <c r="I7" i="22"/>
  <c r="P53" i="22"/>
  <c r="F53" i="22"/>
  <c r="P54" i="22"/>
  <c r="F54" i="22"/>
  <c r="F55" i="22"/>
  <c r="P55" i="22"/>
  <c r="P56" i="22"/>
  <c r="F56" i="22"/>
  <c r="P57" i="22"/>
  <c r="I8" i="22"/>
  <c r="F57" i="22"/>
  <c r="F58" i="22"/>
  <c r="P58" i="22"/>
  <c r="P59" i="22"/>
  <c r="F59" i="22"/>
  <c r="F60" i="22"/>
  <c r="P60" i="22"/>
  <c r="P61" i="22"/>
  <c r="F61" i="22"/>
  <c r="I9" i="22"/>
  <c r="P62" i="22"/>
  <c r="F62" i="22"/>
  <c r="P63" i="22"/>
  <c r="F63" i="22"/>
  <c r="F64" i="22"/>
  <c r="P64" i="22"/>
  <c r="F65" i="22"/>
  <c r="P65" i="22"/>
  <c r="I10" i="22"/>
  <c r="P66" i="22"/>
  <c r="F66" i="22"/>
  <c r="P67" i="22"/>
  <c r="F67" i="22"/>
  <c r="P68" i="22"/>
  <c r="F68" i="22"/>
  <c r="I11" i="22"/>
  <c r="F69" i="22"/>
  <c r="P69" i="22"/>
  <c r="P70" i="22"/>
  <c r="F70" i="22"/>
  <c r="F71" i="22"/>
  <c r="P71" i="22"/>
  <c r="P72" i="22"/>
  <c r="F72" i="22"/>
  <c r="P73" i="22"/>
  <c r="F73" i="22"/>
  <c r="F74" i="22"/>
  <c r="P74" i="22"/>
  <c r="P75" i="22"/>
  <c r="F75" i="22"/>
  <c r="P48" i="15"/>
  <c r="F48" i="15"/>
  <c r="P58" i="15"/>
  <c r="F58" i="15"/>
  <c r="I8" i="15"/>
  <c r="P66" i="15"/>
  <c r="I10" i="15"/>
  <c r="F66" i="15"/>
  <c r="P74" i="15"/>
  <c r="F74" i="15"/>
  <c r="P75" i="15"/>
  <c r="F75" i="15"/>
  <c r="I5" i="15"/>
  <c r="P45" i="15"/>
  <c r="F45" i="15"/>
  <c r="P52" i="15"/>
  <c r="F52" i="15"/>
  <c r="P55" i="15"/>
  <c r="P60" i="15"/>
  <c r="F60" i="15"/>
  <c r="P63" i="15"/>
  <c r="P68" i="15"/>
  <c r="F68" i="15"/>
  <c r="P71" i="15"/>
  <c r="P54" i="15"/>
  <c r="I7" i="15"/>
  <c r="F54" i="15"/>
  <c r="P57" i="15"/>
  <c r="P62" i="15"/>
  <c r="F62" i="15"/>
  <c r="I9" i="15"/>
  <c r="P65" i="15"/>
  <c r="P70" i="15"/>
  <c r="I11" i="15"/>
  <c r="F70" i="15"/>
  <c r="P73" i="15"/>
  <c r="P56" i="15"/>
  <c r="F56" i="15"/>
  <c r="P64" i="15"/>
  <c r="F64" i="15"/>
  <c r="P72" i="15"/>
  <c r="F72" i="15"/>
  <c r="F47" i="15"/>
  <c r="P44" i="15"/>
  <c r="F49" i="15"/>
  <c r="F50" i="15"/>
  <c r="F51" i="15"/>
  <c r="F53" i="15"/>
  <c r="F55" i="15"/>
  <c r="F57" i="15"/>
  <c r="F59" i="15"/>
  <c r="F61" i="15"/>
  <c r="F63" i="15"/>
  <c r="F65" i="15"/>
  <c r="F67" i="15"/>
  <c r="F69" i="15"/>
  <c r="F71" i="15"/>
  <c r="F73" i="15"/>
  <c r="F38" i="15"/>
  <c r="I6" i="15"/>
  <c r="P44" i="14"/>
  <c r="F38" i="14"/>
  <c r="F44" i="14"/>
  <c r="P45" i="14"/>
  <c r="I5" i="14"/>
  <c r="F45" i="14"/>
  <c r="P49" i="14"/>
  <c r="F49" i="14"/>
  <c r="I6" i="14"/>
  <c r="P54" i="14"/>
  <c r="I7" i="14"/>
  <c r="F54" i="14"/>
  <c r="P56" i="14"/>
  <c r="F56" i="14"/>
  <c r="P59" i="14"/>
  <c r="P70" i="14"/>
  <c r="F70" i="14"/>
  <c r="P74" i="14"/>
  <c r="F74" i="14"/>
  <c r="P48" i="14"/>
  <c r="F48" i="14"/>
  <c r="P52" i="14"/>
  <c r="F52" i="14"/>
  <c r="P58" i="14"/>
  <c r="I8" i="14"/>
  <c r="F58" i="14"/>
  <c r="P61" i="14"/>
  <c r="P71" i="14"/>
  <c r="F71" i="14"/>
  <c r="P75" i="14"/>
  <c r="F75" i="14"/>
  <c r="P47" i="14"/>
  <c r="F47" i="14"/>
  <c r="P51" i="14"/>
  <c r="F51" i="14"/>
  <c r="P60" i="14"/>
  <c r="F60" i="14"/>
  <c r="P72" i="14"/>
  <c r="F72" i="14"/>
  <c r="P46" i="14"/>
  <c r="F46" i="14"/>
  <c r="P50" i="14"/>
  <c r="F50" i="14"/>
  <c r="P62" i="14"/>
  <c r="F62" i="14"/>
  <c r="I9" i="14"/>
  <c r="P63" i="14"/>
  <c r="F63" i="14"/>
  <c r="P64" i="14"/>
  <c r="F64" i="14"/>
  <c r="P65" i="14"/>
  <c r="F65" i="14"/>
  <c r="I10" i="14"/>
  <c r="P66" i="14"/>
  <c r="F66" i="14"/>
  <c r="P67" i="14"/>
  <c r="F67" i="14"/>
  <c r="P68" i="14"/>
  <c r="F68" i="14"/>
  <c r="P69" i="14"/>
  <c r="I11" i="14"/>
  <c r="F69" i="14"/>
  <c r="P73" i="14"/>
  <c r="F73" i="14"/>
  <c r="F53" i="14"/>
  <c r="F55" i="14"/>
  <c r="F57" i="14"/>
  <c r="F59" i="14"/>
  <c r="F61" i="14"/>
  <c r="P44" i="13"/>
  <c r="F38" i="13"/>
  <c r="F44" i="13"/>
  <c r="P69" i="13"/>
  <c r="I11" i="13"/>
  <c r="F69" i="13"/>
  <c r="P46" i="13"/>
  <c r="F46" i="13"/>
  <c r="F47" i="13"/>
  <c r="P47" i="13"/>
  <c r="P55" i="13"/>
  <c r="F55" i="13"/>
  <c r="P58" i="13"/>
  <c r="P63" i="13"/>
  <c r="F63" i="13"/>
  <c r="P66" i="13"/>
  <c r="P71" i="13"/>
  <c r="F71" i="13"/>
  <c r="P74" i="13"/>
  <c r="P53" i="13"/>
  <c r="I7" i="13"/>
  <c r="F53" i="13"/>
  <c r="P61" i="13"/>
  <c r="I9" i="13"/>
  <c r="F61" i="13"/>
  <c r="P52" i="13"/>
  <c r="P57" i="13"/>
  <c r="I8" i="13"/>
  <c r="F57" i="13"/>
  <c r="P60" i="13"/>
  <c r="P65" i="13"/>
  <c r="F65" i="13"/>
  <c r="I10" i="13"/>
  <c r="P68" i="13"/>
  <c r="P73" i="13"/>
  <c r="F73" i="13"/>
  <c r="P50" i="13"/>
  <c r="F50" i="13"/>
  <c r="P51" i="13"/>
  <c r="F51" i="13"/>
  <c r="P59" i="13"/>
  <c r="F59" i="13"/>
  <c r="P67" i="13"/>
  <c r="F67" i="13"/>
  <c r="P75" i="13"/>
  <c r="F75" i="13"/>
  <c r="I6" i="13"/>
  <c r="P48" i="13"/>
  <c r="F52" i="13"/>
  <c r="F54" i="13"/>
  <c r="F56" i="13"/>
  <c r="F58" i="13"/>
  <c r="F60" i="13"/>
  <c r="F62" i="13"/>
  <c r="F64" i="13"/>
  <c r="F66" i="13"/>
  <c r="F68" i="13"/>
  <c r="F70" i="13"/>
  <c r="F72" i="13"/>
  <c r="F74" i="13"/>
  <c r="P45" i="13"/>
  <c r="I5" i="13"/>
  <c r="P49" i="13"/>
  <c r="P48" i="12"/>
  <c r="F48" i="12"/>
  <c r="I6" i="12"/>
  <c r="P49" i="12"/>
  <c r="F49" i="12"/>
  <c r="P56" i="12"/>
  <c r="F56" i="12"/>
  <c r="P64" i="12"/>
  <c r="F64" i="12"/>
  <c r="P70" i="12"/>
  <c r="F70" i="12"/>
  <c r="I8" i="12"/>
  <c r="P58" i="12"/>
  <c r="F58" i="12"/>
  <c r="P66" i="12"/>
  <c r="F66" i="12"/>
  <c r="F45" i="12"/>
  <c r="P45" i="12"/>
  <c r="I5" i="12"/>
  <c r="P52" i="12"/>
  <c r="F52" i="12"/>
  <c r="P55" i="12"/>
  <c r="P60" i="12"/>
  <c r="F60" i="12"/>
  <c r="P63" i="12"/>
  <c r="P68" i="12"/>
  <c r="F68" i="12"/>
  <c r="P74" i="12"/>
  <c r="F74" i="12"/>
  <c r="P50" i="12"/>
  <c r="P54" i="12"/>
  <c r="F54" i="12"/>
  <c r="P57" i="12"/>
  <c r="P62" i="12"/>
  <c r="F62" i="12"/>
  <c r="I9" i="12"/>
  <c r="I10" i="12"/>
  <c r="P72" i="12"/>
  <c r="F72" i="12"/>
  <c r="F38" i="12"/>
  <c r="F47" i="12"/>
  <c r="F51" i="12"/>
  <c r="I7" i="12"/>
  <c r="I11" i="12"/>
  <c r="P65" i="12"/>
  <c r="P44" i="12"/>
  <c r="F51" i="11"/>
  <c r="P51" i="11"/>
  <c r="F52" i="11"/>
  <c r="F56" i="11"/>
  <c r="F60" i="11"/>
  <c r="F64" i="11"/>
  <c r="F68" i="11"/>
  <c r="F72" i="11"/>
  <c r="F38" i="11"/>
  <c r="F44" i="11"/>
  <c r="P44" i="11"/>
  <c r="P47" i="11"/>
  <c r="F47" i="11"/>
  <c r="P53" i="11"/>
  <c r="P55" i="11"/>
  <c r="P57" i="11"/>
  <c r="P61" i="11"/>
  <c r="P71" i="11"/>
  <c r="I11" i="11"/>
  <c r="I6" i="11"/>
  <c r="I10" i="11"/>
  <c r="F45" i="11"/>
  <c r="F46" i="11"/>
  <c r="F50" i="11"/>
  <c r="F53" i="11"/>
  <c r="F59" i="11"/>
  <c r="F61" i="11"/>
  <c r="F63" i="11"/>
  <c r="F65" i="11"/>
  <c r="F67" i="11"/>
  <c r="F69" i="11"/>
  <c r="F73" i="11"/>
  <c r="F75" i="11"/>
  <c r="F44" i="10"/>
  <c r="F38" i="10"/>
  <c r="P44" i="10"/>
  <c r="I5" i="10"/>
  <c r="P45" i="10"/>
  <c r="F45" i="10"/>
  <c r="F46" i="10"/>
  <c r="P46" i="10"/>
  <c r="P47" i="10"/>
  <c r="F47" i="10"/>
  <c r="F48" i="10"/>
  <c r="P48" i="10"/>
  <c r="I6" i="10"/>
  <c r="P49" i="10"/>
  <c r="F49" i="10"/>
  <c r="F50" i="10"/>
  <c r="P50" i="10"/>
  <c r="P51" i="10"/>
  <c r="F51" i="10"/>
  <c r="F52" i="10"/>
  <c r="P52" i="10"/>
  <c r="I7" i="10"/>
  <c r="P53" i="10"/>
  <c r="F53" i="10"/>
  <c r="F54" i="10"/>
  <c r="P54" i="10"/>
  <c r="P55" i="10"/>
  <c r="F55" i="10"/>
  <c r="F56" i="10"/>
  <c r="P56" i="10"/>
  <c r="I8" i="10"/>
  <c r="P57" i="10"/>
  <c r="F57" i="10"/>
  <c r="F58" i="10"/>
  <c r="P58" i="10"/>
  <c r="P59" i="10"/>
  <c r="F59" i="10"/>
  <c r="F60" i="10"/>
  <c r="P60" i="10"/>
  <c r="I9" i="10"/>
  <c r="P61" i="10"/>
  <c r="F61" i="10"/>
  <c r="F62" i="10"/>
  <c r="P62" i="10"/>
  <c r="P63" i="10"/>
  <c r="F63" i="10"/>
  <c r="F64" i="10"/>
  <c r="P64" i="10"/>
  <c r="I10" i="10"/>
  <c r="P65" i="10"/>
  <c r="F65" i="10"/>
  <c r="F66" i="10"/>
  <c r="P66" i="10"/>
  <c r="P67" i="10"/>
  <c r="F67" i="10"/>
  <c r="F68" i="10"/>
  <c r="P68" i="10"/>
  <c r="I11" i="10"/>
  <c r="P69" i="10"/>
  <c r="F69" i="10"/>
  <c r="F70" i="10"/>
  <c r="P70" i="10"/>
  <c r="P71" i="10"/>
  <c r="F71" i="10"/>
  <c r="F72" i="10"/>
  <c r="P72" i="10"/>
  <c r="P73" i="10"/>
  <c r="F73" i="10"/>
  <c r="F74" i="10"/>
  <c r="P74" i="10"/>
  <c r="P75" i="10"/>
  <c r="F75" i="10"/>
  <c r="P46" i="9"/>
  <c r="F46" i="9"/>
  <c r="P48" i="9"/>
  <c r="F48" i="9"/>
  <c r="P49" i="9"/>
  <c r="I6" i="9"/>
  <c r="F49" i="9"/>
  <c r="P51" i="9"/>
  <c r="F51" i="9"/>
  <c r="P53" i="9"/>
  <c r="F53" i="9"/>
  <c r="I7" i="9"/>
  <c r="F56" i="9"/>
  <c r="P56" i="9"/>
  <c r="F58" i="9"/>
  <c r="P58" i="9"/>
  <c r="P59" i="9"/>
  <c r="F59" i="9"/>
  <c r="P61" i="9"/>
  <c r="F61" i="9"/>
  <c r="I9" i="9"/>
  <c r="F63" i="9"/>
  <c r="P63" i="9"/>
  <c r="F65" i="9"/>
  <c r="P65" i="9"/>
  <c r="I10" i="9"/>
  <c r="F67" i="9"/>
  <c r="P67" i="9"/>
  <c r="F69" i="9"/>
  <c r="P69" i="9"/>
  <c r="I11" i="9"/>
  <c r="F71" i="9"/>
  <c r="P71" i="9"/>
  <c r="F75" i="9"/>
  <c r="P75" i="9"/>
  <c r="F38" i="9"/>
  <c r="P44" i="9"/>
  <c r="F44" i="9"/>
  <c r="F45" i="9"/>
  <c r="I5" i="9"/>
  <c r="P45" i="9"/>
  <c r="F47" i="9"/>
  <c r="P47" i="9"/>
  <c r="P50" i="9"/>
  <c r="F50" i="9"/>
  <c r="F52" i="9"/>
  <c r="P52" i="9"/>
  <c r="F54" i="9"/>
  <c r="P54" i="9"/>
  <c r="P55" i="9"/>
  <c r="F55" i="9"/>
  <c r="P57" i="9"/>
  <c r="F57" i="9"/>
  <c r="I8" i="9"/>
  <c r="F60" i="9"/>
  <c r="P60" i="9"/>
  <c r="P62" i="9"/>
  <c r="F62" i="9"/>
  <c r="P64" i="9"/>
  <c r="F64" i="9"/>
  <c r="P66" i="9"/>
  <c r="F66" i="9"/>
  <c r="P68" i="9"/>
  <c r="F68" i="9"/>
  <c r="P70" i="9"/>
  <c r="F70" i="9"/>
  <c r="P72" i="9"/>
  <c r="F72" i="9"/>
  <c r="F73" i="9"/>
  <c r="P73" i="9"/>
  <c r="P74" i="9"/>
  <c r="F74" i="9"/>
  <c r="G9" i="23"/>
  <c r="Q9" i="23" s="1"/>
  <c r="G5" i="23"/>
  <c r="Q5" i="23" s="1"/>
  <c r="E7" i="23"/>
  <c r="AL7" i="23" s="1"/>
  <c r="E11" i="23"/>
  <c r="O11" i="23" s="1"/>
  <c r="F12" i="23"/>
  <c r="P12" i="23" s="1"/>
  <c r="F14" i="23"/>
  <c r="P14" i="23" s="1"/>
  <c r="F15" i="23"/>
  <c r="P15" i="23" s="1"/>
  <c r="E4" i="23"/>
  <c r="O4" i="23" s="1"/>
  <c r="P47" i="7"/>
  <c r="F47" i="7"/>
  <c r="P51" i="7"/>
  <c r="F51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50" i="7"/>
  <c r="P44" i="7"/>
  <c r="F38" i="7"/>
  <c r="F44" i="7"/>
  <c r="P46" i="7"/>
  <c r="P49" i="7"/>
  <c r="F49" i="7"/>
  <c r="I6" i="7"/>
  <c r="P45" i="7"/>
  <c r="I5" i="7"/>
  <c r="F45" i="7"/>
  <c r="F46" i="7"/>
  <c r="F48" i="7"/>
  <c r="F50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I9" i="7"/>
  <c r="P53" i="7"/>
  <c r="P47" i="8"/>
  <c r="F47" i="8"/>
  <c r="F38" i="8"/>
  <c r="P44" i="8"/>
  <c r="F44" i="8"/>
  <c r="F46" i="8"/>
  <c r="F49" i="8"/>
  <c r="I6" i="8"/>
  <c r="P49" i="8"/>
  <c r="F52" i="8"/>
  <c r="P53" i="8"/>
  <c r="F54" i="8"/>
  <c r="P55" i="8"/>
  <c r="F56" i="8"/>
  <c r="F57" i="8"/>
  <c r="F58" i="8"/>
  <c r="F59" i="8"/>
  <c r="F60" i="8"/>
  <c r="F62" i="8"/>
  <c r="P63" i="8"/>
  <c r="F64" i="8"/>
  <c r="P65" i="8"/>
  <c r="F66" i="8"/>
  <c r="F67" i="8"/>
  <c r="F68" i="8"/>
  <c r="F69" i="8"/>
  <c r="F70" i="8"/>
  <c r="P71" i="8"/>
  <c r="F72" i="8"/>
  <c r="F73" i="8"/>
  <c r="F74" i="8"/>
  <c r="F75" i="8"/>
  <c r="P50" i="8"/>
  <c r="I5" i="8"/>
  <c r="F45" i="8"/>
  <c r="P45" i="8"/>
  <c r="F48" i="8"/>
  <c r="F51" i="8"/>
  <c r="P51" i="8"/>
  <c r="P46" i="8"/>
  <c r="P57" i="8"/>
  <c r="P59" i="8"/>
  <c r="P61" i="8"/>
  <c r="P67" i="8"/>
  <c r="P69" i="8"/>
  <c r="P73" i="8"/>
  <c r="I7" i="8"/>
  <c r="I11" i="8"/>
  <c r="P75" i="8"/>
  <c r="I10" i="8"/>
  <c r="F50" i="8"/>
  <c r="F53" i="8"/>
  <c r="F55" i="8"/>
  <c r="F61" i="8"/>
  <c r="F63" i="8"/>
  <c r="F65" i="8"/>
  <c r="F71" i="8"/>
  <c r="I6" i="3"/>
  <c r="P49" i="3"/>
  <c r="F49" i="3"/>
  <c r="F58" i="3"/>
  <c r="P58" i="3"/>
  <c r="P73" i="3"/>
  <c r="F73" i="3"/>
  <c r="P44" i="3"/>
  <c r="F44" i="3"/>
  <c r="F38" i="3"/>
  <c r="P45" i="3"/>
  <c r="F45" i="3"/>
  <c r="I5" i="3"/>
  <c r="P46" i="3"/>
  <c r="F46" i="3"/>
  <c r="P52" i="3"/>
  <c r="F57" i="3"/>
  <c r="I8" i="3"/>
  <c r="P57" i="3"/>
  <c r="F63" i="3"/>
  <c r="P63" i="3"/>
  <c r="I9" i="3"/>
  <c r="F68" i="3"/>
  <c r="P68" i="3"/>
  <c r="P72" i="3"/>
  <c r="F72" i="3"/>
  <c r="P47" i="3"/>
  <c r="F47" i="3"/>
  <c r="P50" i="3"/>
  <c r="F50" i="3"/>
  <c r="F65" i="3"/>
  <c r="I10" i="3"/>
  <c r="P65" i="3"/>
  <c r="F69" i="3"/>
  <c r="I11" i="3"/>
  <c r="P69" i="3"/>
  <c r="F56" i="3"/>
  <c r="P56" i="3"/>
  <c r="F60" i="3"/>
  <c r="P60" i="3"/>
  <c r="F67" i="3"/>
  <c r="P67" i="3"/>
  <c r="F71" i="3"/>
  <c r="P71" i="3"/>
  <c r="P75" i="3"/>
  <c r="F75" i="3"/>
  <c r="P51" i="3"/>
  <c r="F51" i="3"/>
  <c r="P53" i="3"/>
  <c r="I7" i="3"/>
  <c r="F53" i="3"/>
  <c r="F59" i="3"/>
  <c r="P59" i="3"/>
  <c r="F66" i="3"/>
  <c r="P66" i="3"/>
  <c r="F70" i="3"/>
  <c r="P70" i="3"/>
  <c r="P74" i="3"/>
  <c r="F74" i="3"/>
  <c r="E6" i="23"/>
  <c r="O6" i="23" s="1"/>
  <c r="G7" i="23"/>
  <c r="Q7" i="23" s="1"/>
  <c r="G11" i="23"/>
  <c r="Q11" i="23" s="1"/>
  <c r="F13" i="23"/>
  <c r="P13" i="23" s="1"/>
  <c r="F16" i="23"/>
  <c r="P16" i="23" s="1"/>
  <c r="F17" i="23"/>
  <c r="P17" i="23" s="1"/>
  <c r="F18" i="23"/>
  <c r="P18" i="23" s="1"/>
  <c r="F19" i="23"/>
  <c r="P19" i="23" s="1"/>
  <c r="F20" i="23"/>
  <c r="P20" i="23" s="1"/>
  <c r="F48" i="3"/>
  <c r="P55" i="3"/>
  <c r="P61" i="3"/>
  <c r="P62" i="3"/>
  <c r="E8" i="23"/>
  <c r="O8" i="23" s="1"/>
  <c r="E9" i="23"/>
  <c r="O9" i="23" s="1"/>
  <c r="G10" i="23"/>
  <c r="Q10" i="23" s="1"/>
  <c r="E12" i="23"/>
  <c r="O12" i="23" s="1"/>
  <c r="E13" i="23"/>
  <c r="O13" i="23" s="1"/>
  <c r="E14" i="23"/>
  <c r="O14" i="23" s="1"/>
  <c r="E15" i="23"/>
  <c r="O15" i="23" s="1"/>
  <c r="E16" i="23"/>
  <c r="O16" i="23" s="1"/>
  <c r="E17" i="23"/>
  <c r="O17" i="23" s="1"/>
  <c r="E18" i="23"/>
  <c r="O18" i="23" s="1"/>
  <c r="E19" i="23"/>
  <c r="O19" i="23" s="1"/>
  <c r="E20" i="23"/>
  <c r="O20" i="23" s="1"/>
  <c r="E21" i="23"/>
  <c r="O21" i="23" s="1"/>
  <c r="E22" i="23"/>
  <c r="O22" i="23" s="1"/>
  <c r="E23" i="23"/>
  <c r="O23" i="23" s="1"/>
  <c r="E24" i="23"/>
  <c r="O24" i="23" s="1"/>
  <c r="E25" i="23"/>
  <c r="O25" i="23" s="1"/>
  <c r="E26" i="23"/>
  <c r="O26" i="23" s="1"/>
  <c r="E27" i="23"/>
  <c r="O27" i="23" s="1"/>
  <c r="E28" i="23"/>
  <c r="O28" i="23" s="1"/>
  <c r="E29" i="23"/>
  <c r="O29" i="23" s="1"/>
  <c r="E30" i="23"/>
  <c r="O30" i="23" s="1"/>
  <c r="E31" i="23"/>
  <c r="O31" i="23" s="1"/>
  <c r="E32" i="23"/>
  <c r="O32" i="23" s="1"/>
  <c r="E33" i="23"/>
  <c r="O33" i="23" s="1"/>
  <c r="E34" i="23"/>
  <c r="O34" i="23" s="1"/>
  <c r="E35" i="23"/>
  <c r="O35" i="23" s="1"/>
  <c r="F52" i="3"/>
  <c r="F54" i="3"/>
  <c r="P64" i="3"/>
  <c r="G4" i="23"/>
  <c r="Q4" i="23" s="1"/>
  <c r="E5" i="23"/>
  <c r="AL5" i="23" s="1"/>
  <c r="G6" i="23"/>
  <c r="AN6" i="23" s="1"/>
  <c r="F10" i="23"/>
  <c r="P10" i="23" s="1"/>
  <c r="G8" i="23"/>
  <c r="Q8" i="23" s="1"/>
  <c r="E10" i="23"/>
  <c r="O10" i="23" s="1"/>
  <c r="G12" i="23"/>
  <c r="Q12" i="23" s="1"/>
  <c r="G13" i="23"/>
  <c r="Q13" i="23" s="1"/>
  <c r="G14" i="23"/>
  <c r="Q14" i="23" s="1"/>
  <c r="G15" i="23"/>
  <c r="Q15" i="23" s="1"/>
  <c r="G16" i="23"/>
  <c r="Q16" i="23" s="1"/>
  <c r="G17" i="23"/>
  <c r="Q17" i="23" s="1"/>
  <c r="G18" i="23"/>
  <c r="Q18" i="23" s="1"/>
  <c r="G19" i="23"/>
  <c r="Q19" i="23" s="1"/>
  <c r="G20" i="23"/>
  <c r="Q20" i="23" s="1"/>
  <c r="G21" i="23"/>
  <c r="Q21" i="23" s="1"/>
  <c r="G22" i="23"/>
  <c r="Q22" i="23" s="1"/>
  <c r="G23" i="23"/>
  <c r="Q23" i="23" s="1"/>
  <c r="G24" i="23"/>
  <c r="Q24" i="23" s="1"/>
  <c r="G25" i="23"/>
  <c r="Q25" i="23" s="1"/>
  <c r="G26" i="23"/>
  <c r="Q26" i="23" s="1"/>
  <c r="G27" i="23"/>
  <c r="Q27" i="23" s="1"/>
  <c r="G28" i="23"/>
  <c r="Q28" i="23" s="1"/>
  <c r="G29" i="23"/>
  <c r="Q29" i="23" s="1"/>
  <c r="G30" i="23"/>
  <c r="Q30" i="23" s="1"/>
  <c r="G31" i="23"/>
  <c r="Q31" i="23" s="1"/>
  <c r="G32" i="23"/>
  <c r="Q32" i="23" s="1"/>
  <c r="G33" i="23"/>
  <c r="Q33" i="23" s="1"/>
  <c r="G34" i="23"/>
  <c r="Q34" i="23" s="1"/>
  <c r="G35" i="23"/>
  <c r="Q35" i="23" s="1"/>
  <c r="F9" i="23"/>
  <c r="P49" i="6"/>
  <c r="I6" i="6"/>
  <c r="F49" i="6"/>
  <c r="F45" i="6"/>
  <c r="F5" i="23"/>
  <c r="P45" i="6"/>
  <c r="I5" i="6"/>
  <c r="F61" i="6"/>
  <c r="F47" i="6"/>
  <c r="F7" i="23"/>
  <c r="P47" i="6"/>
  <c r="F11" i="23"/>
  <c r="P11" i="23" s="1"/>
  <c r="P51" i="6"/>
  <c r="F51" i="6"/>
  <c r="F35" i="23"/>
  <c r="P35" i="23" s="1"/>
  <c r="F75" i="6"/>
  <c r="P75" i="6"/>
  <c r="F38" i="6"/>
  <c r="F4" i="23"/>
  <c r="F44" i="6"/>
  <c r="P44" i="6"/>
  <c r="F8" i="23"/>
  <c r="F48" i="6"/>
  <c r="P48" i="6"/>
  <c r="P62" i="6"/>
  <c r="F22" i="23"/>
  <c r="P22" i="23" s="1"/>
  <c r="F64" i="6"/>
  <c r="P64" i="6"/>
  <c r="F24" i="23"/>
  <c r="P24" i="23" s="1"/>
  <c r="F66" i="6"/>
  <c r="F26" i="23"/>
  <c r="P26" i="23" s="1"/>
  <c r="P66" i="6"/>
  <c r="F68" i="6"/>
  <c r="F28" i="23"/>
  <c r="P28" i="23" s="1"/>
  <c r="P68" i="6"/>
  <c r="F70" i="6"/>
  <c r="F30" i="23"/>
  <c r="P30" i="23" s="1"/>
  <c r="P70" i="6"/>
  <c r="F72" i="6"/>
  <c r="F32" i="23"/>
  <c r="P32" i="23" s="1"/>
  <c r="P72" i="6"/>
  <c r="F74" i="6"/>
  <c r="F34" i="23"/>
  <c r="P34" i="23" s="1"/>
  <c r="P74" i="6"/>
  <c r="F50" i="6"/>
  <c r="F52" i="6"/>
  <c r="F53" i="6"/>
  <c r="F54" i="6"/>
  <c r="F55" i="6"/>
  <c r="F56" i="6"/>
  <c r="F57" i="6"/>
  <c r="F58" i="6"/>
  <c r="F59" i="6"/>
  <c r="F60" i="6"/>
  <c r="I9" i="6"/>
  <c r="F6" i="23"/>
  <c r="F46" i="6"/>
  <c r="P46" i="6"/>
  <c r="F21" i="23"/>
  <c r="P61" i="6"/>
  <c r="F23" i="23"/>
  <c r="P23" i="23" s="1"/>
  <c r="P63" i="6"/>
  <c r="F65" i="6"/>
  <c r="F25" i="23"/>
  <c r="P65" i="6"/>
  <c r="F27" i="23"/>
  <c r="P27" i="23" s="1"/>
  <c r="F67" i="6"/>
  <c r="P67" i="6"/>
  <c r="F29" i="23"/>
  <c r="F69" i="6"/>
  <c r="P69" i="6"/>
  <c r="F31" i="23"/>
  <c r="P31" i="23" s="1"/>
  <c r="F71" i="6"/>
  <c r="P71" i="6"/>
  <c r="F33" i="23"/>
  <c r="P33" i="23" s="1"/>
  <c r="F73" i="6"/>
  <c r="P73" i="6"/>
  <c r="P50" i="6"/>
  <c r="P52" i="6"/>
  <c r="P53" i="6"/>
  <c r="P54" i="6"/>
  <c r="P55" i="6"/>
  <c r="P56" i="6"/>
  <c r="P57" i="6"/>
  <c r="P58" i="6"/>
  <c r="P59" i="6"/>
  <c r="P60" i="6"/>
  <c r="F63" i="6"/>
  <c r="I7" i="6"/>
  <c r="I11" i="6"/>
  <c r="F62" i="6"/>
  <c r="C53" i="24"/>
  <c r="M53" i="24"/>
  <c r="C57" i="24"/>
  <c r="M57" i="24"/>
  <c r="C62" i="24"/>
  <c r="M62" i="24"/>
  <c r="C66" i="24"/>
  <c r="M66" i="24"/>
  <c r="C70" i="24"/>
  <c r="M70" i="24"/>
  <c r="C74" i="24"/>
  <c r="M74" i="24"/>
  <c r="C45" i="24"/>
  <c r="M45" i="24"/>
  <c r="C46" i="24"/>
  <c r="M46" i="24"/>
  <c r="C47" i="24"/>
  <c r="M47" i="24"/>
  <c r="C48" i="24"/>
  <c r="M48" i="24"/>
  <c r="C49" i="24"/>
  <c r="M49" i="24"/>
  <c r="C50" i="24"/>
  <c r="M50" i="24"/>
  <c r="C51" i="24"/>
  <c r="M51" i="24"/>
  <c r="C52" i="24"/>
  <c r="M52" i="24"/>
  <c r="C56" i="24"/>
  <c r="M56" i="24"/>
  <c r="C61" i="24"/>
  <c r="M61" i="24"/>
  <c r="C65" i="24"/>
  <c r="M65" i="24"/>
  <c r="C69" i="24"/>
  <c r="M69" i="24"/>
  <c r="C73" i="24"/>
  <c r="M73" i="24"/>
  <c r="C44" i="24"/>
  <c r="M44" i="24"/>
  <c r="C38" i="24"/>
  <c r="C55" i="24"/>
  <c r="M55" i="24"/>
  <c r="C59" i="24"/>
  <c r="M59" i="24"/>
  <c r="C60" i="24"/>
  <c r="M60" i="24"/>
  <c r="C64" i="24"/>
  <c r="M64" i="24"/>
  <c r="C68" i="24"/>
  <c r="M68" i="24"/>
  <c r="C72" i="24"/>
  <c r="M72" i="24"/>
  <c r="C54" i="24"/>
  <c r="M54" i="24"/>
  <c r="C58" i="24"/>
  <c r="M58" i="24"/>
  <c r="C63" i="24"/>
  <c r="M63" i="24"/>
  <c r="C67" i="24"/>
  <c r="M67" i="24"/>
  <c r="C71" i="24"/>
  <c r="M71" i="24"/>
  <c r="C75" i="24"/>
  <c r="M75" i="24"/>
  <c r="A55" i="16"/>
  <c r="K57" i="16"/>
  <c r="K63" i="16"/>
  <c r="A65" i="16"/>
  <c r="A66" i="16"/>
  <c r="A71" i="16"/>
  <c r="A62" i="16"/>
  <c r="A54" i="16"/>
  <c r="A70" i="16"/>
  <c r="A75" i="16"/>
  <c r="A58" i="16"/>
  <c r="A74" i="16"/>
  <c r="K51" i="19"/>
  <c r="K46" i="19"/>
  <c r="K50" i="19"/>
  <c r="K54" i="19"/>
  <c r="K57" i="19"/>
  <c r="K60" i="19"/>
  <c r="K70" i="19"/>
  <c r="K73" i="19"/>
  <c r="K47" i="19"/>
  <c r="K45" i="19"/>
  <c r="K49" i="19"/>
  <c r="K53" i="19"/>
  <c r="K56" i="19"/>
  <c r="K66" i="19"/>
  <c r="K69" i="19"/>
  <c r="K72" i="19"/>
  <c r="K64" i="19"/>
  <c r="K48" i="19"/>
  <c r="K52" i="19"/>
  <c r="K62" i="19"/>
  <c r="K65" i="19"/>
  <c r="K68" i="19"/>
  <c r="A50" i="12"/>
  <c r="A44" i="12"/>
  <c r="K60" i="6"/>
  <c r="K48" i="6"/>
  <c r="K54" i="6"/>
  <c r="K62" i="6"/>
  <c r="K44" i="6"/>
  <c r="A47" i="6"/>
  <c r="K56" i="6"/>
  <c r="K64" i="6"/>
  <c r="K72" i="6"/>
  <c r="K52" i="6"/>
  <c r="K68" i="6"/>
  <c r="A51" i="6"/>
  <c r="K70" i="6"/>
  <c r="K58" i="6"/>
  <c r="K66" i="6"/>
  <c r="K74" i="6"/>
  <c r="K49" i="3"/>
  <c r="K57" i="3"/>
  <c r="K65" i="3"/>
  <c r="K73" i="3"/>
  <c r="A46" i="3"/>
  <c r="K59" i="3"/>
  <c r="K67" i="3"/>
  <c r="K75" i="3"/>
  <c r="K45" i="3"/>
  <c r="K53" i="3"/>
  <c r="K61" i="3"/>
  <c r="K69" i="3"/>
  <c r="A47" i="8"/>
  <c r="A49" i="8"/>
  <c r="A51" i="8"/>
  <c r="A45" i="8"/>
  <c r="A50" i="7"/>
  <c r="A44" i="7"/>
  <c r="A46" i="7"/>
  <c r="K45" i="9"/>
  <c r="K49" i="9"/>
  <c r="K53" i="9"/>
  <c r="K56" i="9"/>
  <c r="K59" i="9"/>
  <c r="K69" i="9"/>
  <c r="K72" i="9"/>
  <c r="K75" i="9"/>
  <c r="K57" i="9"/>
  <c r="K73" i="9"/>
  <c r="K44" i="9"/>
  <c r="K48" i="9"/>
  <c r="K52" i="9"/>
  <c r="K55" i="9"/>
  <c r="K65" i="9"/>
  <c r="K68" i="9"/>
  <c r="K71" i="9"/>
  <c r="K47" i="9"/>
  <c r="K51" i="9"/>
  <c r="K61" i="9"/>
  <c r="K64" i="9"/>
  <c r="K67" i="9"/>
  <c r="K44" i="10"/>
  <c r="K53" i="10"/>
  <c r="K59" i="10"/>
  <c r="A61" i="10"/>
  <c r="A62" i="10"/>
  <c r="A67" i="10"/>
  <c r="K69" i="10"/>
  <c r="A55" i="10"/>
  <c r="K57" i="10"/>
  <c r="K63" i="10"/>
  <c r="A65" i="10"/>
  <c r="A66" i="10"/>
  <c r="A71" i="10"/>
  <c r="K73" i="10"/>
  <c r="A54" i="10"/>
  <c r="A70" i="10"/>
  <c r="A75" i="10"/>
  <c r="A58" i="10"/>
  <c r="A74" i="10"/>
  <c r="A49" i="11"/>
  <c r="A47" i="11"/>
  <c r="A51" i="11"/>
  <c r="A45" i="11"/>
  <c r="A50" i="14"/>
  <c r="A44" i="14"/>
  <c r="A51" i="15"/>
  <c r="A47" i="15"/>
  <c r="A53" i="22"/>
  <c r="A63" i="22"/>
  <c r="A66" i="22"/>
  <c r="A69" i="22"/>
  <c r="A70" i="22"/>
  <c r="A44" i="22"/>
  <c r="A59" i="22"/>
  <c r="A62" i="22"/>
  <c r="A75" i="22"/>
  <c r="A54" i="22"/>
  <c r="A55" i="22"/>
  <c r="A58" i="22"/>
  <c r="A71" i="22"/>
  <c r="A74" i="22"/>
  <c r="K73" i="20"/>
  <c r="K45" i="20"/>
  <c r="K49" i="20"/>
  <c r="K53" i="20"/>
  <c r="K56" i="20"/>
  <c r="K59" i="20"/>
  <c r="K69" i="20"/>
  <c r="K72" i="20"/>
  <c r="K75" i="20"/>
  <c r="K44" i="20"/>
  <c r="K48" i="20"/>
  <c r="K52" i="20"/>
  <c r="K55" i="20"/>
  <c r="K65" i="20"/>
  <c r="K68" i="20"/>
  <c r="K71" i="20"/>
  <c r="K57" i="20"/>
  <c r="K47" i="20"/>
  <c r="K51" i="20"/>
  <c r="K61" i="20"/>
  <c r="K64" i="20"/>
  <c r="K67" i="20"/>
  <c r="A44" i="18"/>
  <c r="A42" i="23" s="1"/>
  <c r="A53" i="18"/>
  <c r="A51" i="23" s="1"/>
  <c r="A54" i="18"/>
  <c r="A52" i="23" s="1"/>
  <c r="A59" i="18"/>
  <c r="A57" i="23" s="1"/>
  <c r="K61" i="18"/>
  <c r="K59" i="23" s="1"/>
  <c r="K67" i="18"/>
  <c r="K65" i="23" s="1"/>
  <c r="A69" i="18"/>
  <c r="A67" i="23" s="1"/>
  <c r="A70" i="18"/>
  <c r="A68" i="23" s="1"/>
  <c r="A75" i="18"/>
  <c r="A73" i="23" s="1"/>
  <c r="A15" i="23"/>
  <c r="K15" i="23" s="1"/>
  <c r="A18" i="23"/>
  <c r="K18" i="23" s="1"/>
  <c r="A21" i="23"/>
  <c r="K21" i="23" s="1"/>
  <c r="A25" i="23"/>
  <c r="K25" i="23" s="1"/>
  <c r="A35" i="23"/>
  <c r="K35" i="23" s="1"/>
  <c r="K57" i="18"/>
  <c r="K55" i="23" s="1"/>
  <c r="A65" i="18"/>
  <c r="A63" i="23" s="1"/>
  <c r="K73" i="18"/>
  <c r="K71" i="23" s="1"/>
  <c r="A57" i="18"/>
  <c r="A55" i="23" s="1"/>
  <c r="A58" i="18"/>
  <c r="A56" i="23" s="1"/>
  <c r="A63" i="18"/>
  <c r="A61" i="23" s="1"/>
  <c r="K71" i="18"/>
  <c r="K69" i="23" s="1"/>
  <c r="A73" i="18"/>
  <c r="A71" i="23" s="1"/>
  <c r="A74" i="18"/>
  <c r="A72" i="23" s="1"/>
  <c r="A14" i="23"/>
  <c r="K14" i="23" s="1"/>
  <c r="A34" i="23"/>
  <c r="K34" i="23" s="1"/>
  <c r="A29" i="23"/>
  <c r="K29" i="23" s="1"/>
  <c r="K44" i="18"/>
  <c r="K42" i="23" s="1"/>
  <c r="K53" i="18"/>
  <c r="K51" i="23" s="1"/>
  <c r="A62" i="18"/>
  <c r="A60" i="23" s="1"/>
  <c r="A67" i="18"/>
  <c r="A65" i="23" s="1"/>
  <c r="A30" i="23"/>
  <c r="K30" i="23" s="1"/>
  <c r="A47" i="18"/>
  <c r="A45" i="23" s="1"/>
  <c r="A49" i="18"/>
  <c r="A47" i="23" s="1"/>
  <c r="A52" i="18"/>
  <c r="A50" i="23" s="1"/>
  <c r="A60" i="18"/>
  <c r="A58" i="23" s="1"/>
  <c r="A68" i="18"/>
  <c r="A66" i="23" s="1"/>
  <c r="A16" i="23"/>
  <c r="K16" i="23" s="1"/>
  <c r="A32" i="23"/>
  <c r="K32" i="23" s="1"/>
  <c r="A5" i="23"/>
  <c r="K5" i="23" s="1"/>
  <c r="A6" i="23"/>
  <c r="K6" i="23" s="1"/>
  <c r="A7" i="23"/>
  <c r="K7" i="23" s="1"/>
  <c r="A8" i="23"/>
  <c r="K8" i="23" s="1"/>
  <c r="A9" i="23"/>
  <c r="K9" i="23" s="1"/>
  <c r="A46" i="18"/>
  <c r="A44" i="23" s="1"/>
  <c r="A72" i="18"/>
  <c r="A70" i="23" s="1"/>
  <c r="K45" i="18"/>
  <c r="K43" i="23" s="1"/>
  <c r="K48" i="18"/>
  <c r="K46" i="23" s="1"/>
  <c r="K50" i="18"/>
  <c r="K48" i="23" s="1"/>
  <c r="K51" i="18"/>
  <c r="K49" i="23" s="1"/>
  <c r="K52" i="18"/>
  <c r="K50" i="23" s="1"/>
  <c r="K56" i="18"/>
  <c r="K54" i="23" s="1"/>
  <c r="K60" i="18"/>
  <c r="K58" i="23" s="1"/>
  <c r="K64" i="18"/>
  <c r="K62" i="23" s="1"/>
  <c r="K68" i="18"/>
  <c r="K66" i="23" s="1"/>
  <c r="A10" i="23"/>
  <c r="K10" i="23" s="1"/>
  <c r="A51" i="18"/>
  <c r="A49" i="23" s="1"/>
  <c r="A64" i="18"/>
  <c r="A62" i="23" s="1"/>
  <c r="K54" i="20"/>
  <c r="K66" i="20"/>
  <c r="A58" i="20"/>
  <c r="A62" i="20"/>
  <c r="A70" i="20"/>
  <c r="A74" i="20"/>
  <c r="A47" i="22"/>
  <c r="A50" i="22"/>
  <c r="A52" i="22"/>
  <c r="A72" i="22"/>
  <c r="A48" i="22"/>
  <c r="A56" i="22"/>
  <c r="A64" i="22"/>
  <c r="K45" i="22"/>
  <c r="K46" i="22"/>
  <c r="K49" i="22"/>
  <c r="K51" i="22"/>
  <c r="K60" i="22"/>
  <c r="K68" i="22"/>
  <c r="A57" i="15"/>
  <c r="A63" i="15"/>
  <c r="A67" i="15"/>
  <c r="A75" i="15"/>
  <c r="K44" i="15"/>
  <c r="K46" i="15"/>
  <c r="K48" i="15"/>
  <c r="K50" i="15"/>
  <c r="K52" i="15"/>
  <c r="K54" i="15"/>
  <c r="K56" i="15"/>
  <c r="K58" i="15"/>
  <c r="K60" i="15"/>
  <c r="K62" i="15"/>
  <c r="K64" i="15"/>
  <c r="K66" i="15"/>
  <c r="K68" i="15"/>
  <c r="K70" i="15"/>
  <c r="K72" i="15"/>
  <c r="K74" i="15"/>
  <c r="A53" i="15"/>
  <c r="A55" i="15"/>
  <c r="A65" i="15"/>
  <c r="A71" i="15"/>
  <c r="A59" i="15"/>
  <c r="A61" i="15"/>
  <c r="A69" i="15"/>
  <c r="A73" i="15"/>
  <c r="A54" i="14"/>
  <c r="A60" i="14"/>
  <c r="A64" i="14"/>
  <c r="A66" i="14"/>
  <c r="A72" i="14"/>
  <c r="K45" i="14"/>
  <c r="K47" i="14"/>
  <c r="K49" i="14"/>
  <c r="K51" i="14"/>
  <c r="K53" i="14"/>
  <c r="K55" i="14"/>
  <c r="K57" i="14"/>
  <c r="K59" i="14"/>
  <c r="K61" i="14"/>
  <c r="K63" i="14"/>
  <c r="K65" i="14"/>
  <c r="K67" i="14"/>
  <c r="K69" i="14"/>
  <c r="K71" i="14"/>
  <c r="K73" i="14"/>
  <c r="K75" i="14"/>
  <c r="A58" i="14"/>
  <c r="A70" i="14"/>
  <c r="A48" i="14"/>
  <c r="A52" i="14"/>
  <c r="A56" i="14"/>
  <c r="A62" i="14"/>
  <c r="A68" i="14"/>
  <c r="A74" i="14"/>
  <c r="A55" i="11"/>
  <c r="A63" i="11"/>
  <c r="A67" i="11"/>
  <c r="A71" i="11"/>
  <c r="K44" i="11"/>
  <c r="K46" i="11"/>
  <c r="K48" i="11"/>
  <c r="K50" i="11"/>
  <c r="K52" i="11"/>
  <c r="K54" i="11"/>
  <c r="K56" i="11"/>
  <c r="K58" i="11"/>
  <c r="K60" i="11"/>
  <c r="K62" i="11"/>
  <c r="K64" i="11"/>
  <c r="K66" i="11"/>
  <c r="K68" i="11"/>
  <c r="K70" i="11"/>
  <c r="K72" i="11"/>
  <c r="K74" i="11"/>
  <c r="A59" i="11"/>
  <c r="A65" i="11"/>
  <c r="A75" i="11"/>
  <c r="A53" i="11"/>
  <c r="A57" i="11"/>
  <c r="A61" i="11"/>
  <c r="A69" i="11"/>
  <c r="A73" i="11"/>
  <c r="A45" i="10"/>
  <c r="A47" i="10"/>
  <c r="A50" i="10"/>
  <c r="A52" i="10"/>
  <c r="A68" i="10"/>
  <c r="A49" i="10"/>
  <c r="A60" i="10"/>
  <c r="A72" i="10"/>
  <c r="K46" i="10"/>
  <c r="K48" i="10"/>
  <c r="K51" i="10"/>
  <c r="K56" i="10"/>
  <c r="K64" i="10"/>
  <c r="K54" i="9"/>
  <c r="K62" i="9"/>
  <c r="K70" i="9"/>
  <c r="K58" i="9"/>
  <c r="A66" i="9"/>
  <c r="A74" i="9"/>
  <c r="A48" i="7"/>
  <c r="A54" i="7"/>
  <c r="A58" i="7"/>
  <c r="A60" i="7"/>
  <c r="A68" i="7"/>
  <c r="A70" i="7"/>
  <c r="K45" i="7"/>
  <c r="K47" i="7"/>
  <c r="K49" i="7"/>
  <c r="K51" i="7"/>
  <c r="K53" i="7"/>
  <c r="K55" i="7"/>
  <c r="K57" i="7"/>
  <c r="K59" i="7"/>
  <c r="K61" i="7"/>
  <c r="K63" i="7"/>
  <c r="K65" i="7"/>
  <c r="K67" i="7"/>
  <c r="K69" i="7"/>
  <c r="K71" i="7"/>
  <c r="K73" i="7"/>
  <c r="K75" i="7"/>
  <c r="A64" i="7"/>
  <c r="A72" i="7"/>
  <c r="A52" i="7"/>
  <c r="A56" i="7"/>
  <c r="A62" i="7"/>
  <c r="A66" i="7"/>
  <c r="A74" i="7"/>
  <c r="A59" i="8"/>
  <c r="A61" i="8"/>
  <c r="A69" i="8"/>
  <c r="A71" i="8"/>
  <c r="K44" i="8"/>
  <c r="K46" i="8"/>
  <c r="K48" i="8"/>
  <c r="K50" i="8"/>
  <c r="K52" i="8"/>
  <c r="K54" i="8"/>
  <c r="K56" i="8"/>
  <c r="K58" i="8"/>
  <c r="K60" i="8"/>
  <c r="K62" i="8"/>
  <c r="K64" i="8"/>
  <c r="K66" i="8"/>
  <c r="K68" i="8"/>
  <c r="K70" i="8"/>
  <c r="K72" i="8"/>
  <c r="K74" i="8"/>
  <c r="A53" i="8"/>
  <c r="A65" i="8"/>
  <c r="A73" i="8"/>
  <c r="A55" i="8"/>
  <c r="A57" i="8"/>
  <c r="A63" i="8"/>
  <c r="A67" i="8"/>
  <c r="A75" i="8"/>
  <c r="K47" i="3"/>
  <c r="K51" i="3"/>
  <c r="A48" i="3"/>
  <c r="A52" i="3"/>
  <c r="A54" i="3"/>
  <c r="A58" i="3"/>
  <c r="A62" i="3"/>
  <c r="A70" i="3"/>
  <c r="A72" i="3"/>
  <c r="A56" i="3"/>
  <c r="A60" i="3"/>
  <c r="A64" i="3"/>
  <c r="A66" i="3"/>
  <c r="A68" i="3"/>
  <c r="A74" i="3"/>
  <c r="A55" i="6"/>
  <c r="A59" i="6"/>
  <c r="A65" i="6"/>
  <c r="A71" i="6"/>
  <c r="A73" i="6"/>
  <c r="A46" i="6"/>
  <c r="A50" i="6"/>
  <c r="A53" i="6"/>
  <c r="A57" i="6"/>
  <c r="A61" i="6"/>
  <c r="A63" i="6"/>
  <c r="A67" i="6"/>
  <c r="A69" i="6"/>
  <c r="A75" i="6"/>
  <c r="K45" i="12"/>
  <c r="K47" i="12"/>
  <c r="K49" i="12"/>
  <c r="K51" i="12"/>
  <c r="K53" i="12"/>
  <c r="K55" i="12"/>
  <c r="K57" i="12"/>
  <c r="K59" i="12"/>
  <c r="K61" i="12"/>
  <c r="K63" i="12"/>
  <c r="K65" i="12"/>
  <c r="K67" i="12"/>
  <c r="K69" i="12"/>
  <c r="K71" i="12"/>
  <c r="K73" i="12"/>
  <c r="K75" i="12"/>
  <c r="A48" i="12"/>
  <c r="A52" i="12"/>
  <c r="A56" i="12"/>
  <c r="A58" i="12"/>
  <c r="A64" i="12"/>
  <c r="A66" i="12"/>
  <c r="A68" i="12"/>
  <c r="A72" i="12"/>
  <c r="A54" i="12"/>
  <c r="A60" i="12"/>
  <c r="A62" i="12"/>
  <c r="A70" i="12"/>
  <c r="A74" i="12"/>
  <c r="A55" i="13"/>
  <c r="A59" i="13"/>
  <c r="A63" i="13"/>
  <c r="A67" i="13"/>
  <c r="A69" i="13"/>
  <c r="A75" i="13"/>
  <c r="K44" i="13"/>
  <c r="K46" i="13"/>
  <c r="K48" i="13"/>
  <c r="K50" i="13"/>
  <c r="K52" i="13"/>
  <c r="K54" i="13"/>
  <c r="K56" i="13"/>
  <c r="K58" i="13"/>
  <c r="K60" i="13"/>
  <c r="K62" i="13"/>
  <c r="K64" i="13"/>
  <c r="K66" i="13"/>
  <c r="K68" i="13"/>
  <c r="K70" i="13"/>
  <c r="K72" i="13"/>
  <c r="K74" i="13"/>
  <c r="A53" i="13"/>
  <c r="A57" i="13"/>
  <c r="A61" i="13"/>
  <c r="A65" i="13"/>
  <c r="A71" i="13"/>
  <c r="A73" i="13"/>
  <c r="A45" i="16"/>
  <c r="A47" i="16"/>
  <c r="A49" i="16"/>
  <c r="A51" i="16"/>
  <c r="A52" i="16"/>
  <c r="A60" i="16"/>
  <c r="A64" i="16"/>
  <c r="A68" i="16"/>
  <c r="A72" i="16"/>
  <c r="K46" i="16"/>
  <c r="K48" i="16"/>
  <c r="K50" i="16"/>
  <c r="K56" i="16"/>
  <c r="K59" i="19"/>
  <c r="K63" i="19"/>
  <c r="K67" i="19"/>
  <c r="K75" i="19"/>
  <c r="K44" i="19"/>
  <c r="A55" i="19"/>
  <c r="A71" i="19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5" i="24"/>
  <c r="A45" i="24"/>
  <c r="A47" i="24"/>
  <c r="A49" i="24"/>
  <c r="A51" i="24"/>
  <c r="A53" i="24"/>
  <c r="A55" i="24"/>
  <c r="A57" i="24"/>
  <c r="A59" i="24"/>
  <c r="A61" i="24"/>
  <c r="A63" i="24"/>
  <c r="A65" i="24"/>
  <c r="A67" i="24"/>
  <c r="A69" i="24"/>
  <c r="A71" i="24"/>
  <c r="A73" i="24"/>
  <c r="K44" i="24"/>
  <c r="K46" i="24"/>
  <c r="K48" i="24"/>
  <c r="K50" i="24"/>
  <c r="K52" i="24"/>
  <c r="K54" i="24"/>
  <c r="K56" i="24"/>
  <c r="K58" i="24"/>
  <c r="K60" i="24"/>
  <c r="K62" i="24"/>
  <c r="K64" i="24"/>
  <c r="K66" i="24"/>
  <c r="K68" i="24"/>
  <c r="K70" i="24"/>
  <c r="K72" i="24"/>
  <c r="K74" i="24"/>
  <c r="M45" i="19"/>
  <c r="C45" i="19"/>
  <c r="C46" i="19"/>
  <c r="M46" i="19"/>
  <c r="C47" i="19"/>
  <c r="M47" i="19"/>
  <c r="C48" i="19"/>
  <c r="M48" i="19"/>
  <c r="M49" i="19"/>
  <c r="C49" i="19"/>
  <c r="C50" i="19"/>
  <c r="M50" i="19"/>
  <c r="C51" i="19"/>
  <c r="M51" i="19"/>
  <c r="C52" i="19"/>
  <c r="M52" i="19"/>
  <c r="C56" i="19"/>
  <c r="M56" i="19"/>
  <c r="C60" i="19"/>
  <c r="M60" i="19"/>
  <c r="C64" i="19"/>
  <c r="M64" i="19"/>
  <c r="C68" i="19"/>
  <c r="M68" i="19"/>
  <c r="C72" i="19"/>
  <c r="M72" i="19"/>
  <c r="M53" i="19"/>
  <c r="C53" i="19"/>
  <c r="M61" i="19"/>
  <c r="C61" i="19"/>
  <c r="M65" i="19"/>
  <c r="C65" i="19"/>
  <c r="M69" i="19"/>
  <c r="C69" i="19"/>
  <c r="C73" i="19"/>
  <c r="M73" i="19"/>
  <c r="C44" i="19"/>
  <c r="C38" i="19"/>
  <c r="M44" i="19"/>
  <c r="M55" i="19"/>
  <c r="C55" i="19"/>
  <c r="C59" i="19"/>
  <c r="M59" i="19"/>
  <c r="C63" i="19"/>
  <c r="M63" i="19"/>
  <c r="C67" i="19"/>
  <c r="M67" i="19"/>
  <c r="M71" i="19"/>
  <c r="C71" i="19"/>
  <c r="M75" i="19"/>
  <c r="C75" i="19"/>
  <c r="M57" i="19"/>
  <c r="C57" i="19"/>
  <c r="C54" i="19"/>
  <c r="M54" i="19"/>
  <c r="C58" i="19"/>
  <c r="M58" i="19"/>
  <c r="C62" i="19"/>
  <c r="M62" i="19"/>
  <c r="C66" i="19"/>
  <c r="M66" i="19"/>
  <c r="C70" i="19"/>
  <c r="M70" i="19"/>
  <c r="C74" i="19"/>
  <c r="M74" i="19"/>
  <c r="C55" i="17"/>
  <c r="M55" i="17"/>
  <c r="C67" i="17"/>
  <c r="M67" i="17"/>
  <c r="C75" i="17"/>
  <c r="M75" i="17"/>
  <c r="C54" i="17"/>
  <c r="M54" i="17"/>
  <c r="C58" i="17"/>
  <c r="M58" i="17"/>
  <c r="C62" i="17"/>
  <c r="M62" i="17"/>
  <c r="M66" i="17"/>
  <c r="C66" i="17"/>
  <c r="M70" i="17"/>
  <c r="C70" i="17"/>
  <c r="C74" i="17"/>
  <c r="M74" i="17"/>
  <c r="C38" i="17"/>
  <c r="M44" i="17"/>
  <c r="C44" i="17"/>
  <c r="C45" i="17"/>
  <c r="M45" i="17"/>
  <c r="C53" i="17"/>
  <c r="M53" i="17"/>
  <c r="C57" i="17"/>
  <c r="M57" i="17"/>
  <c r="C61" i="17"/>
  <c r="M61" i="17"/>
  <c r="C65" i="17"/>
  <c r="M65" i="17"/>
  <c r="C69" i="17"/>
  <c r="M69" i="17"/>
  <c r="C73" i="17"/>
  <c r="M73" i="17"/>
  <c r="C59" i="17"/>
  <c r="M59" i="17"/>
  <c r="C63" i="17"/>
  <c r="M63" i="17"/>
  <c r="C71" i="17"/>
  <c r="M71" i="17"/>
  <c r="M46" i="17"/>
  <c r="C46" i="17"/>
  <c r="C47" i="17"/>
  <c r="M47" i="17"/>
  <c r="C48" i="17"/>
  <c r="M48" i="17"/>
  <c r="C49" i="17"/>
  <c r="M49" i="17"/>
  <c r="C50" i="17"/>
  <c r="M50" i="17"/>
  <c r="C51" i="17"/>
  <c r="M51" i="17"/>
  <c r="C52" i="17"/>
  <c r="M52" i="17"/>
  <c r="M56" i="17"/>
  <c r="C56" i="17"/>
  <c r="M60" i="17"/>
  <c r="C60" i="17"/>
  <c r="M64" i="17"/>
  <c r="C64" i="17"/>
  <c r="C68" i="17"/>
  <c r="M68" i="17"/>
  <c r="M72" i="17"/>
  <c r="C72" i="17"/>
  <c r="B13" i="23"/>
  <c r="L13" i="23" s="1"/>
  <c r="B17" i="23"/>
  <c r="L17" i="23" s="1"/>
  <c r="D19" i="23"/>
  <c r="N19" i="23" s="1"/>
  <c r="D23" i="23"/>
  <c r="N23" i="23" s="1"/>
  <c r="B29" i="23"/>
  <c r="L29" i="23" s="1"/>
  <c r="B33" i="23"/>
  <c r="L33" i="23" s="1"/>
  <c r="B5" i="23"/>
  <c r="L5" i="23" s="1"/>
  <c r="B6" i="23"/>
  <c r="L6" i="23" s="1"/>
  <c r="B7" i="23"/>
  <c r="AI7" i="23" s="1"/>
  <c r="B8" i="23"/>
  <c r="L8" i="23" s="1"/>
  <c r="B9" i="23"/>
  <c r="L9" i="23" s="1"/>
  <c r="B10" i="23"/>
  <c r="L10" i="23" s="1"/>
  <c r="B11" i="23"/>
  <c r="L11" i="23" s="1"/>
  <c r="B12" i="23"/>
  <c r="L12" i="23" s="1"/>
  <c r="D14" i="23"/>
  <c r="N14" i="23" s="1"/>
  <c r="B16" i="23"/>
  <c r="L16" i="23" s="1"/>
  <c r="D18" i="23"/>
  <c r="N18" i="23" s="1"/>
  <c r="B20" i="23"/>
  <c r="L20" i="23" s="1"/>
  <c r="D22" i="23"/>
  <c r="N22" i="23" s="1"/>
  <c r="B24" i="23"/>
  <c r="L24" i="23" s="1"/>
  <c r="D26" i="23"/>
  <c r="N26" i="23" s="1"/>
  <c r="B28" i="23"/>
  <c r="L28" i="23" s="1"/>
  <c r="D30" i="23"/>
  <c r="N30" i="23" s="1"/>
  <c r="B32" i="23"/>
  <c r="L32" i="23" s="1"/>
  <c r="D35" i="23"/>
  <c r="N35" i="23" s="1"/>
  <c r="D4" i="23"/>
  <c r="AK4" i="23" s="1"/>
  <c r="D15" i="23"/>
  <c r="N15" i="23" s="1"/>
  <c r="B21" i="23"/>
  <c r="L21" i="23" s="1"/>
  <c r="B25" i="23"/>
  <c r="L25" i="23" s="1"/>
  <c r="D27" i="23"/>
  <c r="N27" i="23" s="1"/>
  <c r="D31" i="23"/>
  <c r="N31" i="23" s="1"/>
  <c r="B4" i="23"/>
  <c r="L4" i="23" s="1"/>
  <c r="D13" i="23"/>
  <c r="N13" i="23" s="1"/>
  <c r="B15" i="23"/>
  <c r="L15" i="23" s="1"/>
  <c r="D17" i="23"/>
  <c r="N17" i="23" s="1"/>
  <c r="B19" i="23"/>
  <c r="L19" i="23" s="1"/>
  <c r="D21" i="23"/>
  <c r="N21" i="23" s="1"/>
  <c r="B23" i="23"/>
  <c r="L23" i="23" s="1"/>
  <c r="D25" i="23"/>
  <c r="N25" i="23" s="1"/>
  <c r="B27" i="23"/>
  <c r="L27" i="23" s="1"/>
  <c r="D29" i="23"/>
  <c r="N29" i="23" s="1"/>
  <c r="B31" i="23"/>
  <c r="L31" i="23" s="1"/>
  <c r="D33" i="23"/>
  <c r="N33" i="23" s="1"/>
  <c r="D5" i="23"/>
  <c r="N5" i="23" s="1"/>
  <c r="D6" i="23"/>
  <c r="AK6" i="23" s="1"/>
  <c r="D7" i="23"/>
  <c r="N7" i="23" s="1"/>
  <c r="D8" i="23"/>
  <c r="AK8" i="23" s="1"/>
  <c r="D9" i="23"/>
  <c r="N9" i="23" s="1"/>
  <c r="D10" i="23"/>
  <c r="N10" i="23" s="1"/>
  <c r="D11" i="23"/>
  <c r="N11" i="23" s="1"/>
  <c r="D12" i="23"/>
  <c r="N12" i="23" s="1"/>
  <c r="B14" i="23"/>
  <c r="L14" i="23" s="1"/>
  <c r="D16" i="23"/>
  <c r="N16" i="23" s="1"/>
  <c r="B18" i="23"/>
  <c r="L18" i="23" s="1"/>
  <c r="D20" i="23"/>
  <c r="N20" i="23" s="1"/>
  <c r="B22" i="23"/>
  <c r="L22" i="23" s="1"/>
  <c r="D24" i="23"/>
  <c r="N24" i="23" s="1"/>
  <c r="B26" i="23"/>
  <c r="L26" i="23" s="1"/>
  <c r="D28" i="23"/>
  <c r="N28" i="23" s="1"/>
  <c r="B30" i="23"/>
  <c r="L30" i="23" s="1"/>
  <c r="D32" i="23"/>
  <c r="N32" i="23" s="1"/>
  <c r="B34" i="23"/>
  <c r="L34" i="23" s="1"/>
  <c r="D34" i="23"/>
  <c r="N34" i="23" s="1"/>
  <c r="B35" i="23"/>
  <c r="L35" i="23" s="1"/>
  <c r="C14" i="23"/>
  <c r="M14" i="23" s="1"/>
  <c r="C54" i="16"/>
  <c r="M54" i="16"/>
  <c r="AI6" i="23"/>
  <c r="M53" i="16"/>
  <c r="C53" i="16"/>
  <c r="C13" i="23"/>
  <c r="M13" i="23" s="1"/>
  <c r="M57" i="16"/>
  <c r="C57" i="16"/>
  <c r="C17" i="23"/>
  <c r="M17" i="23" s="1"/>
  <c r="M61" i="16"/>
  <c r="C21" i="23"/>
  <c r="M21" i="23" s="1"/>
  <c r="C61" i="16"/>
  <c r="M65" i="16"/>
  <c r="C25" i="23"/>
  <c r="M25" i="23" s="1"/>
  <c r="C65" i="16"/>
  <c r="M69" i="16"/>
  <c r="C29" i="23"/>
  <c r="M29" i="23" s="1"/>
  <c r="C69" i="16"/>
  <c r="M73" i="16"/>
  <c r="C73" i="16"/>
  <c r="C33" i="23"/>
  <c r="M33" i="23" s="1"/>
  <c r="C18" i="23"/>
  <c r="M18" i="23" s="1"/>
  <c r="C58" i="16"/>
  <c r="M58" i="16"/>
  <c r="C30" i="23"/>
  <c r="M30" i="23" s="1"/>
  <c r="C70" i="16"/>
  <c r="M70" i="16"/>
  <c r="M45" i="16"/>
  <c r="C5" i="23"/>
  <c r="C45" i="16"/>
  <c r="C6" i="23"/>
  <c r="C46" i="16"/>
  <c r="M46" i="16"/>
  <c r="C7" i="23"/>
  <c r="M47" i="16"/>
  <c r="C47" i="16"/>
  <c r="C48" i="16"/>
  <c r="M48" i="16"/>
  <c r="C8" i="23"/>
  <c r="M49" i="16"/>
  <c r="C9" i="23"/>
  <c r="M9" i="23" s="1"/>
  <c r="C49" i="16"/>
  <c r="C50" i="16"/>
  <c r="M50" i="16"/>
  <c r="C10" i="23"/>
  <c r="M10" i="23" s="1"/>
  <c r="C11" i="23"/>
  <c r="M11" i="23" s="1"/>
  <c r="M51" i="16"/>
  <c r="C51" i="16"/>
  <c r="C12" i="23"/>
  <c r="M12" i="23" s="1"/>
  <c r="C52" i="16"/>
  <c r="M52" i="16"/>
  <c r="C16" i="23"/>
  <c r="M16" i="23" s="1"/>
  <c r="C56" i="16"/>
  <c r="M56" i="16"/>
  <c r="C20" i="23"/>
  <c r="M20" i="23" s="1"/>
  <c r="C60" i="16"/>
  <c r="M60" i="16"/>
  <c r="C24" i="23"/>
  <c r="M24" i="23" s="1"/>
  <c r="C64" i="16"/>
  <c r="M64" i="16"/>
  <c r="C28" i="23"/>
  <c r="M28" i="23" s="1"/>
  <c r="C68" i="16"/>
  <c r="M68" i="16"/>
  <c r="C32" i="23"/>
  <c r="M32" i="23" s="1"/>
  <c r="C72" i="16"/>
  <c r="M72" i="16"/>
  <c r="C22" i="23"/>
  <c r="M22" i="23" s="1"/>
  <c r="C62" i="16"/>
  <c r="M62" i="16"/>
  <c r="C26" i="23"/>
  <c r="M26" i="23" s="1"/>
  <c r="C66" i="16"/>
  <c r="M66" i="16"/>
  <c r="C44" i="16"/>
  <c r="C38" i="16"/>
  <c r="C4" i="23"/>
  <c r="M44" i="16"/>
  <c r="M55" i="16"/>
  <c r="C15" i="23"/>
  <c r="M15" i="23" s="1"/>
  <c r="C55" i="16"/>
  <c r="M59" i="16"/>
  <c r="C19" i="23"/>
  <c r="M19" i="23" s="1"/>
  <c r="C59" i="16"/>
  <c r="M63" i="16"/>
  <c r="C23" i="23"/>
  <c r="M23" i="23" s="1"/>
  <c r="C63" i="16"/>
  <c r="M67" i="16"/>
  <c r="C27" i="23"/>
  <c r="M27" i="23" s="1"/>
  <c r="C67" i="16"/>
  <c r="M71" i="16"/>
  <c r="C31" i="23"/>
  <c r="M31" i="23" s="1"/>
  <c r="C71" i="16"/>
  <c r="M75" i="16"/>
  <c r="C34" i="23"/>
  <c r="M34" i="23" s="1"/>
  <c r="C74" i="16"/>
  <c r="M74" i="16"/>
  <c r="C75" i="16"/>
  <c r="C35" i="23"/>
  <c r="M35" i="23" s="1"/>
  <c r="P73" i="23" l="1"/>
  <c r="L7" i="23"/>
  <c r="C73" i="23"/>
  <c r="F42" i="23"/>
  <c r="P68" i="23"/>
  <c r="F45" i="23"/>
  <c r="F68" i="23"/>
  <c r="M73" i="23"/>
  <c r="C66" i="23"/>
  <c r="M52" i="23"/>
  <c r="M50" i="23"/>
  <c r="M68" i="23"/>
  <c r="C56" i="23"/>
  <c r="N6" i="23"/>
  <c r="C43" i="23"/>
  <c r="P70" i="23"/>
  <c r="P60" i="23"/>
  <c r="P54" i="23"/>
  <c r="P61" i="23"/>
  <c r="F57" i="23"/>
  <c r="P72" i="23"/>
  <c r="P50" i="23"/>
  <c r="P47" i="23"/>
  <c r="C64" i="23"/>
  <c r="AI5" i="23"/>
  <c r="M53" i="23"/>
  <c r="C61" i="23"/>
  <c r="M57" i="23"/>
  <c r="M46" i="23"/>
  <c r="M66" i="23"/>
  <c r="C62" i="23"/>
  <c r="C52" i="23"/>
  <c r="C46" i="23"/>
  <c r="C50" i="23"/>
  <c r="AK7" i="23"/>
  <c r="M49" i="23"/>
  <c r="C71" i="23"/>
  <c r="C55" i="23"/>
  <c r="C48" i="23"/>
  <c r="M45" i="23"/>
  <c r="M56" i="23"/>
  <c r="C65" i="23"/>
  <c r="C67" i="23"/>
  <c r="M42" i="23"/>
  <c r="C60" i="23"/>
  <c r="M62" i="23"/>
  <c r="C58" i="23"/>
  <c r="C44" i="23"/>
  <c r="M63" i="23"/>
  <c r="C51" i="23"/>
  <c r="M59" i="23"/>
  <c r="N8" i="23"/>
  <c r="M72" i="23"/>
  <c r="C69" i="23"/>
  <c r="M61" i="23"/>
  <c r="C53" i="23"/>
  <c r="M64" i="23"/>
  <c r="C49" i="23"/>
  <c r="M47" i="23"/>
  <c r="C45" i="23"/>
  <c r="M43" i="23"/>
  <c r="P56" i="23"/>
  <c r="AL4" i="23"/>
  <c r="F55" i="23"/>
  <c r="F49" i="23"/>
  <c r="F69" i="23"/>
  <c r="F50" i="23"/>
  <c r="F52" i="23"/>
  <c r="F47" i="23"/>
  <c r="P57" i="23"/>
  <c r="P53" i="23"/>
  <c r="P62" i="23"/>
  <c r="F43" i="23"/>
  <c r="P66" i="23"/>
  <c r="P69" i="23"/>
  <c r="F67" i="23"/>
  <c r="P71" i="23"/>
  <c r="P63" i="23"/>
  <c r="F44" i="23"/>
  <c r="AN5" i="23"/>
  <c r="F53" i="23"/>
  <c r="P67" i="23"/>
  <c r="F56" i="23"/>
  <c r="P64" i="23"/>
  <c r="P46" i="23"/>
  <c r="AN4" i="23"/>
  <c r="P52" i="23"/>
  <c r="F58" i="23"/>
  <c r="F54" i="23"/>
  <c r="Q6" i="23"/>
  <c r="O5" i="23"/>
  <c r="O7" i="23"/>
  <c r="P45" i="23"/>
  <c r="AL6" i="23"/>
  <c r="F71" i="23"/>
  <c r="I8" i="23"/>
  <c r="P55" i="23"/>
  <c r="AN7" i="23"/>
  <c r="F70" i="23"/>
  <c r="F62" i="23"/>
  <c r="F46" i="23"/>
  <c r="P49" i="23"/>
  <c r="P58" i="23"/>
  <c r="AL8" i="23"/>
  <c r="F59" i="23"/>
  <c r="P48" i="23"/>
  <c r="F66" i="23"/>
  <c r="F61" i="23"/>
  <c r="P51" i="23"/>
  <c r="P65" i="23"/>
  <c r="P59" i="23"/>
  <c r="I7" i="23"/>
  <c r="P44" i="23"/>
  <c r="F72" i="23"/>
  <c r="F64" i="23"/>
  <c r="F73" i="23"/>
  <c r="P43" i="23"/>
  <c r="AN8" i="23"/>
  <c r="F51" i="23"/>
  <c r="P42" i="23"/>
  <c r="F60" i="23"/>
  <c r="F65" i="23"/>
  <c r="F63" i="23"/>
  <c r="F48" i="23"/>
  <c r="I9" i="23"/>
  <c r="P21" i="23"/>
  <c r="P4" i="23"/>
  <c r="AM4" i="23"/>
  <c r="I5" i="23"/>
  <c r="P5" i="23"/>
  <c r="AM5" i="23"/>
  <c r="P6" i="23"/>
  <c r="AM6" i="23"/>
  <c r="P7" i="23"/>
  <c r="AM7" i="23"/>
  <c r="P9" i="23"/>
  <c r="I6" i="23"/>
  <c r="P29" i="23"/>
  <c r="I11" i="23"/>
  <c r="I10" i="23"/>
  <c r="P25" i="23"/>
  <c r="P8" i="23"/>
  <c r="AM8" i="23"/>
  <c r="M58" i="23"/>
  <c r="M44" i="23"/>
  <c r="M48" i="23"/>
  <c r="N4" i="23"/>
  <c r="M71" i="23"/>
  <c r="C63" i="23"/>
  <c r="M55" i="23"/>
  <c r="AI8" i="23"/>
  <c r="AI4" i="23"/>
  <c r="C72" i="23"/>
  <c r="M65" i="23"/>
  <c r="C57" i="23"/>
  <c r="AK5" i="23"/>
  <c r="M70" i="23"/>
  <c r="M54" i="23"/>
  <c r="C47" i="23"/>
  <c r="C68" i="23"/>
  <c r="M67" i="23"/>
  <c r="C59" i="23"/>
  <c r="M51" i="23"/>
  <c r="M69" i="23"/>
  <c r="C42" i="23"/>
  <c r="M60" i="23"/>
  <c r="C70" i="23"/>
  <c r="C54" i="23"/>
  <c r="AJ4" i="23"/>
  <c r="M4" i="23"/>
  <c r="AJ8" i="23"/>
  <c r="M8" i="23"/>
  <c r="M6" i="23"/>
  <c r="AJ6" i="23"/>
  <c r="M7" i="23"/>
  <c r="AJ7" i="23"/>
  <c r="AJ5" i="23"/>
  <c r="M5" i="23"/>
</calcChain>
</file>

<file path=xl/sharedStrings.xml><?xml version="1.0" encoding="utf-8"?>
<sst xmlns="http://schemas.openxmlformats.org/spreadsheetml/2006/main" count="2192" uniqueCount="109">
  <si>
    <t>Year</t>
  </si>
  <si>
    <t>ACSS</t>
  </si>
  <si>
    <t>LVTS</t>
  </si>
  <si>
    <t>BNDCCA</t>
  </si>
  <si>
    <t>BLCMCA</t>
  </si>
  <si>
    <t>ATBRCA</t>
  </si>
  <si>
    <t>BCANCA</t>
  </si>
  <si>
    <t>BNPACA</t>
  </si>
  <si>
    <t>N/A</t>
  </si>
  <si>
    <t>BOFACA</t>
  </si>
  <si>
    <t>BOFMCA</t>
  </si>
  <si>
    <t>CCDQCA</t>
  </si>
  <si>
    <t>CIBCCA</t>
  </si>
  <si>
    <t>CUCXCA</t>
  </si>
  <si>
    <t>HKBCCA</t>
  </si>
  <si>
    <t>NOSCCA</t>
  </si>
  <si>
    <t>ROYCCA</t>
  </si>
  <si>
    <t>SBOSCA</t>
  </si>
  <si>
    <t>TDOMCA</t>
  </si>
  <si>
    <t>Lower Bound</t>
  </si>
  <si>
    <t>Upper Bound</t>
  </si>
  <si>
    <t>* Forecasts based on only 3 years of data (For MCBTCA ACSS Volumes near negligible)</t>
  </si>
  <si>
    <t>MCBTCA*</t>
  </si>
  <si>
    <t>ROYCCA (Minus 1 Standard Deviation)</t>
  </si>
  <si>
    <t>TDOMCA (Minus 1 Standard Deviation)</t>
  </si>
  <si>
    <t>NOSCCA (Minus 1 Standard Deviation)</t>
  </si>
  <si>
    <t>CIBCCA (Minus 1 Standard Deviation)</t>
  </si>
  <si>
    <t>CCDQCA (Minus 1 Standard Deviation)</t>
  </si>
  <si>
    <t>ATBRCA (Minus 1 Standard Deviation)</t>
  </si>
  <si>
    <t>BCANCA (Minus 1 Standard Deviation)</t>
  </si>
  <si>
    <t>BLCMCA (Minus 1 Standard Deviation)</t>
  </si>
  <si>
    <t>BNDCCA (Minus 1 Standard Deviation)</t>
  </si>
  <si>
    <t>BNPACA (Minus 1 Standard Deviation)</t>
  </si>
  <si>
    <t>BOFACA (Minus 1 Standard Deviation)</t>
  </si>
  <si>
    <t>BOFMCA (Minus 1 Standard Deviation)</t>
  </si>
  <si>
    <t>CUCXCA (Minus 1 Standard Deviation)</t>
  </si>
  <si>
    <t>HKBCCA (Minus 1 Standard Deviation)</t>
  </si>
  <si>
    <t>MCBTCA* (Minus 1 Standard Deviation)</t>
  </si>
  <si>
    <t>SBOSCA (Minus 1 Standard Deviation)</t>
  </si>
  <si>
    <t>Mean</t>
  </si>
  <si>
    <t>ACSS +USBE</t>
  </si>
  <si>
    <t>Point Forecast</t>
  </si>
  <si>
    <t>Lo 95</t>
  </si>
  <si>
    <t>Hi 95</t>
  </si>
  <si>
    <t>ICICCA*</t>
  </si>
  <si>
    <t>Total</t>
  </si>
  <si>
    <t>ROYCCA (Minus 0.5 Standard Deviation)</t>
  </si>
  <si>
    <t>TDOMCA (Minus 0.5 Standard Deviation)</t>
  </si>
  <si>
    <t>NOSCCA (Minus 0.5 Standard Deviation)</t>
  </si>
  <si>
    <t>CIBCCA (Minus 0.5 Standard Deviation)</t>
  </si>
  <si>
    <t>CCDQCA (Minus 0.5 Standard Deviation)</t>
  </si>
  <si>
    <t>ATBRCA (Minus 0.5 Standard Deviation)</t>
  </si>
  <si>
    <t>BCANCA (Minus 0.5 Standard Deviation)</t>
  </si>
  <si>
    <t>BLCMCA (Minus 0.5 Standard Deviation)</t>
  </si>
  <si>
    <t>BNDCCA (Minus 0.5 Standard Deviation)</t>
  </si>
  <si>
    <t>BNPACA (Minus 0.5 Standard Deviation)</t>
  </si>
  <si>
    <t>BOFACA (Minus 0.5 Standard Deviation)</t>
  </si>
  <si>
    <t>BOFMCA (Minus 0.5 Standard Deviation)</t>
  </si>
  <si>
    <t>CUCXCA (Minus 0.5 Standard Deviation)</t>
  </si>
  <si>
    <t>HKBCCA (Minus 0.5 Standard Deviation)</t>
  </si>
  <si>
    <t>ICICCA* (Minus 0.5 Standard Deviation)</t>
  </si>
  <si>
    <t>ICICCA (Minus 1 Standard Deviation)</t>
  </si>
  <si>
    <t>MCBTCA* (Minus 0.5 Standard Deviation)</t>
  </si>
  <si>
    <t>SBOSCA (Minus 0.5 Standard Deviation)</t>
  </si>
  <si>
    <t>* Forecasts based on monthly data between 2015 and current date</t>
  </si>
  <si>
    <t>Total (Half A Standard Deviation)</t>
  </si>
  <si>
    <t>Total (One Standard Deviation)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</si>
  <si>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</si>
  <si>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</si>
  <si>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</si>
  <si>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</si>
  <si>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</si>
  <si>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</si>
  <si>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</si>
  <si>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</si>
  <si>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</si>
  <si>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</si>
  <si>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</si>
  <si>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2025Q4</t>
  </si>
  <si>
    <t>2025Q1</t>
  </si>
  <si>
    <t>2025Q2</t>
  </si>
  <si>
    <t>2025Q3</t>
  </si>
  <si>
    <t>2024Q4</t>
  </si>
  <si>
    <t>Overall Portfolio Forecast</t>
  </si>
  <si>
    <t>Overall Portfolio Forecast (Minus 0.5 Standard Deviation)</t>
  </si>
  <si>
    <t>Overall Portfolio Forecast (Minus 1 Standard Deviation)</t>
  </si>
  <si>
    <t>Deviation from Overall Portfolio Forecast</t>
  </si>
  <si>
    <t>Volume Forecast (millions)</t>
  </si>
  <si>
    <t>Volume Forecast (%)</t>
  </si>
  <si>
    <t>Volume Forecast  (millions)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</si>
  <si>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</si>
  <si>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</si>
  <si>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</si>
  <si>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</si>
  <si>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</si>
  <si>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</si>
  <si>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</si>
  <si>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</si>
  <si>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</si>
  <si>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</si>
  <si>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</si>
  <si>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</si>
  <si>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</si>
  <si>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</si>
  <si>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Value Forecast (billions)</t>
  </si>
  <si>
    <t>Forecast Minus Half A Standard Deviation (billions)</t>
  </si>
  <si>
    <t>Forecast Minus One Standard Deviation (billions)</t>
  </si>
  <si>
    <t>2029Q3</t>
  </si>
  <si>
    <t>2029Q4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</si>
</sst>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69">
    <xf numFmtId="0" fontId="0" fillId="0" borderId="0" xfId="0"/>
    <xf numFmtId="0" fontId="2" fillId="0" borderId="0" xfId="0" applyFont="1"/>
    <xf numFmtId="0" fontId="2" fillId="2" borderId="1" xfId="1" applyFont="1" applyBorder="1"/>
    <xf numFmtId="0" fontId="3" fillId="2" borderId="1" xfId="1" applyFont="1" applyBorder="1"/>
    <xf numFmtId="0" fontId="2" fillId="3" borderId="1" xfId="2" applyFont="1" applyBorder="1"/>
    <xf numFmtId="17" fontId="2" fillId="2" borderId="1" xfId="1" applyNumberFormat="1" applyFont="1" applyBorder="1"/>
    <xf numFmtId="0" fontId="1" fillId="4" borderId="1" xfId="3" applyBorder="1"/>
    <xf numFmtId="17" fontId="1" fillId="4" borderId="1" xfId="3" applyNumberFormat="1" applyBorder="1"/>
    <xf numFmtId="0" fontId="4" fillId="4" borderId="1" xfId="3" applyFont="1" applyBorder="1" applyAlignment="1">
      <alignment horizontal="center"/>
    </xf>
    <xf numFmtId="0" fontId="4" fillId="4" borderId="1" xfId="3" applyFont="1" applyBorder="1"/>
    <xf numFmtId="0" fontId="1" fillId="4" borderId="1" xfId="3" applyBorder="1" applyAlignment="1">
      <alignment horizontal="center" wrapText="1"/>
    </xf>
    <xf numFmtId="0" fontId="4" fillId="4" borderId="1" xfId="3" applyFont="1" applyBorder="1" applyAlignment="1">
      <alignment horizontal="center" wrapText="1"/>
    </xf>
    <xf numFmtId="10" fontId="2" fillId="0" borderId="0" xfId="4" applyNumberFormat="1" applyFont="1"/>
    <xf numFmtId="0" fontId="3" fillId="2" borderId="1" xfId="1" applyFont="1" applyBorder="1" applyAlignment="1">
      <alignment horizontal="center"/>
    </xf>
    <xf numFmtId="0" fontId="2" fillId="5" borderId="0" xfId="0" applyFont="1" applyFill="1"/>
    <xf numFmtId="0" fontId="2" fillId="2" borderId="0" xfId="1" applyFont="1" applyBorder="1" applyAlignment="1">
      <alignment horizontal="center"/>
    </xf>
    <xf numFmtId="0" fontId="2" fillId="3" borderId="0" xfId="2" applyFont="1" applyBorder="1"/>
    <xf numFmtId="9" fontId="2" fillId="0" borderId="0" xfId="4" applyFont="1"/>
    <xf numFmtId="0" fontId="2" fillId="2" borderId="1" xfId="1" applyFont="1" applyBorder="1" applyAlignment="1">
      <alignment horizontal="center"/>
    </xf>
    <xf numFmtId="17" fontId="1" fillId="6" borderId="1" xfId="5" applyNumberFormat="1" applyBorder="1"/>
    <xf numFmtId="10" fontId="1" fillId="6" borderId="1" xfId="5" applyNumberFormat="1" applyBorder="1"/>
    <xf numFmtId="10" fontId="4" fillId="6" borderId="1" xfId="5" applyNumberFormat="1" applyFont="1" applyBorder="1"/>
    <xf numFmtId="0" fontId="4" fillId="6" borderId="1" xfId="5" applyFont="1" applyBorder="1"/>
    <xf numFmtId="0" fontId="2" fillId="2" borderId="1" xfId="1" applyFont="1" applyBorder="1" applyAlignment="1">
      <alignment horizontal="center" wrapText="1"/>
    </xf>
    <xf numFmtId="0" fontId="3" fillId="2" borderId="1" xfId="1" applyFont="1" applyBorder="1" applyAlignment="1">
      <alignment horizontal="center" wrapText="1"/>
    </xf>
    <xf numFmtId="17" fontId="1" fillId="6" borderId="1" xfId="5" applyNumberFormat="1" applyBorder="1" applyAlignment="1">
      <alignment horizontal="center" wrapText="1"/>
    </xf>
    <xf numFmtId="10" fontId="1" fillId="6" borderId="1" xfId="5" applyNumberFormat="1" applyBorder="1" applyAlignment="1">
      <alignment horizontal="center" wrapText="1"/>
    </xf>
    <xf numFmtId="10" fontId="4" fillId="6" borderId="1" xfId="5" applyNumberFormat="1" applyFont="1" applyBorder="1" applyAlignment="1">
      <alignment horizontal="center" wrapText="1"/>
    </xf>
    <xf numFmtId="11" fontId="2" fillId="0" borderId="0" xfId="0" applyNumberFormat="1" applyFont="1"/>
    <xf numFmtId="43" fontId="2" fillId="0" borderId="0" xfId="6" applyFont="1"/>
    <xf numFmtId="0" fontId="0" fillId="4" borderId="1" xfId="3" applyFont="1" applyBorder="1" applyAlignment="1">
      <alignment horizontal="center"/>
    </xf>
    <xf numFmtId="0" fontId="1" fillId="4" borderId="1" xfId="3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1" applyFont="1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3" borderId="1" xfId="2" applyFont="1" applyBorder="1" applyAlignment="1">
      <alignment horizontal="center"/>
    </xf>
    <xf numFmtId="0" fontId="1" fillId="3" borderId="1" xfId="2" applyBorder="1" applyAlignment="1">
      <alignment horizontal="center"/>
    </xf>
    <xf numFmtId="0" fontId="4" fillId="6" borderId="1" xfId="5" applyFont="1" applyBorder="1" applyAlignment="1">
      <alignment horizontal="center"/>
    </xf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  <xf numFmtId="0" fontId="5" fillId="0" borderId="0" xfId="7"/>
  </cellXfs>
  <cellStyles count="8">
    <cellStyle name="20% - Accent3" xfId="1" builtinId="38"/>
    <cellStyle name="20% - Accent6" xfId="5" builtinId="50"/>
    <cellStyle name="40% - Accent3" xfId="2" builtinId="39"/>
    <cellStyle name="40% - Accent4" xfId="3" builtinId="43"/>
    <cellStyle name="Comma" xfId="6" builtinId="3"/>
    <cellStyle name="Normal" xfId="0" builtinId="0"/>
    <cellStyle name="Normal 2" xfId="7" xr:uid="{00000000-0005-0000-0000-00002F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"/>
  <sheetViews>
    <sheetView tabSelected="1" zoomScale="85" zoomScaleNormal="85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81640625" style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20.453125" style="1" customWidth="1"/>
    <col min="14" max="15" width="9.1796875" style="1"/>
    <col min="16" max="16" width="19.81640625" style="1" customWidth="1"/>
    <col min="17" max="16384" width="9.1796875" style="1"/>
  </cols>
  <sheetData>
    <row r="1" spans="1:30" ht="13" thickTop="1" thickBot="1" x14ac:dyDescent="0.35">
      <c r="A1" s="33" t="s">
        <v>16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50">
        <v>947.21881190181728</v>
      </c>
      <c r="M3" s="50">
        <v>893.76204915675714</v>
      </c>
      <c r="N3" s="50">
        <v>1000.6755746468773</v>
      </c>
      <c r="O3" s="1">
        <f t="shared" ref="O3:O34" si="0">ROUND(M3,3)</f>
        <v>893.76199999999994</v>
      </c>
      <c r="P3" s="1">
        <f t="shared" ref="P3:P34" si="1">ROUND(L3,3)</f>
        <v>947.21900000000005</v>
      </c>
      <c r="Q3" s="1">
        <f t="shared" ref="Q3:Q34" si="2">ROUND(N3,3)</f>
        <v>1000.676</v>
      </c>
      <c r="R3" s="14" t="str">
        <f>K3</f>
        <v>2022Q1</v>
      </c>
      <c r="S3" s="66">
        <v>12148.825067201471</v>
      </c>
      <c r="T3" s="66">
        <v>11162.479682943709</v>
      </c>
      <c r="U3" s="66">
        <v>13135.170451459233</v>
      </c>
      <c r="V3" s="1">
        <f t="shared" ref="V3:V34" si="3">ROUND(T3,3)</f>
        <v>11162.48</v>
      </c>
      <c r="W3" s="1">
        <f t="shared" ref="W3:W34" si="4">ROUND(S3,3)</f>
        <v>12148.825000000001</v>
      </c>
      <c r="X3" s="1">
        <f t="shared" ref="X3:X34" si="5">ROUND(U3,3)</f>
        <v>13135.17</v>
      </c>
    </row>
    <row r="4" spans="1:30" ht="15.5" thickTop="1" thickBot="1" x14ac:dyDescent="0.4">
      <c r="A4" s="5" t="str">
        <f>K3</f>
        <v>2022Q1</v>
      </c>
      <c r="B4" s="2">
        <f>O3</f>
        <v>893.76199999999994</v>
      </c>
      <c r="C4" s="3">
        <f>P3</f>
        <v>947.21900000000005</v>
      </c>
      <c r="D4" s="2">
        <f>Q3</f>
        <v>1000.676</v>
      </c>
      <c r="E4" s="2">
        <f>V3</f>
        <v>11162.48</v>
      </c>
      <c r="F4" s="3">
        <f>W3</f>
        <v>12148.825000000001</v>
      </c>
      <c r="G4" s="2">
        <f>X3</f>
        <v>13135.17</v>
      </c>
      <c r="K4" s="14" t="s">
        <v>68</v>
      </c>
      <c r="L4" s="50">
        <v>990.2360426648288</v>
      </c>
      <c r="M4" s="50">
        <v>919.90749539969715</v>
      </c>
      <c r="N4" s="50">
        <v>1060.5645899299604</v>
      </c>
      <c r="O4" s="1">
        <f t="shared" si="0"/>
        <v>919.90700000000004</v>
      </c>
      <c r="P4" s="1">
        <f t="shared" si="1"/>
        <v>990.23599999999999</v>
      </c>
      <c r="Q4" s="1">
        <f t="shared" si="2"/>
        <v>1060.5650000000001</v>
      </c>
      <c r="R4" s="14" t="str">
        <f t="shared" ref="R4:R34" si="6">K4</f>
        <v>2022Q2</v>
      </c>
      <c r="S4" s="66">
        <v>12371.539033438496</v>
      </c>
      <c r="T4" s="66">
        <v>10836.8423042546</v>
      </c>
      <c r="U4" s="66">
        <v>13906.235762622391</v>
      </c>
      <c r="V4" s="1">
        <f t="shared" si="3"/>
        <v>10836.842000000001</v>
      </c>
      <c r="W4" s="1">
        <f t="shared" si="4"/>
        <v>12371.539000000001</v>
      </c>
      <c r="X4" s="1">
        <f t="shared" si="5"/>
        <v>13906.236000000001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15" si="7">K4</f>
        <v>2022Q2</v>
      </c>
      <c r="B5" s="2">
        <f t="shared" ref="B5:B15" si="8">O4</f>
        <v>919.90700000000004</v>
      </c>
      <c r="C5" s="3">
        <f t="shared" ref="C5:C15" si="9">P4</f>
        <v>990.23599999999999</v>
      </c>
      <c r="D5" s="2">
        <f t="shared" ref="D5:D15" si="10">Q4</f>
        <v>1060.5650000000001</v>
      </c>
      <c r="E5" s="2">
        <f t="shared" ref="E5:E15" si="11">V4</f>
        <v>10836.842000000001</v>
      </c>
      <c r="F5" s="3">
        <f t="shared" ref="F5:F15" si="12">W4</f>
        <v>12371.539000000001</v>
      </c>
      <c r="G5" s="2">
        <f t="shared" ref="G5:G15" si="13">X4</f>
        <v>13906.236000000001</v>
      </c>
      <c r="I5" s="1">
        <f>SUM(F5:F8)</f>
        <v>49420.986000000004</v>
      </c>
      <c r="K5" s="14" t="s">
        <v>69</v>
      </c>
      <c r="L5" s="50">
        <v>984.69563060345365</v>
      </c>
      <c r="M5" s="50">
        <v>904.42142245332229</v>
      </c>
      <c r="N5" s="50">
        <v>1064.969838753585</v>
      </c>
      <c r="O5" s="1">
        <f t="shared" si="0"/>
        <v>904.42100000000005</v>
      </c>
      <c r="P5" s="1">
        <f t="shared" si="1"/>
        <v>984.69600000000003</v>
      </c>
      <c r="Q5" s="1">
        <f t="shared" si="2"/>
        <v>1064.97</v>
      </c>
      <c r="R5" s="14" t="str">
        <f t="shared" si="6"/>
        <v>2022Q3</v>
      </c>
      <c r="S5" s="66">
        <v>12207.119551428521</v>
      </c>
      <c r="T5" s="66">
        <v>10209.818390920909</v>
      </c>
      <c r="U5" s="66">
        <v>14204.420711936133</v>
      </c>
      <c r="V5" s="1">
        <f t="shared" si="3"/>
        <v>10209.817999999999</v>
      </c>
      <c r="W5" s="1">
        <f t="shared" si="4"/>
        <v>12207.12</v>
      </c>
      <c r="X5" s="1">
        <f t="shared" si="5"/>
        <v>14204.421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904.42100000000005</v>
      </c>
      <c r="C6" s="3">
        <f t="shared" si="9"/>
        <v>984.69600000000003</v>
      </c>
      <c r="D6" s="2">
        <f t="shared" si="10"/>
        <v>1064.97</v>
      </c>
      <c r="E6" s="2">
        <f t="shared" si="11"/>
        <v>10209.817999999999</v>
      </c>
      <c r="F6" s="3">
        <f t="shared" si="12"/>
        <v>12207.12</v>
      </c>
      <c r="G6" s="2">
        <f t="shared" si="13"/>
        <v>14204.421</v>
      </c>
      <c r="I6" s="1">
        <f>SUM(F9:F12)</f>
        <v>50982.28</v>
      </c>
      <c r="K6" s="14" t="s">
        <v>70</v>
      </c>
      <c r="L6" s="50">
        <v>980.31384560514471</v>
      </c>
      <c r="M6" s="50">
        <v>893.60633351394881</v>
      </c>
      <c r="N6" s="50">
        <v>1067.0213576963406</v>
      </c>
      <c r="O6" s="1">
        <f t="shared" si="0"/>
        <v>893.60599999999999</v>
      </c>
      <c r="P6" s="1">
        <f t="shared" si="1"/>
        <v>980.31399999999996</v>
      </c>
      <c r="Q6" s="1">
        <f t="shared" si="2"/>
        <v>1067.021</v>
      </c>
      <c r="R6" s="14" t="str">
        <f t="shared" si="6"/>
        <v>2022Q4</v>
      </c>
      <c r="S6" s="66">
        <v>12344.166545280877</v>
      </c>
      <c r="T6" s="66">
        <v>9942.5078517835227</v>
      </c>
      <c r="U6" s="66">
        <v>14745.825238778232</v>
      </c>
      <c r="V6" s="1">
        <f t="shared" si="3"/>
        <v>9942.5079999999998</v>
      </c>
      <c r="W6" s="1">
        <f t="shared" si="4"/>
        <v>12344.166999999999</v>
      </c>
      <c r="X6" s="1">
        <f t="shared" si="5"/>
        <v>14745.825000000001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893.60599999999999</v>
      </c>
      <c r="C7" s="3">
        <f t="shared" si="9"/>
        <v>980.31399999999996</v>
      </c>
      <c r="D7" s="2">
        <f t="shared" si="10"/>
        <v>1067.021</v>
      </c>
      <c r="E7" s="2">
        <f t="shared" si="11"/>
        <v>9942.5079999999998</v>
      </c>
      <c r="F7" s="3">
        <f t="shared" si="12"/>
        <v>12344.166999999999</v>
      </c>
      <c r="G7" s="2">
        <f t="shared" si="13"/>
        <v>14745.825000000001</v>
      </c>
      <c r="I7" s="1">
        <f>SUM(F13:F16)</f>
        <v>52598.873</v>
      </c>
      <c r="K7" s="14" t="s">
        <v>71</v>
      </c>
      <c r="L7" s="50">
        <v>924.06788176351813</v>
      </c>
      <c r="M7" s="50">
        <v>833.02594778217872</v>
      </c>
      <c r="N7" s="50">
        <v>1015.1098157448575</v>
      </c>
      <c r="O7" s="1">
        <f t="shared" si="0"/>
        <v>833.02599999999995</v>
      </c>
      <c r="P7" s="1">
        <f t="shared" si="1"/>
        <v>924.06799999999998</v>
      </c>
      <c r="Q7" s="1">
        <f t="shared" si="2"/>
        <v>1015.11</v>
      </c>
      <c r="R7" s="14" t="str">
        <f t="shared" si="6"/>
        <v>2023Q1</v>
      </c>
      <c r="S7" s="66">
        <v>12498.159578676099</v>
      </c>
      <c r="T7" s="66">
        <v>9736.3404401896023</v>
      </c>
      <c r="U7" s="66">
        <v>15259.978717162596</v>
      </c>
      <c r="V7" s="1">
        <f t="shared" si="3"/>
        <v>9736.34</v>
      </c>
      <c r="W7" s="1">
        <f t="shared" si="4"/>
        <v>12498.16</v>
      </c>
      <c r="X7" s="1">
        <f t="shared" si="5"/>
        <v>15259.978999999999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833.02599999999995</v>
      </c>
      <c r="C8" s="3">
        <f t="shared" si="9"/>
        <v>924.06799999999998</v>
      </c>
      <c r="D8" s="2">
        <f t="shared" si="10"/>
        <v>1015.11</v>
      </c>
      <c r="E8" s="2">
        <f t="shared" si="11"/>
        <v>9736.34</v>
      </c>
      <c r="F8" s="3">
        <f t="shared" si="12"/>
        <v>12498.16</v>
      </c>
      <c r="G8" s="2">
        <f t="shared" si="13"/>
        <v>15259.978999999999</v>
      </c>
      <c r="I8" s="1">
        <f>SUM(F17:F20)</f>
        <v>54220.203000000001</v>
      </c>
      <c r="K8" s="14" t="s">
        <v>72</v>
      </c>
      <c r="L8" s="50">
        <v>973.79094979738079</v>
      </c>
      <c r="M8" s="50">
        <v>879.76335171564392</v>
      </c>
      <c r="N8" s="50">
        <v>1067.8185478791177</v>
      </c>
      <c r="O8" s="1">
        <f t="shared" si="0"/>
        <v>879.76300000000003</v>
      </c>
      <c r="P8" s="1">
        <f t="shared" si="1"/>
        <v>973.79100000000005</v>
      </c>
      <c r="Q8" s="1">
        <f t="shared" si="2"/>
        <v>1067.819</v>
      </c>
      <c r="R8" s="14" t="str">
        <f t="shared" si="6"/>
        <v>2023Q2</v>
      </c>
      <c r="S8" s="66">
        <v>12746.624401855845</v>
      </c>
      <c r="T8" s="66">
        <v>9659.2529050926241</v>
      </c>
      <c r="U8" s="66">
        <v>15833.995898619065</v>
      </c>
      <c r="V8" s="1">
        <f t="shared" si="3"/>
        <v>9659.2530000000006</v>
      </c>
      <c r="W8" s="1">
        <f t="shared" si="4"/>
        <v>12746.624</v>
      </c>
      <c r="X8" s="1">
        <f t="shared" si="5"/>
        <v>15833.995999999999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879.76300000000003</v>
      </c>
      <c r="C9" s="3">
        <f t="shared" si="9"/>
        <v>973.79100000000005</v>
      </c>
      <c r="D9" s="2">
        <f t="shared" si="10"/>
        <v>1067.819</v>
      </c>
      <c r="E9" s="2">
        <f t="shared" si="11"/>
        <v>9659.2530000000006</v>
      </c>
      <c r="F9" s="3">
        <f t="shared" si="12"/>
        <v>12746.624</v>
      </c>
      <c r="G9" s="2">
        <f t="shared" si="13"/>
        <v>15833.995999999999</v>
      </c>
      <c r="I9" s="1">
        <f>SUM(F21:F24)</f>
        <v>55841.940999999999</v>
      </c>
      <c r="K9" s="14" t="s">
        <v>73</v>
      </c>
      <c r="L9" s="50">
        <v>973.92952936244103</v>
      </c>
      <c r="M9" s="50">
        <v>877.81772744874058</v>
      </c>
      <c r="N9" s="50">
        <v>1070.0413312761414</v>
      </c>
      <c r="O9" s="1">
        <f t="shared" si="0"/>
        <v>877.81799999999998</v>
      </c>
      <c r="P9" s="1">
        <f t="shared" si="1"/>
        <v>973.93</v>
      </c>
      <c r="Q9" s="1">
        <f t="shared" si="2"/>
        <v>1070.0409999999999</v>
      </c>
      <c r="R9" s="14" t="str">
        <f t="shared" si="6"/>
        <v>2023Q3</v>
      </c>
      <c r="S9" s="66">
        <v>12596.137658722213</v>
      </c>
      <c r="T9" s="66">
        <v>9210.8167560790534</v>
      </c>
      <c r="U9" s="66">
        <v>15981.458561365373</v>
      </c>
      <c r="V9" s="1">
        <f t="shared" si="3"/>
        <v>9210.8169999999991</v>
      </c>
      <c r="W9" s="1">
        <f t="shared" si="4"/>
        <v>12596.138000000001</v>
      </c>
      <c r="X9" s="1">
        <f t="shared" si="5"/>
        <v>15981.459000000001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877.81799999999998</v>
      </c>
      <c r="C10" s="3">
        <f t="shared" si="9"/>
        <v>973.93</v>
      </c>
      <c r="D10" s="2">
        <f t="shared" si="10"/>
        <v>1070.0409999999999</v>
      </c>
      <c r="E10" s="2">
        <f t="shared" si="11"/>
        <v>9210.8169999999991</v>
      </c>
      <c r="F10" s="3">
        <f t="shared" si="12"/>
        <v>12596.138000000001</v>
      </c>
      <c r="G10" s="2">
        <f t="shared" si="13"/>
        <v>15981.459000000001</v>
      </c>
      <c r="I10" s="1">
        <f>SUM(F25:F28)</f>
        <v>57463.712000000007</v>
      </c>
      <c r="K10" s="14" t="s">
        <v>74</v>
      </c>
      <c r="L10" s="50">
        <v>974.35712827705686</v>
      </c>
      <c r="M10" s="50">
        <v>876.77795727961075</v>
      </c>
      <c r="N10" s="50">
        <v>1071.936299274503</v>
      </c>
      <c r="O10" s="1">
        <f t="shared" si="0"/>
        <v>876.77800000000002</v>
      </c>
      <c r="P10" s="1">
        <f t="shared" si="1"/>
        <v>974.35699999999997</v>
      </c>
      <c r="Q10" s="1">
        <f t="shared" si="2"/>
        <v>1071.9359999999999</v>
      </c>
      <c r="R10" s="14" t="str">
        <f t="shared" si="6"/>
        <v>2023Q4</v>
      </c>
      <c r="S10" s="66">
        <v>12740.723089568266</v>
      </c>
      <c r="T10" s="66">
        <v>9079.8278775511917</v>
      </c>
      <c r="U10" s="66">
        <v>16401.618301585338</v>
      </c>
      <c r="V10" s="1">
        <f t="shared" si="3"/>
        <v>9079.8279999999995</v>
      </c>
      <c r="W10" s="1">
        <f t="shared" si="4"/>
        <v>12740.723</v>
      </c>
      <c r="X10" s="1">
        <f t="shared" si="5"/>
        <v>16401.617999999999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876.77800000000002</v>
      </c>
      <c r="C11" s="3">
        <f t="shared" si="9"/>
        <v>974.35699999999997</v>
      </c>
      <c r="D11" s="2">
        <f t="shared" si="10"/>
        <v>1071.9359999999999</v>
      </c>
      <c r="E11" s="2">
        <f t="shared" si="11"/>
        <v>9079.8279999999995</v>
      </c>
      <c r="F11" s="3">
        <f t="shared" si="12"/>
        <v>12740.723</v>
      </c>
      <c r="G11" s="2">
        <f t="shared" si="13"/>
        <v>16401.617999999999</v>
      </c>
      <c r="I11" s="1">
        <f>SUM(F29:F32)</f>
        <v>59085.487000000001</v>
      </c>
      <c r="K11" s="14" t="s">
        <v>75</v>
      </c>
      <c r="L11" s="50">
        <v>922.18410117198607</v>
      </c>
      <c r="M11" s="50">
        <v>823.56598606387229</v>
      </c>
      <c r="N11" s="50">
        <v>1020.8022162800999</v>
      </c>
      <c r="O11" s="1">
        <f t="shared" si="0"/>
        <v>823.56600000000003</v>
      </c>
      <c r="P11" s="1">
        <f t="shared" si="1"/>
        <v>922.18399999999997</v>
      </c>
      <c r="Q11" s="1">
        <f t="shared" si="2"/>
        <v>1020.802</v>
      </c>
      <c r="R11" s="14" t="str">
        <f t="shared" si="6"/>
        <v>2024Q1</v>
      </c>
      <c r="S11" s="66">
        <v>12898.794863892483</v>
      </c>
      <c r="T11" s="66">
        <v>8980.749149445448</v>
      </c>
      <c r="U11" s="66">
        <v>16816.840578339517</v>
      </c>
      <c r="V11" s="1">
        <f t="shared" si="3"/>
        <v>8980.7489999999998</v>
      </c>
      <c r="W11" s="1">
        <f t="shared" si="4"/>
        <v>12898.795</v>
      </c>
      <c r="X11" s="1">
        <f t="shared" si="5"/>
        <v>16816.841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823.56600000000003</v>
      </c>
      <c r="C12" s="3">
        <f t="shared" si="9"/>
        <v>922.18399999999997</v>
      </c>
      <c r="D12" s="2">
        <f t="shared" si="10"/>
        <v>1020.802</v>
      </c>
      <c r="E12" s="2">
        <f t="shared" si="11"/>
        <v>8980.7489999999998</v>
      </c>
      <c r="F12" s="3">
        <f t="shared" si="12"/>
        <v>12898.795</v>
      </c>
      <c r="G12" s="2">
        <f t="shared" si="13"/>
        <v>16816.841</v>
      </c>
      <c r="K12" s="14" t="s">
        <v>76</v>
      </c>
      <c r="L12" s="50">
        <v>975.356428811721</v>
      </c>
      <c r="M12" s="50">
        <v>875.99987916579062</v>
      </c>
      <c r="N12" s="50">
        <v>1074.7129784576514</v>
      </c>
      <c r="O12" s="1">
        <f t="shared" si="0"/>
        <v>876</v>
      </c>
      <c r="P12" s="1">
        <f t="shared" si="1"/>
        <v>975.35599999999999</v>
      </c>
      <c r="Q12" s="1">
        <f t="shared" si="2"/>
        <v>1074.713</v>
      </c>
      <c r="R12" s="14" t="str">
        <f t="shared" si="6"/>
        <v>2024Q2</v>
      </c>
      <c r="S12" s="66">
        <v>13149.466527506094</v>
      </c>
      <c r="T12" s="66">
        <v>8989.6712375970001</v>
      </c>
      <c r="U12" s="66">
        <v>17309.26181741519</v>
      </c>
      <c r="V12" s="1">
        <f t="shared" si="3"/>
        <v>8989.6710000000003</v>
      </c>
      <c r="W12" s="1">
        <f t="shared" si="4"/>
        <v>13149.467000000001</v>
      </c>
      <c r="X12" s="1">
        <f t="shared" si="5"/>
        <v>17309.261999999999</v>
      </c>
    </row>
    <row r="13" spans="1:30" ht="15.5" thickTop="1" thickBot="1" x14ac:dyDescent="0.4">
      <c r="A13" s="5" t="str">
        <f t="shared" si="7"/>
        <v>2024Q2</v>
      </c>
      <c r="B13" s="2">
        <f t="shared" si="8"/>
        <v>876</v>
      </c>
      <c r="C13" s="3">
        <f t="shared" si="9"/>
        <v>975.35599999999999</v>
      </c>
      <c r="D13" s="2">
        <f t="shared" si="10"/>
        <v>1074.713</v>
      </c>
      <c r="E13" s="2">
        <f t="shared" si="11"/>
        <v>8989.6710000000003</v>
      </c>
      <c r="F13" s="3">
        <f t="shared" si="12"/>
        <v>13149.467000000001</v>
      </c>
      <c r="G13" s="2">
        <f t="shared" si="13"/>
        <v>17309.261999999999</v>
      </c>
      <c r="K13" s="14" t="s">
        <v>77</v>
      </c>
      <c r="L13" s="50">
        <v>978.4160927437249</v>
      </c>
      <c r="M13" s="50">
        <v>878.53330418008932</v>
      </c>
      <c r="N13" s="50">
        <v>1078.2988813073605</v>
      </c>
      <c r="O13" s="1">
        <f t="shared" si="0"/>
        <v>878.53300000000002</v>
      </c>
      <c r="P13" s="1">
        <f t="shared" si="1"/>
        <v>978.41600000000005</v>
      </c>
      <c r="Q13" s="1">
        <f t="shared" si="2"/>
        <v>1078.299</v>
      </c>
      <c r="R13" s="14" t="str">
        <f t="shared" si="6"/>
        <v>2024Q3</v>
      </c>
      <c r="S13" s="66">
        <v>13000.17381576238</v>
      </c>
      <c r="T13" s="66">
        <v>8611.6870894233907</v>
      </c>
      <c r="U13" s="66">
        <v>17388.66054210137</v>
      </c>
      <c r="V13" s="1">
        <f t="shared" si="3"/>
        <v>8611.6869999999999</v>
      </c>
      <c r="W13" s="1">
        <f t="shared" si="4"/>
        <v>13000.174000000001</v>
      </c>
      <c r="X13" s="1">
        <f t="shared" si="5"/>
        <v>17388.661</v>
      </c>
    </row>
    <row r="14" spans="1:30" ht="15.5" thickTop="1" thickBot="1" x14ac:dyDescent="0.4">
      <c r="A14" s="5" t="str">
        <f t="shared" si="7"/>
        <v>2024Q3</v>
      </c>
      <c r="B14" s="2">
        <f t="shared" si="8"/>
        <v>878.53300000000002</v>
      </c>
      <c r="C14" s="3">
        <f t="shared" si="9"/>
        <v>978.41600000000005</v>
      </c>
      <c r="D14" s="2">
        <f t="shared" si="10"/>
        <v>1078.299</v>
      </c>
      <c r="E14" s="2">
        <f t="shared" si="11"/>
        <v>8611.6869999999999</v>
      </c>
      <c r="F14" s="3">
        <f t="shared" si="12"/>
        <v>13000.174000000001</v>
      </c>
      <c r="G14" s="2">
        <f t="shared" si="13"/>
        <v>17388.661</v>
      </c>
      <c r="K14" s="14" t="s">
        <v>82</v>
      </c>
      <c r="L14" s="50">
        <v>981.31747874710481</v>
      </c>
      <c r="M14" s="50">
        <v>881.05897582581417</v>
      </c>
      <c r="N14" s="50">
        <v>1081.5759816683956</v>
      </c>
      <c r="O14" s="1">
        <f t="shared" si="0"/>
        <v>881.05899999999997</v>
      </c>
      <c r="P14" s="1">
        <f t="shared" si="1"/>
        <v>981.31700000000001</v>
      </c>
      <c r="Q14" s="1">
        <f t="shared" si="2"/>
        <v>1081.576</v>
      </c>
      <c r="R14" s="14" t="str">
        <f t="shared" si="6"/>
        <v>2024Q4</v>
      </c>
      <c r="S14" s="66">
        <v>13145.405288315038</v>
      </c>
      <c r="T14" s="66">
        <v>8539.4446238962337</v>
      </c>
      <c r="U14" s="66">
        <v>17751.365952733839</v>
      </c>
      <c r="V14" s="1">
        <f t="shared" si="3"/>
        <v>8539.4449999999997</v>
      </c>
      <c r="W14" s="1">
        <f t="shared" si="4"/>
        <v>13145.405000000001</v>
      </c>
      <c r="X14" s="1">
        <f t="shared" si="5"/>
        <v>17751.366000000002</v>
      </c>
    </row>
    <row r="15" spans="1:30" ht="15.5" thickTop="1" thickBot="1" x14ac:dyDescent="0.4">
      <c r="A15" s="5" t="str">
        <f t="shared" si="7"/>
        <v>2024Q4</v>
      </c>
      <c r="B15" s="2">
        <f t="shared" si="8"/>
        <v>881.05899999999997</v>
      </c>
      <c r="C15" s="3">
        <f t="shared" si="9"/>
        <v>981.31700000000001</v>
      </c>
      <c r="D15" s="2">
        <f t="shared" si="10"/>
        <v>1081.576</v>
      </c>
      <c r="E15" s="2">
        <f t="shared" si="11"/>
        <v>8539.4449999999997</v>
      </c>
      <c r="F15" s="3">
        <f t="shared" si="12"/>
        <v>13145.405000000001</v>
      </c>
      <c r="G15" s="2">
        <f t="shared" si="13"/>
        <v>17751.366000000002</v>
      </c>
      <c r="K15" s="14" t="s">
        <v>79</v>
      </c>
      <c r="L15" s="50">
        <v>931.23943480300966</v>
      </c>
      <c r="M15" s="50">
        <v>830.71233661168321</v>
      </c>
      <c r="N15" s="50">
        <v>1031.7665329943361</v>
      </c>
      <c r="O15" s="1">
        <f t="shared" si="0"/>
        <v>830.71199999999999</v>
      </c>
      <c r="P15" s="1">
        <f t="shared" si="1"/>
        <v>931.23900000000003</v>
      </c>
      <c r="Q15" s="1">
        <f t="shared" si="2"/>
        <v>1031.7670000000001</v>
      </c>
      <c r="R15" s="14" t="str">
        <f t="shared" si="6"/>
        <v>2025Q1</v>
      </c>
      <c r="S15" s="66">
        <v>13303.826609468761</v>
      </c>
      <c r="T15" s="66">
        <v>8490.1432024793885</v>
      </c>
      <c r="U15" s="66">
        <v>18117.510016458131</v>
      </c>
      <c r="V15" s="1">
        <f t="shared" si="3"/>
        <v>8490.143</v>
      </c>
      <c r="W15" s="1">
        <f t="shared" si="4"/>
        <v>13303.826999999999</v>
      </c>
      <c r="X15" s="1">
        <f t="shared" si="5"/>
        <v>18117.509999999998</v>
      </c>
    </row>
    <row r="16" spans="1:30" ht="15.5" thickTop="1" thickBot="1" x14ac:dyDescent="0.4">
      <c r="A16" s="5" t="str">
        <f t="shared" ref="A16:A35" si="14">K15</f>
        <v>2025Q1</v>
      </c>
      <c r="B16" s="2">
        <f t="shared" ref="B16:B35" si="15">O15</f>
        <v>830.71199999999999</v>
      </c>
      <c r="C16" s="3">
        <f t="shared" ref="C16:C35" si="16">P15</f>
        <v>931.23900000000003</v>
      </c>
      <c r="D16" s="2">
        <f t="shared" ref="D16:D35" si="17">Q15</f>
        <v>1031.7670000000001</v>
      </c>
      <c r="E16" s="2">
        <f t="shared" ref="E16:E35" si="18">V15</f>
        <v>8490.143</v>
      </c>
      <c r="F16" s="3">
        <f t="shared" ref="F16:F35" si="19">W15</f>
        <v>13303.826999999999</v>
      </c>
      <c r="G16" s="2">
        <f t="shared" ref="G16:G35" si="20">X15</f>
        <v>18117.509999999998</v>
      </c>
      <c r="K16" s="14" t="s">
        <v>80</v>
      </c>
      <c r="L16" s="50">
        <v>986.18594683585809</v>
      </c>
      <c r="M16" s="50">
        <v>885.46665489358941</v>
      </c>
      <c r="N16" s="50">
        <v>1086.9052387781269</v>
      </c>
      <c r="O16" s="1">
        <f t="shared" si="0"/>
        <v>885.46699999999998</v>
      </c>
      <c r="P16" s="1">
        <f t="shared" si="1"/>
        <v>986.18600000000004</v>
      </c>
      <c r="Q16" s="1">
        <f t="shared" si="2"/>
        <v>1086.905</v>
      </c>
      <c r="R16" s="14" t="str">
        <f t="shared" si="6"/>
        <v>2025Q2</v>
      </c>
      <c r="S16" s="66">
        <v>13554.687398621432</v>
      </c>
      <c r="T16" s="66">
        <v>8541.8483032865097</v>
      </c>
      <c r="U16" s="66">
        <v>18567.526493956357</v>
      </c>
      <c r="V16" s="1">
        <f t="shared" si="3"/>
        <v>8541.848</v>
      </c>
      <c r="W16" s="1">
        <f t="shared" si="4"/>
        <v>13554.687</v>
      </c>
      <c r="X16" s="1">
        <f t="shared" si="5"/>
        <v>18567.526000000002</v>
      </c>
    </row>
    <row r="17" spans="1:24" ht="15.5" thickTop="1" thickBot="1" x14ac:dyDescent="0.4">
      <c r="A17" s="5" t="str">
        <f t="shared" si="14"/>
        <v>2025Q2</v>
      </c>
      <c r="B17" s="2">
        <f t="shared" si="15"/>
        <v>885.46699999999998</v>
      </c>
      <c r="C17" s="3">
        <f t="shared" si="16"/>
        <v>986.18600000000004</v>
      </c>
      <c r="D17" s="2">
        <f t="shared" si="17"/>
        <v>1086.905</v>
      </c>
      <c r="E17" s="2">
        <f t="shared" si="18"/>
        <v>8541.848</v>
      </c>
      <c r="F17" s="3">
        <f t="shared" si="19"/>
        <v>13554.687</v>
      </c>
      <c r="G17" s="2">
        <f t="shared" si="20"/>
        <v>18567.526000000002</v>
      </c>
      <c r="K17" s="14" t="s">
        <v>81</v>
      </c>
      <c r="L17" s="50">
        <v>990.74811938912569</v>
      </c>
      <c r="M17" s="50">
        <v>889.89121283576287</v>
      </c>
      <c r="N17" s="50">
        <v>1091.6050259424885</v>
      </c>
      <c r="O17" s="1">
        <f t="shared" si="0"/>
        <v>889.89099999999996</v>
      </c>
      <c r="P17" s="1">
        <f t="shared" si="1"/>
        <v>990.74800000000005</v>
      </c>
      <c r="Q17" s="1">
        <f t="shared" si="2"/>
        <v>1091.605</v>
      </c>
      <c r="R17" s="14" t="str">
        <f t="shared" si="6"/>
        <v>2025Q3</v>
      </c>
      <c r="S17" s="66">
        <v>13405.497014996603</v>
      </c>
      <c r="T17" s="66">
        <v>8201.1003994232597</v>
      </c>
      <c r="U17" s="66">
        <v>18609.893630569946</v>
      </c>
      <c r="V17" s="1">
        <f t="shared" si="3"/>
        <v>8201.1</v>
      </c>
      <c r="W17" s="1">
        <f t="shared" si="4"/>
        <v>13405.496999999999</v>
      </c>
      <c r="X17" s="1">
        <f t="shared" si="5"/>
        <v>18609.894</v>
      </c>
    </row>
    <row r="18" spans="1:24" ht="15.5" thickTop="1" thickBot="1" x14ac:dyDescent="0.4">
      <c r="A18" s="5" t="str">
        <f t="shared" si="14"/>
        <v>2025Q3</v>
      </c>
      <c r="B18" s="2">
        <f t="shared" si="15"/>
        <v>889.89099999999996</v>
      </c>
      <c r="C18" s="3">
        <f t="shared" si="16"/>
        <v>990.74800000000005</v>
      </c>
      <c r="D18" s="2">
        <f t="shared" si="17"/>
        <v>1091.605</v>
      </c>
      <c r="E18" s="2">
        <f t="shared" si="18"/>
        <v>8201.1</v>
      </c>
      <c r="F18" s="3">
        <f t="shared" si="19"/>
        <v>13405.496999999999</v>
      </c>
      <c r="G18" s="2">
        <f t="shared" si="20"/>
        <v>18609.894</v>
      </c>
      <c r="K18" s="14" t="s">
        <v>78</v>
      </c>
      <c r="L18" s="50">
        <v>994.92193917432337</v>
      </c>
      <c r="M18" s="50">
        <v>893.96645180698988</v>
      </c>
      <c r="N18" s="50">
        <v>1095.8774265416569</v>
      </c>
      <c r="O18" s="1">
        <f t="shared" si="0"/>
        <v>893.96600000000001</v>
      </c>
      <c r="P18" s="1">
        <f t="shared" si="1"/>
        <v>994.92200000000003</v>
      </c>
      <c r="Q18" s="1">
        <f t="shared" si="2"/>
        <v>1095.877</v>
      </c>
      <c r="R18" s="14" t="str">
        <f t="shared" si="6"/>
        <v>2025Q4</v>
      </c>
      <c r="S18" s="66">
        <v>13550.783853122657</v>
      </c>
      <c r="T18" s="66">
        <v>8161.6252801739402</v>
      </c>
      <c r="U18" s="66">
        <v>18939.942426071371</v>
      </c>
      <c r="V18" s="1">
        <f t="shared" si="3"/>
        <v>8161.625</v>
      </c>
      <c r="W18" s="1">
        <f t="shared" si="4"/>
        <v>13550.784</v>
      </c>
      <c r="X18" s="1">
        <f t="shared" si="5"/>
        <v>18939.941999999999</v>
      </c>
    </row>
    <row r="19" spans="1:24" ht="15.5" thickTop="1" thickBot="1" x14ac:dyDescent="0.4">
      <c r="A19" s="5" t="str">
        <f t="shared" si="14"/>
        <v>2025Q4</v>
      </c>
      <c r="B19" s="2">
        <f t="shared" si="15"/>
        <v>893.96600000000001</v>
      </c>
      <c r="C19" s="3">
        <f t="shared" si="16"/>
        <v>994.92200000000003</v>
      </c>
      <c r="D19" s="2">
        <f t="shared" si="17"/>
        <v>1095.877</v>
      </c>
      <c r="E19" s="2">
        <f t="shared" si="18"/>
        <v>8161.625</v>
      </c>
      <c r="F19" s="3">
        <f t="shared" si="19"/>
        <v>13550.784</v>
      </c>
      <c r="G19" s="2">
        <f t="shared" si="20"/>
        <v>18939.941999999999</v>
      </c>
      <c r="K19" s="14" t="s">
        <v>90</v>
      </c>
      <c r="L19" s="50">
        <v>945.92148487344025</v>
      </c>
      <c r="M19" s="50">
        <v>844.89535520701656</v>
      </c>
      <c r="N19" s="50">
        <v>1046.9476145398639</v>
      </c>
      <c r="O19" s="1">
        <f t="shared" si="0"/>
        <v>844.89499999999998</v>
      </c>
      <c r="P19" s="1">
        <f t="shared" si="1"/>
        <v>945.92100000000005</v>
      </c>
      <c r="Q19" s="1">
        <f t="shared" si="2"/>
        <v>1046.9480000000001</v>
      </c>
      <c r="R19" s="14" t="str">
        <f t="shared" si="6"/>
        <v>2026Q1</v>
      </c>
      <c r="S19" s="66">
        <v>13709.23513033099</v>
      </c>
      <c r="T19" s="66">
        <v>8141.4376344509728</v>
      </c>
      <c r="U19" s="66">
        <v>19277.032626211003</v>
      </c>
      <c r="V19" s="1">
        <f t="shared" si="3"/>
        <v>8141.4380000000001</v>
      </c>
      <c r="W19" s="1">
        <f t="shared" si="4"/>
        <v>13709.235000000001</v>
      </c>
      <c r="X19" s="1">
        <f t="shared" si="5"/>
        <v>19277.032999999999</v>
      </c>
    </row>
    <row r="20" spans="1:24" ht="15.5" thickTop="1" thickBot="1" x14ac:dyDescent="0.4">
      <c r="A20" s="5" t="str">
        <f t="shared" si="14"/>
        <v>2026Q1</v>
      </c>
      <c r="B20" s="2">
        <f t="shared" si="15"/>
        <v>844.89499999999998</v>
      </c>
      <c r="C20" s="3">
        <f t="shared" si="16"/>
        <v>945.92100000000005</v>
      </c>
      <c r="D20" s="2">
        <f t="shared" si="17"/>
        <v>1046.9480000000001</v>
      </c>
      <c r="E20" s="2">
        <f t="shared" si="18"/>
        <v>8141.4380000000001</v>
      </c>
      <c r="F20" s="3">
        <f t="shared" si="19"/>
        <v>13709.235000000001</v>
      </c>
      <c r="G20" s="2">
        <f t="shared" si="20"/>
        <v>19277.032999999999</v>
      </c>
      <c r="K20" s="14" t="s">
        <v>91</v>
      </c>
      <c r="L20" s="50">
        <v>1001.780578335477</v>
      </c>
      <c r="M20" s="50">
        <v>900.70381486280598</v>
      </c>
      <c r="N20" s="50">
        <v>1102.857341808148</v>
      </c>
      <c r="O20" s="1">
        <f t="shared" si="0"/>
        <v>900.70399999999995</v>
      </c>
      <c r="P20" s="1">
        <f t="shared" si="1"/>
        <v>1001.7809999999999</v>
      </c>
      <c r="Q20" s="1">
        <f t="shared" si="2"/>
        <v>1102.857</v>
      </c>
      <c r="R20" s="14" t="str">
        <f t="shared" si="6"/>
        <v>2026Q2</v>
      </c>
      <c r="S20" s="66">
        <v>13960.11212748356</v>
      </c>
      <c r="T20" s="66">
        <v>8219.229235893692</v>
      </c>
      <c r="U20" s="66">
        <v>19700.995019073431</v>
      </c>
      <c r="V20" s="1">
        <f t="shared" si="3"/>
        <v>8219.2289999999994</v>
      </c>
      <c r="W20" s="1">
        <f t="shared" si="4"/>
        <v>13960.111999999999</v>
      </c>
      <c r="X20" s="1">
        <f t="shared" si="5"/>
        <v>19700.994999999999</v>
      </c>
    </row>
    <row r="21" spans="1:24" ht="15.5" thickTop="1" thickBot="1" x14ac:dyDescent="0.4">
      <c r="A21" s="5" t="str">
        <f t="shared" si="14"/>
        <v>2026Q2</v>
      </c>
      <c r="B21" s="2">
        <f t="shared" si="15"/>
        <v>900.70399999999995</v>
      </c>
      <c r="C21" s="3">
        <f t="shared" si="16"/>
        <v>1001.7809999999999</v>
      </c>
      <c r="D21" s="2">
        <f t="shared" si="17"/>
        <v>1102.857</v>
      </c>
      <c r="E21" s="2">
        <f t="shared" si="18"/>
        <v>8219.2289999999994</v>
      </c>
      <c r="F21" s="3">
        <f t="shared" si="19"/>
        <v>13960.111999999999</v>
      </c>
      <c r="G21" s="2">
        <f t="shared" si="20"/>
        <v>19700.994999999999</v>
      </c>
      <c r="K21" s="14" t="s">
        <v>92</v>
      </c>
      <c r="L21" s="50">
        <v>1007.115591338859</v>
      </c>
      <c r="M21" s="50">
        <v>906.00252923531411</v>
      </c>
      <c r="N21" s="50">
        <v>1108.2286534424038</v>
      </c>
      <c r="O21" s="1">
        <f t="shared" si="0"/>
        <v>906.00300000000004</v>
      </c>
      <c r="P21" s="1">
        <f t="shared" si="1"/>
        <v>1007.116</v>
      </c>
      <c r="Q21" s="1">
        <f t="shared" si="2"/>
        <v>1108.229</v>
      </c>
      <c r="R21" s="14" t="str">
        <f t="shared" si="6"/>
        <v>2026Q3</v>
      </c>
      <c r="S21" s="66">
        <v>13810.930513346702</v>
      </c>
      <c r="T21" s="66">
        <v>7902.0288164792046</v>
      </c>
      <c r="U21" s="66">
        <v>19719.832210214201</v>
      </c>
      <c r="V21" s="1">
        <f t="shared" si="3"/>
        <v>7902.0290000000005</v>
      </c>
      <c r="W21" s="1">
        <f t="shared" si="4"/>
        <v>13810.931</v>
      </c>
      <c r="X21" s="1">
        <f t="shared" si="5"/>
        <v>19719.831999999999</v>
      </c>
    </row>
    <row r="22" spans="1:24" ht="15.5" thickTop="1" thickBot="1" x14ac:dyDescent="0.4">
      <c r="A22" s="5" t="str">
        <f t="shared" si="14"/>
        <v>2026Q3</v>
      </c>
      <c r="B22" s="2">
        <f t="shared" si="15"/>
        <v>906.00300000000004</v>
      </c>
      <c r="C22" s="3">
        <f t="shared" si="16"/>
        <v>1007.116</v>
      </c>
      <c r="D22" s="2">
        <f t="shared" si="17"/>
        <v>1108.229</v>
      </c>
      <c r="E22" s="2">
        <f t="shared" si="18"/>
        <v>7902.0290000000005</v>
      </c>
      <c r="F22" s="3">
        <f t="shared" si="19"/>
        <v>13810.931</v>
      </c>
      <c r="G22" s="2">
        <f t="shared" si="20"/>
        <v>19719.831999999999</v>
      </c>
      <c r="K22" s="14" t="s">
        <v>93</v>
      </c>
      <c r="L22" s="50">
        <v>1011.9439087307686</v>
      </c>
      <c r="M22" s="50">
        <v>910.80482150171702</v>
      </c>
      <c r="N22" s="50">
        <v>1113.0829959598202</v>
      </c>
      <c r="O22" s="1">
        <f t="shared" si="0"/>
        <v>910.80499999999995</v>
      </c>
      <c r="P22" s="1">
        <f t="shared" si="1"/>
        <v>1011.944</v>
      </c>
      <c r="Q22" s="1">
        <f t="shared" si="2"/>
        <v>1113.0830000000001</v>
      </c>
      <c r="R22" s="14" t="str">
        <f t="shared" si="6"/>
        <v>2026Q4</v>
      </c>
      <c r="S22" s="66">
        <v>13956.222096285186</v>
      </c>
      <c r="T22" s="66">
        <v>7883.9481794626327</v>
      </c>
      <c r="U22" s="66">
        <v>20028.496013107739</v>
      </c>
      <c r="V22" s="1">
        <f t="shared" si="3"/>
        <v>7883.9480000000003</v>
      </c>
      <c r="W22" s="1">
        <f t="shared" si="4"/>
        <v>13956.222</v>
      </c>
      <c r="X22" s="1">
        <f t="shared" si="5"/>
        <v>20028.495999999999</v>
      </c>
    </row>
    <row r="23" spans="1:24" ht="15.5" thickTop="1" thickBot="1" x14ac:dyDescent="0.4">
      <c r="A23" s="5" t="str">
        <f t="shared" si="14"/>
        <v>2026Q4</v>
      </c>
      <c r="B23" s="2">
        <f t="shared" si="15"/>
        <v>910.80499999999995</v>
      </c>
      <c r="C23" s="3">
        <f t="shared" si="16"/>
        <v>1011.944</v>
      </c>
      <c r="D23" s="2">
        <f t="shared" si="17"/>
        <v>1113.0830000000001</v>
      </c>
      <c r="E23" s="2">
        <f t="shared" si="18"/>
        <v>7883.9480000000003</v>
      </c>
      <c r="F23" s="3">
        <f t="shared" si="19"/>
        <v>13956.222</v>
      </c>
      <c r="G23" s="2">
        <f t="shared" si="20"/>
        <v>20028.495999999999</v>
      </c>
      <c r="K23" s="14" t="s">
        <v>94</v>
      </c>
      <c r="L23" s="50">
        <v>963.49773069367075</v>
      </c>
      <c r="M23" s="50">
        <v>862.33998253283789</v>
      </c>
      <c r="N23" s="50">
        <v>1064.6554788545036</v>
      </c>
      <c r="O23" s="1">
        <f t="shared" si="0"/>
        <v>862.34</v>
      </c>
      <c r="P23" s="1">
        <f t="shared" si="1"/>
        <v>963.49800000000005</v>
      </c>
      <c r="Q23" s="1">
        <f t="shared" si="2"/>
        <v>1064.655</v>
      </c>
      <c r="R23" s="14" t="str">
        <f t="shared" si="6"/>
        <v>2027Q1</v>
      </c>
      <c r="S23" s="66">
        <v>14114.675940718085</v>
      </c>
      <c r="T23" s="66">
        <v>7883.3112180474436</v>
      </c>
      <c r="U23" s="66">
        <v>20346.040663388725</v>
      </c>
      <c r="V23" s="1">
        <f t="shared" si="3"/>
        <v>7883.3109999999997</v>
      </c>
      <c r="W23" s="1">
        <f t="shared" si="4"/>
        <v>14114.675999999999</v>
      </c>
      <c r="X23" s="1">
        <f t="shared" si="5"/>
        <v>20346.041000000001</v>
      </c>
    </row>
    <row r="24" spans="1:24" ht="15.5" thickTop="1" thickBot="1" x14ac:dyDescent="0.4">
      <c r="A24" s="5" t="str">
        <f t="shared" si="14"/>
        <v>2027Q1</v>
      </c>
      <c r="B24" s="2">
        <f t="shared" si="15"/>
        <v>862.34</v>
      </c>
      <c r="C24" s="3">
        <f t="shared" si="16"/>
        <v>963.49800000000005</v>
      </c>
      <c r="D24" s="2">
        <f t="shared" si="17"/>
        <v>1064.655</v>
      </c>
      <c r="E24" s="2">
        <f t="shared" si="18"/>
        <v>7883.3109999999997</v>
      </c>
      <c r="F24" s="3">
        <f t="shared" si="19"/>
        <v>14114.675999999999</v>
      </c>
      <c r="G24" s="2">
        <f t="shared" si="20"/>
        <v>20346.041000000001</v>
      </c>
      <c r="K24" s="14" t="s">
        <v>95</v>
      </c>
      <c r="L24" s="50">
        <v>1019.8262256836047</v>
      </c>
      <c r="M24" s="50">
        <v>918.65509614049449</v>
      </c>
      <c r="N24" s="50">
        <v>1120.9973552267149</v>
      </c>
      <c r="O24" s="1">
        <f t="shared" si="0"/>
        <v>918.65499999999997</v>
      </c>
      <c r="P24" s="1">
        <f t="shared" si="1"/>
        <v>1019.826</v>
      </c>
      <c r="Q24" s="1">
        <f t="shared" si="2"/>
        <v>1120.9970000000001</v>
      </c>
      <c r="R24" s="14" t="str">
        <f t="shared" si="6"/>
        <v>2027Q2</v>
      </c>
      <c r="S24" s="66">
        <v>14365.554326891208</v>
      </c>
      <c r="T24" s="66">
        <v>7979.060410580978</v>
      </c>
      <c r="U24" s="66">
        <v>20752.04824320144</v>
      </c>
      <c r="V24" s="1">
        <f t="shared" si="3"/>
        <v>7979.06</v>
      </c>
      <c r="W24" s="1">
        <f t="shared" si="4"/>
        <v>14365.554</v>
      </c>
      <c r="X24" s="1">
        <f t="shared" si="5"/>
        <v>20752.047999999999</v>
      </c>
    </row>
    <row r="25" spans="1:24" ht="15.5" thickTop="1" thickBot="1" x14ac:dyDescent="0.4">
      <c r="A25" s="5" t="str">
        <f t="shared" si="14"/>
        <v>2027Q2</v>
      </c>
      <c r="B25" s="2">
        <f t="shared" si="15"/>
        <v>918.65499999999997</v>
      </c>
      <c r="C25" s="3">
        <f t="shared" si="16"/>
        <v>1019.826</v>
      </c>
      <c r="D25" s="2">
        <f t="shared" si="17"/>
        <v>1120.9970000000001</v>
      </c>
      <c r="E25" s="2">
        <f t="shared" si="18"/>
        <v>7979.06</v>
      </c>
      <c r="F25" s="3">
        <f t="shared" si="19"/>
        <v>14365.554</v>
      </c>
      <c r="G25" s="2">
        <f t="shared" si="20"/>
        <v>20752.047999999999</v>
      </c>
      <c r="K25" s="14" t="s">
        <v>96</v>
      </c>
      <c r="L25" s="50">
        <v>1025.5587621040777</v>
      </c>
      <c r="M25" s="50">
        <v>924.37803660831878</v>
      </c>
      <c r="N25" s="50">
        <v>1126.7394875998364</v>
      </c>
      <c r="O25" s="1">
        <f t="shared" si="0"/>
        <v>924.37800000000004</v>
      </c>
      <c r="P25" s="1">
        <f t="shared" si="1"/>
        <v>1025.559</v>
      </c>
      <c r="Q25" s="1">
        <f t="shared" si="2"/>
        <v>1126.739</v>
      </c>
      <c r="R25" s="14" t="str">
        <f t="shared" si="6"/>
        <v>2027Q3</v>
      </c>
      <c r="S25" s="66">
        <v>14216.373464296743</v>
      </c>
      <c r="T25" s="66">
        <v>7678.4300487537203</v>
      </c>
      <c r="U25" s="66">
        <v>20754.316879839767</v>
      </c>
      <c r="V25" s="1">
        <f t="shared" si="3"/>
        <v>7678.43</v>
      </c>
      <c r="W25" s="1">
        <f t="shared" si="4"/>
        <v>14216.373</v>
      </c>
      <c r="X25" s="1">
        <f t="shared" si="5"/>
        <v>20754.316999999999</v>
      </c>
    </row>
    <row r="26" spans="1:24" ht="15.5" thickTop="1" thickBot="1" x14ac:dyDescent="0.4">
      <c r="A26" s="5" t="str">
        <f t="shared" si="14"/>
        <v>2027Q3</v>
      </c>
      <c r="B26" s="2">
        <f t="shared" si="15"/>
        <v>924.37800000000004</v>
      </c>
      <c r="C26" s="3">
        <f t="shared" si="16"/>
        <v>1025.559</v>
      </c>
      <c r="D26" s="2">
        <f t="shared" si="17"/>
        <v>1126.739</v>
      </c>
      <c r="E26" s="2">
        <f t="shared" si="18"/>
        <v>7678.43</v>
      </c>
      <c r="F26" s="3">
        <f t="shared" si="19"/>
        <v>14216.373</v>
      </c>
      <c r="G26" s="2">
        <f t="shared" si="20"/>
        <v>20754.316999999999</v>
      </c>
      <c r="K26" s="14" t="s">
        <v>97</v>
      </c>
      <c r="L26" s="50">
        <v>1030.723731291399</v>
      </c>
      <c r="M26" s="50">
        <v>929.53612419969829</v>
      </c>
      <c r="N26" s="50">
        <v>1131.9113383830997</v>
      </c>
      <c r="O26" s="1">
        <f t="shared" si="0"/>
        <v>929.53599999999994</v>
      </c>
      <c r="P26" s="1">
        <f t="shared" si="1"/>
        <v>1030.7239999999999</v>
      </c>
      <c r="Q26" s="1">
        <f t="shared" si="2"/>
        <v>1131.9110000000001</v>
      </c>
      <c r="R26" s="14" t="str">
        <f t="shared" si="6"/>
        <v>2027Q4</v>
      </c>
      <c r="S26" s="66">
        <v>14361.665453864172</v>
      </c>
      <c r="T26" s="66">
        <v>7675.7022185574415</v>
      </c>
      <c r="U26" s="66">
        <v>21047.628689170902</v>
      </c>
      <c r="V26" s="1">
        <f t="shared" si="3"/>
        <v>7675.7020000000002</v>
      </c>
      <c r="W26" s="1">
        <f t="shared" si="4"/>
        <v>14361.665000000001</v>
      </c>
      <c r="X26" s="1">
        <f t="shared" si="5"/>
        <v>21047.629000000001</v>
      </c>
    </row>
    <row r="27" spans="1:24" ht="15.5" thickTop="1" thickBot="1" x14ac:dyDescent="0.4">
      <c r="A27" s="5" t="str">
        <f t="shared" si="14"/>
        <v>2027Q4</v>
      </c>
      <c r="B27" s="2">
        <f t="shared" si="15"/>
        <v>929.53599999999994</v>
      </c>
      <c r="C27" s="3">
        <f t="shared" si="16"/>
        <v>1030.7239999999999</v>
      </c>
      <c r="D27" s="2">
        <f t="shared" si="17"/>
        <v>1131.9110000000001</v>
      </c>
      <c r="E27" s="2">
        <f t="shared" si="18"/>
        <v>7675.7020000000002</v>
      </c>
      <c r="F27" s="3">
        <f t="shared" si="19"/>
        <v>14361.665000000001</v>
      </c>
      <c r="G27" s="2">
        <f t="shared" si="20"/>
        <v>21047.629000000001</v>
      </c>
      <c r="K27" s="14" t="s">
        <v>98</v>
      </c>
      <c r="L27" s="50">
        <v>982.56265452502214</v>
      </c>
      <c r="M27" s="50">
        <v>881.37011228458005</v>
      </c>
      <c r="N27" s="50">
        <v>1083.7551967654642</v>
      </c>
      <c r="O27" s="1">
        <f t="shared" si="0"/>
        <v>881.37</v>
      </c>
      <c r="P27" s="1">
        <f t="shared" si="1"/>
        <v>982.56299999999999</v>
      </c>
      <c r="Q27" s="1">
        <f t="shared" si="2"/>
        <v>1083.7550000000001</v>
      </c>
      <c r="R27" s="14" t="str">
        <f t="shared" si="6"/>
        <v>2028Q1</v>
      </c>
      <c r="S27" s="66">
        <v>14520.119518307421</v>
      </c>
      <c r="T27" s="66">
        <v>7689.3432043748526</v>
      </c>
      <c r="U27" s="66">
        <v>21350.895832239989</v>
      </c>
      <c r="V27" s="1">
        <f t="shared" si="3"/>
        <v>7689.3429999999998</v>
      </c>
      <c r="W27" s="1">
        <f t="shared" si="4"/>
        <v>14520.12</v>
      </c>
      <c r="X27" s="1">
        <f t="shared" si="5"/>
        <v>21350.896000000001</v>
      </c>
    </row>
    <row r="28" spans="1:24" ht="15.5" thickTop="1" thickBot="1" x14ac:dyDescent="0.4">
      <c r="A28" s="5" t="str">
        <f t="shared" si="14"/>
        <v>2028Q1</v>
      </c>
      <c r="B28" s="2">
        <f t="shared" si="15"/>
        <v>881.37</v>
      </c>
      <c r="C28" s="3">
        <f t="shared" si="16"/>
        <v>982.56299999999999</v>
      </c>
      <c r="D28" s="2">
        <f t="shared" si="17"/>
        <v>1083.7550000000001</v>
      </c>
      <c r="E28" s="2">
        <f t="shared" si="18"/>
        <v>7689.3429999999998</v>
      </c>
      <c r="F28" s="3">
        <f t="shared" si="19"/>
        <v>14520.12</v>
      </c>
      <c r="G28" s="2">
        <f t="shared" si="20"/>
        <v>21350.896000000001</v>
      </c>
      <c r="K28" s="14" t="s">
        <v>99</v>
      </c>
      <c r="L28" s="50">
        <v>1039.1325940451043</v>
      </c>
      <c r="M28" s="50">
        <v>937.93651249552477</v>
      </c>
      <c r="N28" s="50">
        <v>1140.3286755946838</v>
      </c>
      <c r="O28" s="1">
        <f t="shared" si="0"/>
        <v>937.93700000000001</v>
      </c>
      <c r="P28" s="1">
        <f t="shared" si="1"/>
        <v>1039.133</v>
      </c>
      <c r="Q28" s="1">
        <f t="shared" si="2"/>
        <v>1140.329</v>
      </c>
      <c r="R28" s="14" t="str">
        <f t="shared" si="6"/>
        <v>2028Q2</v>
      </c>
      <c r="S28" s="66">
        <v>14770.998023519172</v>
      </c>
      <c r="T28" s="66">
        <v>7798.4155802586838</v>
      </c>
      <c r="U28" s="66">
        <v>21743.580466779662</v>
      </c>
      <c r="V28" s="1">
        <f t="shared" si="3"/>
        <v>7798.4160000000002</v>
      </c>
      <c r="W28" s="1">
        <f t="shared" si="4"/>
        <v>14770.998</v>
      </c>
      <c r="X28" s="1">
        <f t="shared" si="5"/>
        <v>21743.58</v>
      </c>
    </row>
    <row r="29" spans="1:24" ht="15.5" thickTop="1" thickBot="1" x14ac:dyDescent="0.4">
      <c r="A29" s="5" t="str">
        <f t="shared" si="14"/>
        <v>2028Q2</v>
      </c>
      <c r="B29" s="2">
        <f t="shared" si="15"/>
        <v>937.93700000000001</v>
      </c>
      <c r="C29" s="3">
        <f t="shared" si="16"/>
        <v>1039.133</v>
      </c>
      <c r="D29" s="2">
        <f t="shared" si="17"/>
        <v>1140.329</v>
      </c>
      <c r="E29" s="2">
        <f t="shared" si="18"/>
        <v>7798.4160000000002</v>
      </c>
      <c r="F29" s="3">
        <f t="shared" si="19"/>
        <v>14770.998</v>
      </c>
      <c r="G29" s="2">
        <f t="shared" si="20"/>
        <v>21743.58</v>
      </c>
      <c r="K29" s="14" t="s">
        <v>100</v>
      </c>
      <c r="L29" s="50">
        <v>1045.0696032867297</v>
      </c>
      <c r="M29" s="50">
        <v>943.87098344333265</v>
      </c>
      <c r="N29" s="50">
        <v>1146.2682231301269</v>
      </c>
      <c r="O29" s="1">
        <f t="shared" si="0"/>
        <v>943.87099999999998</v>
      </c>
      <c r="P29" s="1">
        <f t="shared" si="1"/>
        <v>1045.07</v>
      </c>
      <c r="Q29" s="1">
        <f t="shared" si="2"/>
        <v>1146.268</v>
      </c>
      <c r="R29" s="14" t="str">
        <f t="shared" si="6"/>
        <v>2028Q3</v>
      </c>
      <c r="S29" s="66">
        <v>14621.817225331659</v>
      </c>
      <c r="T29" s="66">
        <v>7510.2557288138532</v>
      </c>
      <c r="U29" s="66">
        <v>21733.378721849465</v>
      </c>
      <c r="V29" s="1">
        <f t="shared" si="3"/>
        <v>7510.2560000000003</v>
      </c>
      <c r="W29" s="1">
        <f t="shared" si="4"/>
        <v>14621.816999999999</v>
      </c>
      <c r="X29" s="1">
        <f t="shared" si="5"/>
        <v>21733.379000000001</v>
      </c>
    </row>
    <row r="30" spans="1:24" ht="15.5" thickTop="1" thickBot="1" x14ac:dyDescent="0.4">
      <c r="A30" s="5" t="str">
        <f t="shared" si="14"/>
        <v>2028Q3</v>
      </c>
      <c r="B30" s="2">
        <f t="shared" si="15"/>
        <v>943.87099999999998</v>
      </c>
      <c r="C30" s="3">
        <f t="shared" si="16"/>
        <v>1045.07</v>
      </c>
      <c r="D30" s="2">
        <f t="shared" si="17"/>
        <v>1146.268</v>
      </c>
      <c r="E30" s="2">
        <f t="shared" si="18"/>
        <v>7510.2560000000003</v>
      </c>
      <c r="F30" s="3">
        <f t="shared" si="19"/>
        <v>14621.816999999999</v>
      </c>
      <c r="G30" s="2">
        <f t="shared" si="20"/>
        <v>21733.379000000001</v>
      </c>
      <c r="K30" s="14" t="s">
        <v>101</v>
      </c>
      <c r="L30" s="50">
        <v>1050.4077349580568</v>
      </c>
      <c r="M30" s="50">
        <v>949.20729470565391</v>
      </c>
      <c r="N30" s="50">
        <v>1151.6081752104596</v>
      </c>
      <c r="O30" s="1">
        <f t="shared" si="0"/>
        <v>949.20699999999999</v>
      </c>
      <c r="P30" s="1">
        <f t="shared" si="1"/>
        <v>1050.4079999999999</v>
      </c>
      <c r="Q30" s="1">
        <f t="shared" si="2"/>
        <v>1151.6079999999999</v>
      </c>
      <c r="R30" s="14" t="str">
        <f t="shared" si="6"/>
        <v>2028Q4</v>
      </c>
      <c r="S30" s="66">
        <v>14767.109249747064</v>
      </c>
      <c r="T30" s="66">
        <v>7519.2331490598144</v>
      </c>
      <c r="U30" s="66">
        <v>22014.985350434312</v>
      </c>
      <c r="V30" s="1">
        <f t="shared" si="3"/>
        <v>7519.2330000000002</v>
      </c>
      <c r="W30" s="1">
        <f t="shared" si="4"/>
        <v>14767.109</v>
      </c>
      <c r="X30" s="1">
        <f t="shared" si="5"/>
        <v>22014.985000000001</v>
      </c>
    </row>
    <row r="31" spans="1:24" ht="15.5" thickTop="1" thickBot="1" x14ac:dyDescent="0.4">
      <c r="A31" s="5" t="str">
        <f t="shared" si="14"/>
        <v>2028Q4</v>
      </c>
      <c r="B31" s="2">
        <f t="shared" si="15"/>
        <v>949.20699999999999</v>
      </c>
      <c r="C31" s="3">
        <f t="shared" si="16"/>
        <v>1050.4079999999999</v>
      </c>
      <c r="D31" s="2">
        <f t="shared" si="17"/>
        <v>1151.6079999999999</v>
      </c>
      <c r="E31" s="2">
        <f t="shared" si="18"/>
        <v>7519.2330000000002</v>
      </c>
      <c r="F31" s="3">
        <f t="shared" si="19"/>
        <v>14767.109</v>
      </c>
      <c r="G31" s="2">
        <f t="shared" si="20"/>
        <v>22014.985000000001</v>
      </c>
      <c r="K31" s="14" t="s">
        <v>102</v>
      </c>
      <c r="L31" s="50">
        <v>1002.3933048007402</v>
      </c>
      <c r="M31" s="50">
        <v>901.19155898272072</v>
      </c>
      <c r="N31" s="50">
        <v>1103.5950506187598</v>
      </c>
      <c r="O31" s="1">
        <f t="shared" si="0"/>
        <v>901.19200000000001</v>
      </c>
      <c r="P31" s="1">
        <f t="shared" si="1"/>
        <v>1002.393</v>
      </c>
      <c r="Q31" s="1">
        <f t="shared" si="2"/>
        <v>1103.595</v>
      </c>
      <c r="R31" s="14" t="str">
        <f t="shared" si="6"/>
        <v>2029Q1</v>
      </c>
      <c r="S31" s="66">
        <v>14925.563333045131</v>
      </c>
      <c r="T31" s="66">
        <v>7543.8894675637812</v>
      </c>
      <c r="U31" s="66">
        <v>22307.237198526476</v>
      </c>
      <c r="V31" s="1">
        <f t="shared" si="3"/>
        <v>7543.8890000000001</v>
      </c>
      <c r="W31" s="1">
        <f t="shared" si="4"/>
        <v>14925.563</v>
      </c>
      <c r="X31" s="1">
        <f t="shared" si="5"/>
        <v>22307.237000000001</v>
      </c>
    </row>
    <row r="32" spans="1:24" ht="15.5" thickTop="1" thickBot="1" x14ac:dyDescent="0.4">
      <c r="A32" s="5" t="str">
        <f t="shared" si="14"/>
        <v>2029Q1</v>
      </c>
      <c r="B32" s="2">
        <f t="shared" si="15"/>
        <v>901.19200000000001</v>
      </c>
      <c r="C32" s="3">
        <f t="shared" si="16"/>
        <v>1002.393</v>
      </c>
      <c r="D32" s="2">
        <f t="shared" si="17"/>
        <v>1103.595</v>
      </c>
      <c r="E32" s="2">
        <f t="shared" si="18"/>
        <v>7543.8890000000001</v>
      </c>
      <c r="F32" s="3">
        <f t="shared" si="19"/>
        <v>14925.563</v>
      </c>
      <c r="G32" s="2">
        <f t="shared" si="20"/>
        <v>22307.237000000001</v>
      </c>
      <c r="K32" s="14" t="s">
        <v>103</v>
      </c>
      <c r="L32" s="50">
        <v>1059.0874353548813</v>
      </c>
      <c r="M32" s="50">
        <v>957.88475320386237</v>
      </c>
      <c r="N32" s="50">
        <v>1160.2901175059003</v>
      </c>
      <c r="O32" s="1">
        <f t="shared" si="0"/>
        <v>957.88499999999999</v>
      </c>
      <c r="P32" s="1">
        <f t="shared" si="1"/>
        <v>1059.087</v>
      </c>
      <c r="Q32" s="1">
        <f t="shared" si="2"/>
        <v>1160.29</v>
      </c>
      <c r="R32" s="14" t="str">
        <f t="shared" si="6"/>
        <v>2029Q2</v>
      </c>
      <c r="S32" s="66">
        <v>15176.441848458455</v>
      </c>
      <c r="T32" s="66">
        <v>7663.3525930494643</v>
      </c>
      <c r="U32" s="66">
        <v>22689.531103867448</v>
      </c>
      <c r="V32" s="1">
        <f t="shared" si="3"/>
        <v>7663.3530000000001</v>
      </c>
      <c r="W32" s="1">
        <f t="shared" si="4"/>
        <v>15176.441999999999</v>
      </c>
      <c r="X32" s="1">
        <f t="shared" si="5"/>
        <v>22689.530999999999</v>
      </c>
    </row>
    <row r="33" spans="1:24" ht="15.5" thickTop="1" thickBot="1" x14ac:dyDescent="0.4">
      <c r="A33" s="5" t="str">
        <f t="shared" si="14"/>
        <v>2029Q2</v>
      </c>
      <c r="B33" s="2">
        <f t="shared" si="15"/>
        <v>957.88499999999999</v>
      </c>
      <c r="C33" s="3">
        <f t="shared" si="16"/>
        <v>1059.087</v>
      </c>
      <c r="D33" s="2">
        <f t="shared" si="17"/>
        <v>1160.29</v>
      </c>
      <c r="E33" s="2">
        <f t="shared" si="18"/>
        <v>7663.3530000000001</v>
      </c>
      <c r="F33" s="3">
        <f t="shared" si="19"/>
        <v>15176.441999999999</v>
      </c>
      <c r="G33" s="2">
        <f t="shared" si="20"/>
        <v>22689.530999999999</v>
      </c>
      <c r="K33" s="14" t="s">
        <v>107</v>
      </c>
      <c r="L33" s="50">
        <v>1065.1296186134139</v>
      </c>
      <c r="M33" s="50">
        <v>963.92626493564728</v>
      </c>
      <c r="N33" s="50">
        <v>1166.3329722911806</v>
      </c>
      <c r="O33" s="1">
        <f t="shared" si="0"/>
        <v>963.92600000000004</v>
      </c>
      <c r="P33" s="1">
        <f t="shared" si="1"/>
        <v>1065.1300000000001</v>
      </c>
      <c r="Q33" s="1">
        <f t="shared" si="2"/>
        <v>1166.3330000000001</v>
      </c>
      <c r="R33" s="14" t="str">
        <f t="shared" si="6"/>
        <v>2029Q3</v>
      </c>
      <c r="S33" s="66">
        <v>15027.261055790594</v>
      </c>
      <c r="T33" s="66">
        <v>7385.0158835333059</v>
      </c>
      <c r="U33" s="66">
        <v>22669.506228047881</v>
      </c>
      <c r="V33" s="1">
        <f t="shared" si="3"/>
        <v>7385.0159999999996</v>
      </c>
      <c r="W33" s="1">
        <f t="shared" si="4"/>
        <v>15027.261</v>
      </c>
      <c r="X33" s="1">
        <f t="shared" si="5"/>
        <v>22669.506000000001</v>
      </c>
    </row>
    <row r="34" spans="1:24" ht="15.5" thickTop="1" thickBot="1" x14ac:dyDescent="0.4">
      <c r="A34" s="5" t="str">
        <f t="shared" si="14"/>
        <v>2029Q3</v>
      </c>
      <c r="B34" s="2">
        <f t="shared" si="15"/>
        <v>963.92600000000004</v>
      </c>
      <c r="C34" s="3">
        <f t="shared" si="16"/>
        <v>1065.1300000000001</v>
      </c>
      <c r="D34" s="2">
        <f t="shared" si="17"/>
        <v>1166.3330000000001</v>
      </c>
      <c r="E34" s="2">
        <f t="shared" si="18"/>
        <v>7385.0159999999996</v>
      </c>
      <c r="F34" s="3">
        <f t="shared" si="19"/>
        <v>15027.261</v>
      </c>
      <c r="G34" s="2">
        <f t="shared" si="20"/>
        <v>22669.506000000001</v>
      </c>
      <c r="K34" s="14" t="s">
        <v>108</v>
      </c>
      <c r="L34" s="50">
        <v>1070.5568193058355</v>
      </c>
      <c r="M34" s="50">
        <v>969.35298401609305</v>
      </c>
      <c r="N34" s="50">
        <v>1171.760654595578</v>
      </c>
      <c r="O34" s="1">
        <f t="shared" si="0"/>
        <v>969.35299999999995</v>
      </c>
      <c r="P34" s="1">
        <f t="shared" si="1"/>
        <v>1070.557</v>
      </c>
      <c r="Q34" s="1">
        <f t="shared" si="2"/>
        <v>1171.761</v>
      </c>
      <c r="R34" s="14" t="str">
        <f t="shared" si="6"/>
        <v>2029Q4</v>
      </c>
      <c r="S34" s="66">
        <v>15172.553083192461</v>
      </c>
      <c r="T34" s="66">
        <v>7403.2987823405783</v>
      </c>
      <c r="U34" s="66">
        <v>22941.807384044339</v>
      </c>
      <c r="V34" s="1">
        <f t="shared" si="3"/>
        <v>7403.299</v>
      </c>
      <c r="W34" s="1">
        <f t="shared" si="4"/>
        <v>15172.553</v>
      </c>
      <c r="X34" s="1">
        <f t="shared" si="5"/>
        <v>22941.807000000001</v>
      </c>
    </row>
    <row r="35" spans="1:24" ht="13" thickTop="1" thickBot="1" x14ac:dyDescent="0.35">
      <c r="A35" s="5" t="str">
        <f t="shared" si="14"/>
        <v>2029Q4</v>
      </c>
      <c r="B35" s="2">
        <f t="shared" si="15"/>
        <v>969.35299999999995</v>
      </c>
      <c r="C35" s="3">
        <f t="shared" si="16"/>
        <v>1070.557</v>
      </c>
      <c r="D35" s="2">
        <f t="shared" si="17"/>
        <v>1171.761</v>
      </c>
      <c r="E35" s="2">
        <f t="shared" si="18"/>
        <v>7403.299</v>
      </c>
      <c r="F35" s="3">
        <f t="shared" si="19"/>
        <v>15172.553</v>
      </c>
      <c r="G35" s="2">
        <f t="shared" si="20"/>
        <v>22941.807000000001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994.67778124999995</v>
      </c>
      <c r="F38" s="1">
        <f>AVERAGE(F4:F35)</f>
        <v>13660.580093750001</v>
      </c>
    </row>
    <row r="40" spans="1:24" ht="12.5" thickBot="1" x14ac:dyDescent="0.35"/>
    <row r="41" spans="1:24" ht="15.5" thickTop="1" thickBot="1" x14ac:dyDescent="0.4">
      <c r="A41" s="30" t="s">
        <v>46</v>
      </c>
      <c r="B41" s="31"/>
      <c r="C41" s="31"/>
      <c r="D41" s="31"/>
      <c r="E41" s="31"/>
      <c r="F41" s="31"/>
      <c r="G41" s="31"/>
      <c r="K41" s="30" t="s">
        <v>23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933.85500000000002</v>
      </c>
      <c r="D44" s="6"/>
      <c r="E44" s="6"/>
      <c r="F44" s="9">
        <f>ROUND(F4-((G4-F4)*(0.5/2)),3)</f>
        <v>11902.239</v>
      </c>
      <c r="G44" s="6"/>
      <c r="K44" s="7" t="str">
        <f>A4</f>
        <v>2022Q1</v>
      </c>
      <c r="L44" s="6"/>
      <c r="M44" s="9">
        <f>ROUND(C4-((D4-C4)*(1/2)),3)</f>
        <v>920.49099999999999</v>
      </c>
      <c r="N44" s="6"/>
      <c r="O44" s="6"/>
      <c r="P44" s="9">
        <f>ROUND(F4-((G4-F4)*(1/2)),3)</f>
        <v>11655.653</v>
      </c>
      <c r="Q44" s="6"/>
    </row>
    <row r="45" spans="1:24" ht="15.5" thickTop="1" thickBot="1" x14ac:dyDescent="0.4">
      <c r="A45" s="7" t="str">
        <f t="shared" ref="A45:A75" si="21">A5</f>
        <v>2022Q2</v>
      </c>
      <c r="B45" s="6"/>
      <c r="C45" s="9">
        <f t="shared" ref="C45:C55" si="22">ROUND(C5-((D5-C5)*(0.5/2)),3)</f>
        <v>972.654</v>
      </c>
      <c r="D45" s="6"/>
      <c r="E45" s="6"/>
      <c r="F45" s="9">
        <f t="shared" ref="F45:F55" si="23">ROUND(F5-((G5-F5)*(0.5/2)),3)</f>
        <v>11987.865</v>
      </c>
      <c r="G45" s="6"/>
      <c r="K45" s="7" t="str">
        <f t="shared" ref="K45:K55" si="24">A5</f>
        <v>2022Q2</v>
      </c>
      <c r="L45" s="6"/>
      <c r="M45" s="9">
        <f t="shared" ref="M45:M55" si="25">ROUND(C5-((D5-C5)*(1/2)),3)</f>
        <v>955.072</v>
      </c>
      <c r="N45" s="6"/>
      <c r="O45" s="6"/>
      <c r="P45" s="9">
        <f t="shared" ref="P45:P55" si="26">ROUND(F5-((G5-F5)*(1/2)),3)</f>
        <v>11604.191000000001</v>
      </c>
      <c r="Q45" s="6"/>
      <c r="U45" s="28"/>
    </row>
    <row r="46" spans="1:24" ht="15.5" thickTop="1" thickBot="1" x14ac:dyDescent="0.4">
      <c r="A46" s="7" t="str">
        <f t="shared" si="21"/>
        <v>2022Q3</v>
      </c>
      <c r="B46" s="6"/>
      <c r="C46" s="9">
        <f t="shared" si="22"/>
        <v>964.62800000000004</v>
      </c>
      <c r="D46" s="6"/>
      <c r="E46" s="6"/>
      <c r="F46" s="9">
        <f t="shared" si="23"/>
        <v>11707.795</v>
      </c>
      <c r="G46" s="6"/>
      <c r="K46" s="7" t="str">
        <f t="shared" si="24"/>
        <v>2022Q3</v>
      </c>
      <c r="L46" s="6"/>
      <c r="M46" s="9">
        <f t="shared" si="25"/>
        <v>944.55899999999997</v>
      </c>
      <c r="N46" s="6"/>
      <c r="O46" s="6"/>
      <c r="P46" s="9">
        <f t="shared" si="26"/>
        <v>11208.47</v>
      </c>
      <c r="Q46" s="6"/>
      <c r="V46" s="29"/>
    </row>
    <row r="47" spans="1:24" ht="15.5" thickTop="1" thickBot="1" x14ac:dyDescent="0.4">
      <c r="A47" s="7" t="str">
        <f t="shared" si="21"/>
        <v>2022Q4</v>
      </c>
      <c r="B47" s="6"/>
      <c r="C47" s="9">
        <f t="shared" si="22"/>
        <v>958.63699999999994</v>
      </c>
      <c r="D47" s="6"/>
      <c r="E47" s="6"/>
      <c r="F47" s="9">
        <f t="shared" si="23"/>
        <v>11743.753000000001</v>
      </c>
      <c r="G47" s="6"/>
      <c r="K47" s="7" t="str">
        <f t="shared" si="24"/>
        <v>2022Q4</v>
      </c>
      <c r="L47" s="6"/>
      <c r="M47" s="9">
        <f t="shared" si="25"/>
        <v>936.96100000000001</v>
      </c>
      <c r="N47" s="6"/>
      <c r="O47" s="6"/>
      <c r="P47" s="9">
        <f t="shared" si="26"/>
        <v>11143.338</v>
      </c>
      <c r="Q47" s="6"/>
    </row>
    <row r="48" spans="1:24" ht="15.5" thickTop="1" thickBot="1" x14ac:dyDescent="0.4">
      <c r="A48" s="7" t="str">
        <f t="shared" si="21"/>
        <v>2023Q1</v>
      </c>
      <c r="B48" s="6"/>
      <c r="C48" s="9">
        <f t="shared" si="22"/>
        <v>901.30799999999999</v>
      </c>
      <c r="D48" s="6"/>
      <c r="E48" s="6"/>
      <c r="F48" s="9">
        <f t="shared" si="23"/>
        <v>11807.705</v>
      </c>
      <c r="G48" s="6"/>
      <c r="K48" s="7" t="str">
        <f t="shared" si="24"/>
        <v>2023Q1</v>
      </c>
      <c r="L48" s="6"/>
      <c r="M48" s="9">
        <f t="shared" si="25"/>
        <v>878.54700000000003</v>
      </c>
      <c r="N48" s="6"/>
      <c r="O48" s="6"/>
      <c r="P48" s="9">
        <f t="shared" si="26"/>
        <v>11117.251</v>
      </c>
      <c r="Q48" s="6"/>
    </row>
    <row r="49" spans="1:17" ht="15.5" thickTop="1" thickBot="1" x14ac:dyDescent="0.4">
      <c r="A49" s="7" t="str">
        <f t="shared" si="21"/>
        <v>2023Q2</v>
      </c>
      <c r="B49" s="6"/>
      <c r="C49" s="9">
        <f t="shared" si="22"/>
        <v>950.28399999999999</v>
      </c>
      <c r="D49" s="6"/>
      <c r="E49" s="6"/>
      <c r="F49" s="9">
        <f t="shared" si="23"/>
        <v>11974.781000000001</v>
      </c>
      <c r="G49" s="6"/>
      <c r="K49" s="7" t="str">
        <f t="shared" si="24"/>
        <v>2023Q2</v>
      </c>
      <c r="L49" s="6"/>
      <c r="M49" s="9">
        <f t="shared" si="25"/>
        <v>926.77700000000004</v>
      </c>
      <c r="N49" s="6"/>
      <c r="O49" s="6"/>
      <c r="P49" s="9">
        <f t="shared" si="26"/>
        <v>11202.938</v>
      </c>
      <c r="Q49" s="6"/>
    </row>
    <row r="50" spans="1:17" ht="15.5" thickTop="1" thickBot="1" x14ac:dyDescent="0.4">
      <c r="A50" s="7" t="str">
        <f t="shared" si="21"/>
        <v>2023Q3</v>
      </c>
      <c r="B50" s="6"/>
      <c r="C50" s="9">
        <f t="shared" si="22"/>
        <v>949.90200000000004</v>
      </c>
      <c r="D50" s="6"/>
      <c r="E50" s="6"/>
      <c r="F50" s="9">
        <f t="shared" si="23"/>
        <v>11749.808000000001</v>
      </c>
      <c r="G50" s="6"/>
      <c r="K50" s="7" t="str">
        <f t="shared" si="24"/>
        <v>2023Q3</v>
      </c>
      <c r="L50" s="6"/>
      <c r="M50" s="9">
        <f t="shared" si="25"/>
        <v>925.875</v>
      </c>
      <c r="N50" s="6"/>
      <c r="O50" s="6"/>
      <c r="P50" s="9">
        <f t="shared" si="26"/>
        <v>10903.477999999999</v>
      </c>
      <c r="Q50" s="6"/>
    </row>
    <row r="51" spans="1:17" ht="15.5" thickTop="1" thickBot="1" x14ac:dyDescent="0.4">
      <c r="A51" s="7" t="str">
        <f t="shared" si="21"/>
        <v>2023Q4</v>
      </c>
      <c r="B51" s="6"/>
      <c r="C51" s="9">
        <f t="shared" si="22"/>
        <v>949.96199999999999</v>
      </c>
      <c r="D51" s="6"/>
      <c r="E51" s="6"/>
      <c r="F51" s="9">
        <f t="shared" si="23"/>
        <v>11825.499</v>
      </c>
      <c r="G51" s="6"/>
      <c r="K51" s="7" t="str">
        <f t="shared" si="24"/>
        <v>2023Q4</v>
      </c>
      <c r="L51" s="6"/>
      <c r="M51" s="9">
        <f t="shared" si="25"/>
        <v>925.56799999999998</v>
      </c>
      <c r="N51" s="6"/>
      <c r="O51" s="6"/>
      <c r="P51" s="9">
        <f t="shared" si="26"/>
        <v>10910.276</v>
      </c>
      <c r="Q51" s="6"/>
    </row>
    <row r="52" spans="1:17" ht="15.5" thickTop="1" thickBot="1" x14ac:dyDescent="0.4">
      <c r="A52" s="7" t="str">
        <f t="shared" si="21"/>
        <v>2024Q1</v>
      </c>
      <c r="B52" s="6"/>
      <c r="C52" s="9">
        <f t="shared" si="22"/>
        <v>897.53</v>
      </c>
      <c r="D52" s="6"/>
      <c r="E52" s="6"/>
      <c r="F52" s="9">
        <f t="shared" si="23"/>
        <v>11919.284</v>
      </c>
      <c r="G52" s="6"/>
      <c r="K52" s="7" t="str">
        <f t="shared" si="24"/>
        <v>2024Q1</v>
      </c>
      <c r="L52" s="6"/>
      <c r="M52" s="9">
        <f t="shared" si="25"/>
        <v>872.875</v>
      </c>
      <c r="N52" s="6"/>
      <c r="O52" s="6"/>
      <c r="P52" s="9">
        <f t="shared" si="26"/>
        <v>10939.772000000001</v>
      </c>
      <c r="Q52" s="6"/>
    </row>
    <row r="53" spans="1:17" ht="15.5" thickTop="1" thickBot="1" x14ac:dyDescent="0.4">
      <c r="A53" s="7" t="str">
        <f t="shared" si="21"/>
        <v>2024Q2</v>
      </c>
      <c r="B53" s="6"/>
      <c r="C53" s="9">
        <f t="shared" si="22"/>
        <v>950.51700000000005</v>
      </c>
      <c r="D53" s="6"/>
      <c r="E53" s="6"/>
      <c r="F53" s="9">
        <f t="shared" si="23"/>
        <v>12109.518</v>
      </c>
      <c r="G53" s="6"/>
      <c r="K53" s="7" t="str">
        <f t="shared" si="24"/>
        <v>2024Q2</v>
      </c>
      <c r="L53" s="6"/>
      <c r="M53" s="9">
        <f t="shared" si="25"/>
        <v>925.678</v>
      </c>
      <c r="N53" s="6"/>
      <c r="O53" s="6"/>
      <c r="P53" s="9">
        <f t="shared" si="26"/>
        <v>11069.57</v>
      </c>
      <c r="Q53" s="6"/>
    </row>
    <row r="54" spans="1:17" ht="15.5" thickTop="1" thickBot="1" x14ac:dyDescent="0.4">
      <c r="A54" s="7" t="str">
        <f t="shared" si="21"/>
        <v>2024Q3</v>
      </c>
      <c r="B54" s="6"/>
      <c r="C54" s="9">
        <f t="shared" si="22"/>
        <v>953.44500000000005</v>
      </c>
      <c r="D54" s="6"/>
      <c r="E54" s="6"/>
      <c r="F54" s="9">
        <f t="shared" si="23"/>
        <v>11903.052</v>
      </c>
      <c r="G54" s="6"/>
      <c r="K54" s="7" t="str">
        <f t="shared" si="24"/>
        <v>2024Q3</v>
      </c>
      <c r="L54" s="6"/>
      <c r="M54" s="9">
        <f t="shared" si="25"/>
        <v>928.47500000000002</v>
      </c>
      <c r="N54" s="6"/>
      <c r="O54" s="6"/>
      <c r="P54" s="9">
        <f t="shared" si="26"/>
        <v>10805.931</v>
      </c>
      <c r="Q54" s="6"/>
    </row>
    <row r="55" spans="1:17" ht="15.5" thickTop="1" thickBot="1" x14ac:dyDescent="0.4">
      <c r="A55" s="7" t="str">
        <f t="shared" si="21"/>
        <v>2024Q4</v>
      </c>
      <c r="B55" s="6"/>
      <c r="C55" s="9">
        <f t="shared" si="22"/>
        <v>956.25199999999995</v>
      </c>
      <c r="D55" s="6"/>
      <c r="E55" s="6"/>
      <c r="F55" s="9">
        <f t="shared" si="23"/>
        <v>11993.915000000001</v>
      </c>
      <c r="G55" s="6"/>
      <c r="K55" s="7" t="str">
        <f t="shared" si="24"/>
        <v>2024Q4</v>
      </c>
      <c r="L55" s="6"/>
      <c r="M55" s="9">
        <f t="shared" si="25"/>
        <v>931.18799999999999</v>
      </c>
      <c r="N55" s="6"/>
      <c r="O55" s="6"/>
      <c r="P55" s="9">
        <f t="shared" si="26"/>
        <v>10842.424999999999</v>
      </c>
      <c r="Q55" s="6"/>
    </row>
    <row r="56" spans="1:17" ht="15.5" thickTop="1" thickBot="1" x14ac:dyDescent="0.4">
      <c r="A56" s="7" t="str">
        <f t="shared" si="21"/>
        <v>2025Q1</v>
      </c>
      <c r="B56" s="6"/>
      <c r="C56" s="9">
        <f t="shared" ref="C56:C74" si="27">ROUND(C16-((D16-C16)*(0.5/2)),3)</f>
        <v>906.10699999999997</v>
      </c>
      <c r="D56" s="6"/>
      <c r="E56" s="6"/>
      <c r="F56" s="9">
        <f t="shared" ref="F56:F75" si="28">ROUND(F16-((G16-F16)*(0.5/2)),3)</f>
        <v>12100.406000000001</v>
      </c>
      <c r="G56" s="6"/>
      <c r="K56" s="7" t="str">
        <f t="shared" ref="K56:K75" si="29">A16</f>
        <v>2025Q1</v>
      </c>
      <c r="L56" s="6"/>
      <c r="M56" s="9">
        <f t="shared" ref="M56:M75" si="30">ROUND(C16-((D16-C16)*(1/2)),3)</f>
        <v>880.97500000000002</v>
      </c>
      <c r="N56" s="6"/>
      <c r="O56" s="6"/>
      <c r="P56" s="9">
        <f t="shared" ref="P56:P75" si="31">ROUND(F16-((G16-F16)*(1/2)),3)</f>
        <v>10896.986000000001</v>
      </c>
      <c r="Q56" s="6"/>
    </row>
    <row r="57" spans="1:17" ht="15.5" thickTop="1" thickBot="1" x14ac:dyDescent="0.4">
      <c r="A57" s="7" t="str">
        <f t="shared" si="21"/>
        <v>2025Q2</v>
      </c>
      <c r="B57" s="6"/>
      <c r="C57" s="9">
        <f t="shared" si="27"/>
        <v>961.00599999999997</v>
      </c>
      <c r="D57" s="6"/>
      <c r="E57" s="6"/>
      <c r="F57" s="9">
        <f t="shared" si="28"/>
        <v>12301.477000000001</v>
      </c>
      <c r="G57" s="6"/>
      <c r="K57" s="7" t="str">
        <f t="shared" si="29"/>
        <v>2025Q2</v>
      </c>
      <c r="L57" s="6"/>
      <c r="M57" s="9">
        <f t="shared" si="30"/>
        <v>935.827</v>
      </c>
      <c r="N57" s="6"/>
      <c r="O57" s="6"/>
      <c r="P57" s="9">
        <f t="shared" si="31"/>
        <v>11048.268</v>
      </c>
      <c r="Q57" s="6"/>
    </row>
    <row r="58" spans="1:17" ht="15.5" thickTop="1" thickBot="1" x14ac:dyDescent="0.4">
      <c r="A58" s="7" t="str">
        <f t="shared" si="21"/>
        <v>2025Q3</v>
      </c>
      <c r="B58" s="6"/>
      <c r="C58" s="9">
        <f t="shared" si="27"/>
        <v>965.53399999999999</v>
      </c>
      <c r="D58" s="6"/>
      <c r="E58" s="6"/>
      <c r="F58" s="9">
        <f t="shared" si="28"/>
        <v>12104.397999999999</v>
      </c>
      <c r="G58" s="6"/>
      <c r="K58" s="7" t="str">
        <f t="shared" si="29"/>
        <v>2025Q3</v>
      </c>
      <c r="L58" s="6"/>
      <c r="M58" s="9">
        <f t="shared" si="30"/>
        <v>940.32</v>
      </c>
      <c r="N58" s="6"/>
      <c r="O58" s="6"/>
      <c r="P58" s="9">
        <f t="shared" si="31"/>
        <v>10803.299000000001</v>
      </c>
      <c r="Q58" s="6"/>
    </row>
    <row r="59" spans="1:17" ht="15.5" thickTop="1" thickBot="1" x14ac:dyDescent="0.4">
      <c r="A59" s="7" t="str">
        <f t="shared" si="21"/>
        <v>2025Q4</v>
      </c>
      <c r="B59" s="6"/>
      <c r="C59" s="9">
        <f t="shared" si="27"/>
        <v>969.68299999999999</v>
      </c>
      <c r="D59" s="6"/>
      <c r="E59" s="6"/>
      <c r="F59" s="9">
        <f t="shared" si="28"/>
        <v>12203.495000000001</v>
      </c>
      <c r="G59" s="6"/>
      <c r="K59" s="7" t="str">
        <f t="shared" si="29"/>
        <v>2025Q4</v>
      </c>
      <c r="L59" s="6"/>
      <c r="M59" s="9">
        <f t="shared" si="30"/>
        <v>944.44500000000005</v>
      </c>
      <c r="N59" s="6"/>
      <c r="O59" s="6"/>
      <c r="P59" s="9">
        <f t="shared" si="31"/>
        <v>10856.205</v>
      </c>
      <c r="Q59" s="6"/>
    </row>
    <row r="60" spans="1:17" ht="15.5" thickTop="1" thickBot="1" x14ac:dyDescent="0.4">
      <c r="A60" s="7" t="str">
        <f t="shared" si="21"/>
        <v>2026Q1</v>
      </c>
      <c r="B60" s="6"/>
      <c r="C60" s="9">
        <f t="shared" si="27"/>
        <v>920.66399999999999</v>
      </c>
      <c r="D60" s="6"/>
      <c r="E60" s="6"/>
      <c r="F60" s="9">
        <f t="shared" si="28"/>
        <v>12317.286</v>
      </c>
      <c r="G60" s="6"/>
      <c r="K60" s="7" t="str">
        <f t="shared" si="29"/>
        <v>2026Q1</v>
      </c>
      <c r="L60" s="6"/>
      <c r="M60" s="9">
        <f t="shared" si="30"/>
        <v>895.40800000000002</v>
      </c>
      <c r="N60" s="6"/>
      <c r="O60" s="6"/>
      <c r="P60" s="9">
        <f t="shared" si="31"/>
        <v>10925.335999999999</v>
      </c>
      <c r="Q60" s="6"/>
    </row>
    <row r="61" spans="1:17" ht="15.5" thickTop="1" thickBot="1" x14ac:dyDescent="0.4">
      <c r="A61" s="7" t="str">
        <f t="shared" si="21"/>
        <v>2026Q2</v>
      </c>
      <c r="B61" s="6"/>
      <c r="C61" s="9">
        <f t="shared" si="27"/>
        <v>976.51199999999994</v>
      </c>
      <c r="D61" s="6"/>
      <c r="E61" s="6"/>
      <c r="F61" s="9">
        <f t="shared" si="28"/>
        <v>12524.891</v>
      </c>
      <c r="G61" s="6"/>
      <c r="K61" s="7" t="str">
        <f t="shared" si="29"/>
        <v>2026Q2</v>
      </c>
      <c r="L61" s="6"/>
      <c r="M61" s="9">
        <f t="shared" si="30"/>
        <v>951.24300000000005</v>
      </c>
      <c r="N61" s="6"/>
      <c r="O61" s="6"/>
      <c r="P61" s="9">
        <f t="shared" si="31"/>
        <v>11089.671</v>
      </c>
      <c r="Q61" s="6"/>
    </row>
    <row r="62" spans="1:17" ht="15.5" thickTop="1" thickBot="1" x14ac:dyDescent="0.4">
      <c r="A62" s="7" t="str">
        <f t="shared" si="21"/>
        <v>2026Q3</v>
      </c>
      <c r="B62" s="6"/>
      <c r="C62" s="9">
        <f t="shared" si="27"/>
        <v>981.83799999999997</v>
      </c>
      <c r="D62" s="6"/>
      <c r="E62" s="6"/>
      <c r="F62" s="9">
        <f t="shared" si="28"/>
        <v>12333.706</v>
      </c>
      <c r="G62" s="6"/>
      <c r="K62" s="7" t="str">
        <f t="shared" si="29"/>
        <v>2026Q3</v>
      </c>
      <c r="L62" s="6"/>
      <c r="M62" s="9">
        <f t="shared" si="30"/>
        <v>956.56</v>
      </c>
      <c r="N62" s="6"/>
      <c r="O62" s="6"/>
      <c r="P62" s="9">
        <f t="shared" si="31"/>
        <v>10856.481</v>
      </c>
      <c r="Q62" s="6"/>
    </row>
    <row r="63" spans="1:17" ht="15.5" thickTop="1" thickBot="1" x14ac:dyDescent="0.4">
      <c r="A63" s="7" t="str">
        <f t="shared" si="21"/>
        <v>2026Q4</v>
      </c>
      <c r="B63" s="6"/>
      <c r="C63" s="9">
        <f t="shared" si="27"/>
        <v>986.65899999999999</v>
      </c>
      <c r="D63" s="6"/>
      <c r="E63" s="6"/>
      <c r="F63" s="9">
        <f t="shared" si="28"/>
        <v>12438.154</v>
      </c>
      <c r="G63" s="6"/>
      <c r="K63" s="7" t="str">
        <f t="shared" si="29"/>
        <v>2026Q4</v>
      </c>
      <c r="L63" s="6"/>
      <c r="M63" s="9">
        <f t="shared" si="30"/>
        <v>961.375</v>
      </c>
      <c r="N63" s="6"/>
      <c r="O63" s="6"/>
      <c r="P63" s="9">
        <f t="shared" si="31"/>
        <v>10920.084999999999</v>
      </c>
      <c r="Q63" s="6"/>
    </row>
    <row r="64" spans="1:17" ht="15.5" thickTop="1" thickBot="1" x14ac:dyDescent="0.4">
      <c r="A64" s="7" t="str">
        <f t="shared" si="21"/>
        <v>2027Q1</v>
      </c>
      <c r="B64" s="6"/>
      <c r="C64" s="9">
        <f t="shared" si="27"/>
        <v>938.20899999999995</v>
      </c>
      <c r="D64" s="6"/>
      <c r="E64" s="6"/>
      <c r="F64" s="9">
        <f t="shared" si="28"/>
        <v>12556.834999999999</v>
      </c>
      <c r="G64" s="6"/>
      <c r="K64" s="7" t="str">
        <f t="shared" si="29"/>
        <v>2027Q1</v>
      </c>
      <c r="L64" s="6"/>
      <c r="M64" s="9">
        <f t="shared" si="30"/>
        <v>912.92</v>
      </c>
      <c r="N64" s="6"/>
      <c r="O64" s="6"/>
      <c r="P64" s="9">
        <f t="shared" si="31"/>
        <v>10998.994000000001</v>
      </c>
      <c r="Q64" s="6"/>
    </row>
    <row r="65" spans="1:17" ht="15.5" thickTop="1" thickBot="1" x14ac:dyDescent="0.4">
      <c r="A65" s="7" t="str">
        <f t="shared" si="21"/>
        <v>2027Q2</v>
      </c>
      <c r="B65" s="6"/>
      <c r="C65" s="9">
        <f t="shared" si="27"/>
        <v>994.53300000000002</v>
      </c>
      <c r="D65" s="6"/>
      <c r="E65" s="6"/>
      <c r="F65" s="9">
        <f t="shared" si="28"/>
        <v>12768.931</v>
      </c>
      <c r="G65" s="6"/>
      <c r="K65" s="7" t="str">
        <f t="shared" si="29"/>
        <v>2027Q2</v>
      </c>
      <c r="L65" s="6"/>
      <c r="M65" s="9">
        <f t="shared" si="30"/>
        <v>969.24099999999999</v>
      </c>
      <c r="N65" s="6"/>
      <c r="O65" s="6"/>
      <c r="P65" s="9">
        <f t="shared" si="31"/>
        <v>11172.307000000001</v>
      </c>
      <c r="Q65" s="6"/>
    </row>
    <row r="66" spans="1:17" ht="15.5" thickTop="1" thickBot="1" x14ac:dyDescent="0.4">
      <c r="A66" s="7" t="str">
        <f t="shared" si="21"/>
        <v>2027Q3</v>
      </c>
      <c r="B66" s="6"/>
      <c r="C66" s="9">
        <f t="shared" si="27"/>
        <v>1000.264</v>
      </c>
      <c r="D66" s="6"/>
      <c r="E66" s="6"/>
      <c r="F66" s="9">
        <f t="shared" si="28"/>
        <v>12581.887000000001</v>
      </c>
      <c r="G66" s="6"/>
      <c r="K66" s="7" t="str">
        <f t="shared" si="29"/>
        <v>2027Q3</v>
      </c>
      <c r="L66" s="6"/>
      <c r="M66" s="9">
        <f t="shared" si="30"/>
        <v>974.96900000000005</v>
      </c>
      <c r="N66" s="6"/>
      <c r="O66" s="6"/>
      <c r="P66" s="9">
        <f t="shared" si="31"/>
        <v>10947.401</v>
      </c>
      <c r="Q66" s="6"/>
    </row>
    <row r="67" spans="1:17" ht="15.5" thickTop="1" thickBot="1" x14ac:dyDescent="0.4">
      <c r="A67" s="7" t="str">
        <f t="shared" si="21"/>
        <v>2027Q4</v>
      </c>
      <c r="B67" s="6"/>
      <c r="C67" s="9">
        <f t="shared" si="27"/>
        <v>1005.427</v>
      </c>
      <c r="D67" s="6"/>
      <c r="E67" s="6"/>
      <c r="F67" s="9">
        <f t="shared" si="28"/>
        <v>12690.174000000001</v>
      </c>
      <c r="G67" s="6"/>
      <c r="K67" s="7" t="str">
        <f t="shared" si="29"/>
        <v>2027Q4</v>
      </c>
      <c r="L67" s="6"/>
      <c r="M67" s="9">
        <f t="shared" si="30"/>
        <v>980.13099999999997</v>
      </c>
      <c r="N67" s="6"/>
      <c r="O67" s="6"/>
      <c r="P67" s="9">
        <f t="shared" si="31"/>
        <v>11018.683000000001</v>
      </c>
      <c r="Q67" s="6"/>
    </row>
    <row r="68" spans="1:17" ht="15.5" thickTop="1" thickBot="1" x14ac:dyDescent="0.4">
      <c r="A68" s="7" t="str">
        <f t="shared" si="21"/>
        <v>2028Q1</v>
      </c>
      <c r="B68" s="6"/>
      <c r="C68" s="9">
        <f t="shared" si="27"/>
        <v>957.26499999999999</v>
      </c>
      <c r="D68" s="6"/>
      <c r="E68" s="6"/>
      <c r="F68" s="9">
        <f t="shared" si="28"/>
        <v>12812.425999999999</v>
      </c>
      <c r="G68" s="6"/>
      <c r="K68" s="7" t="str">
        <f t="shared" si="29"/>
        <v>2028Q1</v>
      </c>
      <c r="L68" s="6"/>
      <c r="M68" s="9">
        <f t="shared" si="30"/>
        <v>931.96699999999998</v>
      </c>
      <c r="N68" s="6"/>
      <c r="O68" s="6"/>
      <c r="P68" s="9">
        <f t="shared" si="31"/>
        <v>11104.732</v>
      </c>
      <c r="Q68" s="6"/>
    </row>
    <row r="69" spans="1:17" ht="15.5" thickTop="1" thickBot="1" x14ac:dyDescent="0.4">
      <c r="A69" s="7" t="str">
        <f t="shared" si="21"/>
        <v>2028Q2</v>
      </c>
      <c r="B69" s="6"/>
      <c r="C69" s="9">
        <f t="shared" si="27"/>
        <v>1013.8339999999999</v>
      </c>
      <c r="D69" s="6"/>
      <c r="E69" s="6"/>
      <c r="F69" s="9">
        <f t="shared" si="28"/>
        <v>13027.852999999999</v>
      </c>
      <c r="G69" s="6"/>
      <c r="K69" s="7" t="str">
        <f t="shared" si="29"/>
        <v>2028Q2</v>
      </c>
      <c r="L69" s="6"/>
      <c r="M69" s="9">
        <f t="shared" si="30"/>
        <v>988.53499999999997</v>
      </c>
      <c r="N69" s="6"/>
      <c r="O69" s="6"/>
      <c r="P69" s="9">
        <f t="shared" si="31"/>
        <v>11284.707</v>
      </c>
      <c r="Q69" s="6"/>
    </row>
    <row r="70" spans="1:17" ht="15.5" thickTop="1" thickBot="1" x14ac:dyDescent="0.4">
      <c r="A70" s="7" t="str">
        <f t="shared" si="21"/>
        <v>2028Q3</v>
      </c>
      <c r="B70" s="6"/>
      <c r="C70" s="9">
        <f t="shared" si="27"/>
        <v>1019.771</v>
      </c>
      <c r="D70" s="6"/>
      <c r="E70" s="6"/>
      <c r="F70" s="9">
        <f t="shared" si="28"/>
        <v>12843.927</v>
      </c>
      <c r="G70" s="6"/>
      <c r="K70" s="7" t="str">
        <f t="shared" si="29"/>
        <v>2028Q3</v>
      </c>
      <c r="L70" s="6"/>
      <c r="M70" s="9">
        <f t="shared" si="30"/>
        <v>994.471</v>
      </c>
      <c r="N70" s="6"/>
      <c r="O70" s="6"/>
      <c r="P70" s="9">
        <f t="shared" si="31"/>
        <v>11066.036</v>
      </c>
      <c r="Q70" s="6"/>
    </row>
    <row r="71" spans="1:17" ht="15.5" thickTop="1" thickBot="1" x14ac:dyDescent="0.4">
      <c r="A71" s="7" t="str">
        <f t="shared" si="21"/>
        <v>2028Q4</v>
      </c>
      <c r="B71" s="6"/>
      <c r="C71" s="9">
        <f t="shared" si="27"/>
        <v>1025.1079999999999</v>
      </c>
      <c r="D71" s="6"/>
      <c r="E71" s="6"/>
      <c r="F71" s="9">
        <f t="shared" si="28"/>
        <v>12955.14</v>
      </c>
      <c r="G71" s="6"/>
      <c r="K71" s="7" t="str">
        <f t="shared" si="29"/>
        <v>2028Q4</v>
      </c>
      <c r="L71" s="6"/>
      <c r="M71" s="9">
        <f t="shared" si="30"/>
        <v>999.80799999999999</v>
      </c>
      <c r="N71" s="6"/>
      <c r="O71" s="6"/>
      <c r="P71" s="9">
        <f t="shared" si="31"/>
        <v>11143.171</v>
      </c>
      <c r="Q71" s="6"/>
    </row>
    <row r="72" spans="1:17" ht="15.5" thickTop="1" thickBot="1" x14ac:dyDescent="0.4">
      <c r="A72" s="7" t="str">
        <f t="shared" si="21"/>
        <v>2029Q1</v>
      </c>
      <c r="B72" s="6"/>
      <c r="C72" s="9">
        <f t="shared" si="27"/>
        <v>977.09299999999996</v>
      </c>
      <c r="D72" s="6"/>
      <c r="E72" s="6"/>
      <c r="F72" s="9">
        <f t="shared" si="28"/>
        <v>13080.145</v>
      </c>
      <c r="G72" s="6"/>
      <c r="K72" s="7" t="str">
        <f t="shared" si="29"/>
        <v>2029Q1</v>
      </c>
      <c r="L72" s="6"/>
      <c r="M72" s="9">
        <f t="shared" si="30"/>
        <v>951.79200000000003</v>
      </c>
      <c r="N72" s="6"/>
      <c r="O72" s="6"/>
      <c r="P72" s="9">
        <f t="shared" si="31"/>
        <v>11234.726000000001</v>
      </c>
      <c r="Q72" s="6"/>
    </row>
    <row r="73" spans="1:17" ht="15.5" thickTop="1" thickBot="1" x14ac:dyDescent="0.4">
      <c r="A73" s="7" t="str">
        <f t="shared" si="21"/>
        <v>2029Q2</v>
      </c>
      <c r="B73" s="6"/>
      <c r="C73" s="9">
        <f t="shared" si="27"/>
        <v>1033.7860000000001</v>
      </c>
      <c r="D73" s="6"/>
      <c r="E73" s="6"/>
      <c r="F73" s="9">
        <f t="shared" si="28"/>
        <v>13298.17</v>
      </c>
      <c r="G73" s="6"/>
      <c r="K73" s="7" t="str">
        <f t="shared" si="29"/>
        <v>2029Q2</v>
      </c>
      <c r="L73" s="6"/>
      <c r="M73" s="9">
        <f t="shared" si="30"/>
        <v>1008.486</v>
      </c>
      <c r="N73" s="6"/>
      <c r="O73" s="6"/>
      <c r="P73" s="9">
        <f t="shared" si="31"/>
        <v>11419.897999999999</v>
      </c>
      <c r="Q73" s="6"/>
    </row>
    <row r="74" spans="1:17" ht="15.5" thickTop="1" thickBot="1" x14ac:dyDescent="0.4">
      <c r="A74" s="7" t="str">
        <f t="shared" si="21"/>
        <v>2029Q3</v>
      </c>
      <c r="B74" s="6"/>
      <c r="C74" s="9">
        <f t="shared" si="27"/>
        <v>1039.829</v>
      </c>
      <c r="D74" s="6"/>
      <c r="E74" s="6"/>
      <c r="F74" s="9">
        <f t="shared" si="28"/>
        <v>13116.7</v>
      </c>
      <c r="G74" s="6"/>
      <c r="K74" s="7" t="str">
        <f t="shared" si="29"/>
        <v>2029Q3</v>
      </c>
      <c r="L74" s="6"/>
      <c r="M74" s="9">
        <f t="shared" si="30"/>
        <v>1014.529</v>
      </c>
      <c r="N74" s="6"/>
      <c r="O74" s="6"/>
      <c r="P74" s="9">
        <f t="shared" si="31"/>
        <v>11206.138999999999</v>
      </c>
      <c r="Q74" s="6"/>
    </row>
    <row r="75" spans="1:17" ht="15.5" thickTop="1" thickBot="1" x14ac:dyDescent="0.4">
      <c r="A75" s="7" t="str">
        <f t="shared" si="21"/>
        <v>2029Q4</v>
      </c>
      <c r="B75" s="6"/>
      <c r="C75" s="9">
        <f>ROUND(C35-((D35-C35)*(0.5/2)),3)</f>
        <v>1045.2560000000001</v>
      </c>
      <c r="D75" s="6"/>
      <c r="E75" s="6"/>
      <c r="F75" s="9">
        <f t="shared" si="28"/>
        <v>13230.24</v>
      </c>
      <c r="G75" s="6"/>
      <c r="K75" s="7" t="str">
        <f t="shared" si="29"/>
        <v>2029Q4</v>
      </c>
      <c r="L75" s="6"/>
      <c r="M75" s="9">
        <f t="shared" si="30"/>
        <v>1019.955</v>
      </c>
      <c r="N75" s="6"/>
      <c r="O75" s="6"/>
      <c r="P75" s="9">
        <f t="shared" si="31"/>
        <v>11287.925999999999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81640625" style="1" customWidth="1"/>
    <col min="4" max="5" width="12.1796875" style="1" bestFit="1" customWidth="1"/>
    <col min="6" max="6" width="19.81640625" style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3" t="s">
        <v>18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51">
        <v>768.75330975090128</v>
      </c>
      <c r="M3" s="51">
        <v>719.78489408109238</v>
      </c>
      <c r="N3" s="51">
        <v>817.72172542071019</v>
      </c>
      <c r="O3" s="1">
        <f t="shared" ref="O3:O34" si="0">ROUND(M3,3)</f>
        <v>719.78499999999997</v>
      </c>
      <c r="P3" s="1">
        <f t="shared" ref="P3:P34" si="1">ROUND(L3,3)</f>
        <v>768.75300000000004</v>
      </c>
      <c r="Q3" s="1">
        <f t="shared" ref="Q3:Q34" si="2">ROUND(N3,3)</f>
        <v>817.72199999999998</v>
      </c>
      <c r="R3" s="14" t="str">
        <f>K3</f>
        <v>2022Q1</v>
      </c>
      <c r="S3" s="68">
        <v>7575.5448397366881</v>
      </c>
      <c r="T3" s="68">
        <v>6762.3732883642369</v>
      </c>
      <c r="U3" s="68">
        <v>8388.7163911091393</v>
      </c>
      <c r="V3" s="1">
        <f t="shared" ref="V3:V34" si="3">ROUND(T3,3)</f>
        <v>6762.3729999999996</v>
      </c>
      <c r="W3" s="1">
        <f t="shared" ref="W3:W34" si="4">ROUND(S3,3)</f>
        <v>7575.5450000000001</v>
      </c>
      <c r="X3" s="1">
        <f t="shared" ref="X3:X34" si="5">ROUND(U3,3)</f>
        <v>8388.7160000000003</v>
      </c>
    </row>
    <row r="4" spans="1:30" ht="15.5" thickTop="1" thickBot="1" x14ac:dyDescent="0.4">
      <c r="A4" s="5" t="str">
        <f>K3</f>
        <v>2022Q1</v>
      </c>
      <c r="B4" s="2">
        <f>O3</f>
        <v>719.78499999999997</v>
      </c>
      <c r="C4" s="3">
        <f>P3</f>
        <v>768.75300000000004</v>
      </c>
      <c r="D4" s="2">
        <f>Q3</f>
        <v>817.72199999999998</v>
      </c>
      <c r="E4" s="2">
        <f>V3</f>
        <v>6762.3729999999996</v>
      </c>
      <c r="F4" s="3">
        <f>W3</f>
        <v>7575.5450000000001</v>
      </c>
      <c r="G4" s="2">
        <f>X3</f>
        <v>8388.7160000000003</v>
      </c>
      <c r="K4" s="14" t="s">
        <v>68</v>
      </c>
      <c r="L4" s="51">
        <v>808.61950432669812</v>
      </c>
      <c r="M4" s="51">
        <v>745.97153916782747</v>
      </c>
      <c r="N4" s="51">
        <v>871.26746948556877</v>
      </c>
      <c r="O4" s="1">
        <f t="shared" si="0"/>
        <v>745.97199999999998</v>
      </c>
      <c r="P4" s="1">
        <f t="shared" si="1"/>
        <v>808.62</v>
      </c>
      <c r="Q4" s="1">
        <f t="shared" si="2"/>
        <v>871.26700000000005</v>
      </c>
      <c r="R4" s="14" t="str">
        <f t="shared" ref="R4:R34" si="6">K4</f>
        <v>2022Q2</v>
      </c>
      <c r="S4" s="68">
        <v>7692.1761778635391</v>
      </c>
      <c r="T4" s="68">
        <v>6246.1025566318222</v>
      </c>
      <c r="U4" s="68">
        <v>9138.2497990952561</v>
      </c>
      <c r="V4" s="1">
        <f t="shared" si="3"/>
        <v>6246.1030000000001</v>
      </c>
      <c r="W4" s="1">
        <f t="shared" si="4"/>
        <v>7692.1760000000004</v>
      </c>
      <c r="X4" s="1">
        <f t="shared" si="5"/>
        <v>9138.25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745.97199999999998</v>
      </c>
      <c r="C5" s="3">
        <f t="shared" si="8"/>
        <v>808.62</v>
      </c>
      <c r="D5" s="2">
        <f t="shared" si="8"/>
        <v>871.26700000000005</v>
      </c>
      <c r="E5" s="2">
        <f t="shared" ref="E5:G20" si="9">V4</f>
        <v>6246.1030000000001</v>
      </c>
      <c r="F5" s="3">
        <f t="shared" si="9"/>
        <v>7692.1760000000004</v>
      </c>
      <c r="G5" s="2">
        <f t="shared" si="9"/>
        <v>9138.25</v>
      </c>
      <c r="I5" s="1">
        <f>SUM(F5:F8)</f>
        <v>30957.279999999999</v>
      </c>
      <c r="K5" s="14" t="s">
        <v>69</v>
      </c>
      <c r="L5" s="51">
        <v>808.12396019391485</v>
      </c>
      <c r="M5" s="51">
        <v>736.77721696000856</v>
      </c>
      <c r="N5" s="51">
        <v>879.47070342782115</v>
      </c>
      <c r="O5" s="1">
        <f t="shared" si="0"/>
        <v>736.77700000000004</v>
      </c>
      <c r="P5" s="1">
        <f t="shared" si="1"/>
        <v>808.12400000000002</v>
      </c>
      <c r="Q5" s="1">
        <f t="shared" si="2"/>
        <v>879.471</v>
      </c>
      <c r="R5" s="14" t="str">
        <f t="shared" si="6"/>
        <v>2022Q3</v>
      </c>
      <c r="S5" s="68">
        <v>7653.720609717514</v>
      </c>
      <c r="T5" s="68">
        <v>5701.6173677426323</v>
      </c>
      <c r="U5" s="68">
        <v>9605.8238516923939</v>
      </c>
      <c r="V5" s="1">
        <f t="shared" si="3"/>
        <v>5701.6170000000002</v>
      </c>
      <c r="W5" s="1">
        <f t="shared" si="4"/>
        <v>7653.7209999999995</v>
      </c>
      <c r="X5" s="1">
        <f t="shared" si="5"/>
        <v>9605.8240000000005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736.77700000000004</v>
      </c>
      <c r="C6" s="3">
        <f t="shared" si="8"/>
        <v>808.12400000000002</v>
      </c>
      <c r="D6" s="2">
        <f t="shared" si="8"/>
        <v>879.471</v>
      </c>
      <c r="E6" s="2">
        <f t="shared" si="9"/>
        <v>5701.6170000000002</v>
      </c>
      <c r="F6" s="3">
        <f t="shared" si="9"/>
        <v>7653.7209999999995</v>
      </c>
      <c r="G6" s="2">
        <f t="shared" si="9"/>
        <v>9605.8240000000005</v>
      </c>
      <c r="I6" s="1">
        <f>SUM(F9:F12)</f>
        <v>32106.729000000003</v>
      </c>
      <c r="K6" s="14" t="s">
        <v>70</v>
      </c>
      <c r="L6" s="51">
        <v>800.06540033574663</v>
      </c>
      <c r="M6" s="51">
        <v>722.73392495429744</v>
      </c>
      <c r="N6" s="51">
        <v>877.39687571719583</v>
      </c>
      <c r="O6" s="1">
        <f t="shared" si="0"/>
        <v>722.73400000000004</v>
      </c>
      <c r="P6" s="1">
        <f t="shared" si="1"/>
        <v>800.06500000000005</v>
      </c>
      <c r="Q6" s="1">
        <f t="shared" si="2"/>
        <v>877.39700000000005</v>
      </c>
      <c r="R6" s="14" t="str">
        <f t="shared" si="6"/>
        <v>2022Q4</v>
      </c>
      <c r="S6" s="68">
        <v>7772.6920871502398</v>
      </c>
      <c r="T6" s="68">
        <v>5401.3998214676894</v>
      </c>
      <c r="U6" s="68">
        <v>10143.984352832791</v>
      </c>
      <c r="V6" s="1">
        <f t="shared" si="3"/>
        <v>5401.4</v>
      </c>
      <c r="W6" s="1">
        <f t="shared" si="4"/>
        <v>7772.692</v>
      </c>
      <c r="X6" s="1">
        <f t="shared" si="5"/>
        <v>10143.984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722.73400000000004</v>
      </c>
      <c r="C7" s="3">
        <f t="shared" si="8"/>
        <v>800.06500000000005</v>
      </c>
      <c r="D7" s="2">
        <f t="shared" si="8"/>
        <v>877.39700000000005</v>
      </c>
      <c r="E7" s="2">
        <f t="shared" si="9"/>
        <v>5401.4</v>
      </c>
      <c r="F7" s="3">
        <f t="shared" si="9"/>
        <v>7772.692</v>
      </c>
      <c r="G7" s="2">
        <f t="shared" si="9"/>
        <v>10143.984</v>
      </c>
      <c r="I7" s="1">
        <f>SUM(F13:F16)</f>
        <v>33267.722000000002</v>
      </c>
      <c r="K7" s="14" t="s">
        <v>71</v>
      </c>
      <c r="L7" s="51">
        <v>752.33563226144031</v>
      </c>
      <c r="M7" s="51">
        <v>670.73035966195755</v>
      </c>
      <c r="N7" s="51">
        <v>833.94090486092307</v>
      </c>
      <c r="O7" s="1">
        <f t="shared" si="0"/>
        <v>670.73</v>
      </c>
      <c r="P7" s="1">
        <f t="shared" si="1"/>
        <v>752.33600000000001</v>
      </c>
      <c r="Q7" s="1">
        <f t="shared" si="2"/>
        <v>833.94100000000003</v>
      </c>
      <c r="R7" s="14" t="str">
        <f t="shared" si="6"/>
        <v>2023Q1</v>
      </c>
      <c r="S7" s="68">
        <v>7838.6905003305665</v>
      </c>
      <c r="T7" s="68">
        <v>5106.68852296155</v>
      </c>
      <c r="U7" s="68">
        <v>10570.692477699582</v>
      </c>
      <c r="V7" s="1">
        <f t="shared" si="3"/>
        <v>5106.6890000000003</v>
      </c>
      <c r="W7" s="1">
        <f t="shared" si="4"/>
        <v>7838.6909999999998</v>
      </c>
      <c r="X7" s="1">
        <f t="shared" si="5"/>
        <v>10570.691999999999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670.73</v>
      </c>
      <c r="C8" s="3">
        <f t="shared" si="8"/>
        <v>752.33600000000001</v>
      </c>
      <c r="D8" s="2">
        <f t="shared" si="8"/>
        <v>833.94100000000003</v>
      </c>
      <c r="E8" s="2">
        <f t="shared" si="9"/>
        <v>5106.6890000000003</v>
      </c>
      <c r="F8" s="3">
        <f t="shared" si="9"/>
        <v>7838.6909999999998</v>
      </c>
      <c r="G8" s="2">
        <f t="shared" si="9"/>
        <v>10570.691999999999</v>
      </c>
      <c r="I8" s="1">
        <f>SUM(F17:F20)</f>
        <v>34428.811000000002</v>
      </c>
      <c r="K8" s="14" t="s">
        <v>72</v>
      </c>
      <c r="L8" s="51">
        <v>796.7990098444883</v>
      </c>
      <c r="M8" s="51">
        <v>712.07614946962747</v>
      </c>
      <c r="N8" s="51">
        <v>881.52187021934913</v>
      </c>
      <c r="O8" s="1">
        <f t="shared" si="0"/>
        <v>712.07600000000002</v>
      </c>
      <c r="P8" s="1">
        <f t="shared" si="1"/>
        <v>796.79899999999998</v>
      </c>
      <c r="Q8" s="1">
        <f t="shared" si="2"/>
        <v>881.52200000000005</v>
      </c>
      <c r="R8" s="14" t="str">
        <f t="shared" si="6"/>
        <v>2023Q2</v>
      </c>
      <c r="S8" s="68">
        <v>7974.2560488498011</v>
      </c>
      <c r="T8" s="68">
        <v>4922.4877249400706</v>
      </c>
      <c r="U8" s="68">
        <v>11026.024372759532</v>
      </c>
      <c r="V8" s="1">
        <f t="shared" si="3"/>
        <v>4922.4880000000003</v>
      </c>
      <c r="W8" s="1">
        <f t="shared" si="4"/>
        <v>7974.2560000000003</v>
      </c>
      <c r="X8" s="1">
        <f t="shared" si="5"/>
        <v>11026.023999999999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712.07600000000002</v>
      </c>
      <c r="C9" s="3">
        <f t="shared" si="8"/>
        <v>796.79899999999998</v>
      </c>
      <c r="D9" s="2">
        <f t="shared" si="8"/>
        <v>881.52200000000005</v>
      </c>
      <c r="E9" s="2">
        <f t="shared" si="9"/>
        <v>4922.4880000000003</v>
      </c>
      <c r="F9" s="3">
        <f t="shared" si="9"/>
        <v>7974.2560000000003</v>
      </c>
      <c r="G9" s="2">
        <f t="shared" si="9"/>
        <v>11026.023999999999</v>
      </c>
      <c r="I9" s="1">
        <f>SUM(F21:F24)</f>
        <v>35589.900999999998</v>
      </c>
      <c r="K9" s="14" t="s">
        <v>73</v>
      </c>
      <c r="L9" s="51">
        <v>800.32012391060039</v>
      </c>
      <c r="M9" s="51">
        <v>713.29246739808025</v>
      </c>
      <c r="N9" s="51">
        <v>887.34778042312053</v>
      </c>
      <c r="O9" s="1">
        <f t="shared" si="0"/>
        <v>713.29200000000003</v>
      </c>
      <c r="P9" s="1">
        <f t="shared" si="1"/>
        <v>800.32</v>
      </c>
      <c r="Q9" s="1">
        <f t="shared" si="2"/>
        <v>887.34799999999996</v>
      </c>
      <c r="R9" s="14" t="str">
        <f t="shared" si="6"/>
        <v>2023Q3</v>
      </c>
      <c r="S9" s="68">
        <v>7941.5188071858638</v>
      </c>
      <c r="T9" s="68">
        <v>4600.0579649983911</v>
      </c>
      <c r="U9" s="68">
        <v>11282.979649373336</v>
      </c>
      <c r="V9" s="1">
        <f t="shared" si="3"/>
        <v>4600.058</v>
      </c>
      <c r="W9" s="1">
        <f t="shared" si="4"/>
        <v>7941.5190000000002</v>
      </c>
      <c r="X9" s="1">
        <f t="shared" si="5"/>
        <v>11282.98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713.29200000000003</v>
      </c>
      <c r="C10" s="3">
        <f t="shared" si="8"/>
        <v>800.32</v>
      </c>
      <c r="D10" s="2">
        <f t="shared" si="8"/>
        <v>887.34799999999996</v>
      </c>
      <c r="E10" s="2">
        <f t="shared" si="9"/>
        <v>4600.058</v>
      </c>
      <c r="F10" s="3">
        <f t="shared" si="9"/>
        <v>7941.5190000000002</v>
      </c>
      <c r="G10" s="2">
        <f t="shared" si="9"/>
        <v>11282.98</v>
      </c>
      <c r="I10" s="1">
        <f>SUM(F25:F28)</f>
        <v>36750.990999999995</v>
      </c>
      <c r="K10" s="14" t="s">
        <v>74</v>
      </c>
      <c r="L10" s="51">
        <v>795.77100517350675</v>
      </c>
      <c r="M10" s="51">
        <v>707.02417048834809</v>
      </c>
      <c r="N10" s="51">
        <v>884.51783985866541</v>
      </c>
      <c r="O10" s="1">
        <f t="shared" si="0"/>
        <v>707.024</v>
      </c>
      <c r="P10" s="1">
        <f t="shared" si="1"/>
        <v>795.77099999999996</v>
      </c>
      <c r="Q10" s="1">
        <f t="shared" si="2"/>
        <v>884.51800000000003</v>
      </c>
      <c r="R10" s="14" t="str">
        <f t="shared" si="6"/>
        <v>2023Q4</v>
      </c>
      <c r="S10" s="68">
        <v>8062.2172780911524</v>
      </c>
      <c r="T10" s="68">
        <v>4454.1400192285564</v>
      </c>
      <c r="U10" s="68">
        <v>11670.294536953748</v>
      </c>
      <c r="V10" s="1">
        <f t="shared" si="3"/>
        <v>4454.1400000000003</v>
      </c>
      <c r="W10" s="1">
        <f t="shared" si="4"/>
        <v>8062.2169999999996</v>
      </c>
      <c r="X10" s="1">
        <f t="shared" si="5"/>
        <v>11670.295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707.024</v>
      </c>
      <c r="C11" s="3">
        <f t="shared" si="8"/>
        <v>795.77099999999996</v>
      </c>
      <c r="D11" s="2">
        <f t="shared" si="8"/>
        <v>884.51800000000003</v>
      </c>
      <c r="E11" s="2">
        <f t="shared" si="9"/>
        <v>4454.1400000000003</v>
      </c>
      <c r="F11" s="3">
        <f t="shared" si="9"/>
        <v>8062.2169999999996</v>
      </c>
      <c r="G11" s="2">
        <f t="shared" si="9"/>
        <v>11670.295</v>
      </c>
      <c r="I11" s="1">
        <f>SUM(F29:F32)</f>
        <v>37912.080999999998</v>
      </c>
      <c r="K11" s="14" t="s">
        <v>75</v>
      </c>
      <c r="L11" s="51">
        <v>751.10751169176513</v>
      </c>
      <c r="M11" s="51">
        <v>661.07036628936612</v>
      </c>
      <c r="N11" s="51">
        <v>841.14465709416413</v>
      </c>
      <c r="O11" s="1">
        <f t="shared" si="0"/>
        <v>661.07</v>
      </c>
      <c r="P11" s="1">
        <f t="shared" si="1"/>
        <v>751.10799999999995</v>
      </c>
      <c r="Q11" s="1">
        <f t="shared" si="2"/>
        <v>841.14499999999998</v>
      </c>
      <c r="R11" s="14" t="str">
        <f t="shared" si="6"/>
        <v>2024Q1</v>
      </c>
      <c r="S11" s="68">
        <v>8128.7372610810389</v>
      </c>
      <c r="T11" s="68">
        <v>4272.4020629262523</v>
      </c>
      <c r="U11" s="68">
        <v>11985.072459235826</v>
      </c>
      <c r="V11" s="1">
        <f t="shared" si="3"/>
        <v>4272.402</v>
      </c>
      <c r="W11" s="1">
        <f t="shared" si="4"/>
        <v>8128.7370000000001</v>
      </c>
      <c r="X11" s="1">
        <f t="shared" si="5"/>
        <v>11985.072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661.07</v>
      </c>
      <c r="C12" s="3">
        <f t="shared" si="8"/>
        <v>751.10799999999995</v>
      </c>
      <c r="D12" s="2">
        <f t="shared" si="8"/>
        <v>841.14499999999998</v>
      </c>
      <c r="E12" s="2">
        <f t="shared" si="9"/>
        <v>4272.402</v>
      </c>
      <c r="F12" s="3">
        <f t="shared" si="9"/>
        <v>8128.7370000000001</v>
      </c>
      <c r="G12" s="2">
        <f t="shared" si="9"/>
        <v>11985.072</v>
      </c>
      <c r="K12" s="14" t="s">
        <v>76</v>
      </c>
      <c r="L12" s="51">
        <v>798.24995968877386</v>
      </c>
      <c r="M12" s="51">
        <v>707.24011685505798</v>
      </c>
      <c r="N12" s="51">
        <v>889.25980252248974</v>
      </c>
      <c r="O12" s="1">
        <f t="shared" si="0"/>
        <v>707.24</v>
      </c>
      <c r="P12" s="1">
        <f t="shared" si="1"/>
        <v>798.25</v>
      </c>
      <c r="Q12" s="1">
        <f t="shared" si="2"/>
        <v>889.26</v>
      </c>
      <c r="R12" s="14" t="str">
        <f t="shared" si="6"/>
        <v>2024Q2</v>
      </c>
      <c r="S12" s="68">
        <v>8264.4603290527593</v>
      </c>
      <c r="T12" s="68">
        <v>4174.9013173011854</v>
      </c>
      <c r="U12" s="68">
        <v>12354.019340804334</v>
      </c>
      <c r="V12" s="1">
        <f t="shared" si="3"/>
        <v>4174.9009999999998</v>
      </c>
      <c r="W12" s="1">
        <f t="shared" si="4"/>
        <v>8264.4599999999991</v>
      </c>
      <c r="X12" s="1">
        <f t="shared" si="5"/>
        <v>12354.019</v>
      </c>
    </row>
    <row r="13" spans="1:30" ht="15.5" thickTop="1" thickBot="1" x14ac:dyDescent="0.4">
      <c r="A13" s="5" t="str">
        <f t="shared" si="7"/>
        <v>2024Q2</v>
      </c>
      <c r="B13" s="2">
        <f t="shared" si="8"/>
        <v>707.24</v>
      </c>
      <c r="C13" s="3">
        <f t="shared" si="8"/>
        <v>798.25</v>
      </c>
      <c r="D13" s="2">
        <f t="shared" si="8"/>
        <v>889.26</v>
      </c>
      <c r="E13" s="2">
        <f t="shared" si="9"/>
        <v>4174.9009999999998</v>
      </c>
      <c r="F13" s="3">
        <f t="shared" si="9"/>
        <v>8264.4599999999991</v>
      </c>
      <c r="G13" s="2">
        <f t="shared" si="9"/>
        <v>12354.019</v>
      </c>
      <c r="K13" s="14" t="s">
        <v>77</v>
      </c>
      <c r="L13" s="51">
        <v>804.11183550543626</v>
      </c>
      <c r="M13" s="51">
        <v>712.36638664186239</v>
      </c>
      <c r="N13" s="51">
        <v>895.85728436901013</v>
      </c>
      <c r="O13" s="1">
        <f t="shared" si="0"/>
        <v>712.36599999999999</v>
      </c>
      <c r="P13" s="1">
        <f t="shared" si="1"/>
        <v>804.11199999999997</v>
      </c>
      <c r="Q13" s="1">
        <f t="shared" si="2"/>
        <v>895.85699999999997</v>
      </c>
      <c r="R13" s="14" t="str">
        <f t="shared" si="6"/>
        <v>2024Q3</v>
      </c>
      <c r="S13" s="68">
        <v>8231.7706598852674</v>
      </c>
      <c r="T13" s="68">
        <v>3921.5866226870971</v>
      </c>
      <c r="U13" s="68">
        <v>12541.954697083438</v>
      </c>
      <c r="V13" s="1">
        <f t="shared" si="3"/>
        <v>3921.587</v>
      </c>
      <c r="W13" s="1">
        <f t="shared" si="4"/>
        <v>8231.7710000000006</v>
      </c>
      <c r="X13" s="1">
        <f t="shared" si="5"/>
        <v>12541.955</v>
      </c>
    </row>
    <row r="14" spans="1:30" ht="15.5" thickTop="1" thickBot="1" x14ac:dyDescent="0.4">
      <c r="A14" s="5" t="str">
        <f t="shared" si="7"/>
        <v>2024Q3</v>
      </c>
      <c r="B14" s="2">
        <f t="shared" si="8"/>
        <v>712.36599999999999</v>
      </c>
      <c r="C14" s="3">
        <f t="shared" si="8"/>
        <v>804.11199999999997</v>
      </c>
      <c r="D14" s="2">
        <f t="shared" si="8"/>
        <v>895.85699999999997</v>
      </c>
      <c r="E14" s="2">
        <f t="shared" si="9"/>
        <v>3921.587</v>
      </c>
      <c r="F14" s="3">
        <f t="shared" si="9"/>
        <v>8231.7710000000006</v>
      </c>
      <c r="G14" s="2">
        <f t="shared" si="9"/>
        <v>12541.955</v>
      </c>
      <c r="K14" s="14" t="s">
        <v>82</v>
      </c>
      <c r="L14" s="51">
        <v>801.60789092438085</v>
      </c>
      <c r="M14" s="51">
        <v>709.30483391048551</v>
      </c>
      <c r="N14" s="51">
        <v>893.91094793827619</v>
      </c>
      <c r="O14" s="1">
        <f t="shared" si="0"/>
        <v>709.30499999999995</v>
      </c>
      <c r="P14" s="1">
        <f t="shared" si="1"/>
        <v>801.60799999999995</v>
      </c>
      <c r="Q14" s="1">
        <f t="shared" si="2"/>
        <v>893.91099999999994</v>
      </c>
      <c r="R14" s="14" t="str">
        <f t="shared" si="6"/>
        <v>2024Q4</v>
      </c>
      <c r="S14" s="68">
        <v>8352.4834981742843</v>
      </c>
      <c r="T14" s="68">
        <v>3832.4296783189407</v>
      </c>
      <c r="U14" s="68">
        <v>12872.537318029626</v>
      </c>
      <c r="V14" s="1">
        <f t="shared" si="3"/>
        <v>3832.43</v>
      </c>
      <c r="W14" s="1">
        <f t="shared" si="4"/>
        <v>8352.4830000000002</v>
      </c>
      <c r="X14" s="1">
        <f t="shared" si="5"/>
        <v>12872.537</v>
      </c>
    </row>
    <row r="15" spans="1:30" ht="15.5" thickTop="1" thickBot="1" x14ac:dyDescent="0.4">
      <c r="A15" s="5" t="str">
        <f t="shared" si="7"/>
        <v>2024Q4</v>
      </c>
      <c r="B15" s="2">
        <f t="shared" si="8"/>
        <v>709.30499999999995</v>
      </c>
      <c r="C15" s="3">
        <f t="shared" si="8"/>
        <v>801.60799999999995</v>
      </c>
      <c r="D15" s="2">
        <f t="shared" si="8"/>
        <v>893.91099999999994</v>
      </c>
      <c r="E15" s="2">
        <f t="shared" si="9"/>
        <v>3832.43</v>
      </c>
      <c r="F15" s="3">
        <f t="shared" si="9"/>
        <v>8352.4830000000002</v>
      </c>
      <c r="G15" s="2">
        <f t="shared" si="9"/>
        <v>12872.537</v>
      </c>
      <c r="K15" s="14" t="s">
        <v>79</v>
      </c>
      <c r="L15" s="51">
        <v>758.73131032582478</v>
      </c>
      <c r="M15" s="51">
        <v>666.0048380257299</v>
      </c>
      <c r="N15" s="51">
        <v>851.45778262591966</v>
      </c>
      <c r="O15" s="1">
        <f t="shared" si="0"/>
        <v>666.005</v>
      </c>
      <c r="P15" s="1">
        <f t="shared" si="1"/>
        <v>758.73099999999999</v>
      </c>
      <c r="Q15" s="1">
        <f t="shared" si="2"/>
        <v>851.45799999999997</v>
      </c>
      <c r="R15" s="14" t="str">
        <f t="shared" si="6"/>
        <v>2025Q1</v>
      </c>
      <c r="S15" s="68">
        <v>8419.0078202619788</v>
      </c>
      <c r="T15" s="68">
        <v>3698.4052506457642</v>
      </c>
      <c r="U15" s="68">
        <v>13139.610389878193</v>
      </c>
      <c r="V15" s="1">
        <f t="shared" si="3"/>
        <v>3698.4050000000002</v>
      </c>
      <c r="W15" s="1">
        <f t="shared" si="4"/>
        <v>8419.0079999999998</v>
      </c>
      <c r="X15" s="1">
        <f t="shared" si="5"/>
        <v>13139.61</v>
      </c>
    </row>
    <row r="16" spans="1:30" ht="15.5" thickTop="1" thickBot="1" x14ac:dyDescent="0.4">
      <c r="A16" s="5" t="str">
        <f t="shared" si="7"/>
        <v>2025Q1</v>
      </c>
      <c r="B16" s="2">
        <f t="shared" si="8"/>
        <v>666.005</v>
      </c>
      <c r="C16" s="3">
        <f t="shared" si="8"/>
        <v>758.73099999999999</v>
      </c>
      <c r="D16" s="2">
        <f t="shared" si="8"/>
        <v>851.45799999999997</v>
      </c>
      <c r="E16" s="2">
        <f t="shared" si="9"/>
        <v>3698.4050000000002</v>
      </c>
      <c r="F16" s="3">
        <f t="shared" si="9"/>
        <v>8419.0079999999998</v>
      </c>
      <c r="G16" s="2">
        <f t="shared" si="9"/>
        <v>13139.61</v>
      </c>
      <c r="K16" s="14" t="s">
        <v>80</v>
      </c>
      <c r="L16" s="51">
        <v>807.43502274751245</v>
      </c>
      <c r="M16" s="51">
        <v>714.38661651187022</v>
      </c>
      <c r="N16" s="51">
        <v>900.48342898315468</v>
      </c>
      <c r="O16" s="1">
        <f t="shared" si="0"/>
        <v>714.38699999999994</v>
      </c>
      <c r="P16" s="1">
        <f t="shared" si="1"/>
        <v>807.43499999999995</v>
      </c>
      <c r="Q16" s="1">
        <f t="shared" si="2"/>
        <v>900.48299999999995</v>
      </c>
      <c r="R16" s="14" t="str">
        <f t="shared" si="6"/>
        <v>2025Q2</v>
      </c>
      <c r="S16" s="68">
        <v>8554.7321986859133</v>
      </c>
      <c r="T16" s="68">
        <v>3641.7604599171641</v>
      </c>
      <c r="U16" s="68">
        <v>13467.703937454662</v>
      </c>
      <c r="V16" s="1">
        <f t="shared" si="3"/>
        <v>3641.76</v>
      </c>
      <c r="W16" s="1">
        <f t="shared" si="4"/>
        <v>8554.732</v>
      </c>
      <c r="X16" s="1">
        <f t="shared" si="5"/>
        <v>13467.704</v>
      </c>
    </row>
    <row r="17" spans="1:24" ht="15.5" thickTop="1" thickBot="1" x14ac:dyDescent="0.4">
      <c r="A17" s="5" t="str">
        <f t="shared" si="7"/>
        <v>2025Q2</v>
      </c>
      <c r="B17" s="2">
        <f t="shared" si="8"/>
        <v>714.38699999999994</v>
      </c>
      <c r="C17" s="3">
        <f t="shared" si="8"/>
        <v>807.43499999999995</v>
      </c>
      <c r="D17" s="2">
        <f t="shared" si="8"/>
        <v>900.48299999999995</v>
      </c>
      <c r="E17" s="2">
        <f t="shared" si="9"/>
        <v>3641.76</v>
      </c>
      <c r="F17" s="3">
        <f t="shared" si="9"/>
        <v>8554.732</v>
      </c>
      <c r="G17" s="2">
        <f t="shared" si="9"/>
        <v>13467.704</v>
      </c>
      <c r="K17" s="14" t="s">
        <v>81</v>
      </c>
      <c r="L17" s="51">
        <v>814.66100905143151</v>
      </c>
      <c r="M17" s="51">
        <v>721.36758956848678</v>
      </c>
      <c r="N17" s="51">
        <v>907.95442853437623</v>
      </c>
      <c r="O17" s="1">
        <f t="shared" si="0"/>
        <v>721.36800000000005</v>
      </c>
      <c r="P17" s="1">
        <f t="shared" si="1"/>
        <v>814.66099999999994</v>
      </c>
      <c r="Q17" s="1">
        <f t="shared" si="2"/>
        <v>907.95399999999995</v>
      </c>
      <c r="R17" s="14" t="str">
        <f t="shared" si="6"/>
        <v>2025Q3</v>
      </c>
      <c r="S17" s="68">
        <v>8522.0429252884824</v>
      </c>
      <c r="T17" s="68">
        <v>3423.9556199593676</v>
      </c>
      <c r="U17" s="68">
        <v>13620.130230617597</v>
      </c>
      <c r="V17" s="1">
        <f t="shared" si="3"/>
        <v>3423.9560000000001</v>
      </c>
      <c r="W17" s="1">
        <f t="shared" si="4"/>
        <v>8522.0429999999997</v>
      </c>
      <c r="X17" s="1">
        <f t="shared" si="5"/>
        <v>13620.13</v>
      </c>
    </row>
    <row r="18" spans="1:24" ht="15.5" thickTop="1" thickBot="1" x14ac:dyDescent="0.4">
      <c r="A18" s="5" t="str">
        <f t="shared" si="7"/>
        <v>2025Q3</v>
      </c>
      <c r="B18" s="2">
        <f t="shared" si="8"/>
        <v>721.36800000000005</v>
      </c>
      <c r="C18" s="3">
        <f t="shared" si="8"/>
        <v>814.66099999999994</v>
      </c>
      <c r="D18" s="2">
        <f t="shared" si="8"/>
        <v>907.95399999999995</v>
      </c>
      <c r="E18" s="2">
        <f t="shared" si="9"/>
        <v>3423.9560000000001</v>
      </c>
      <c r="F18" s="3">
        <f t="shared" si="9"/>
        <v>8522.0429999999997</v>
      </c>
      <c r="G18" s="2">
        <f t="shared" si="9"/>
        <v>13620.13</v>
      </c>
      <c r="K18" s="14" t="s">
        <v>78</v>
      </c>
      <c r="L18" s="51">
        <v>813.34891729942296</v>
      </c>
      <c r="M18" s="51">
        <v>719.86888952108529</v>
      </c>
      <c r="N18" s="51">
        <v>906.82894507776064</v>
      </c>
      <c r="O18" s="1">
        <f t="shared" si="0"/>
        <v>719.86900000000003</v>
      </c>
      <c r="P18" s="1">
        <f t="shared" si="1"/>
        <v>813.34900000000005</v>
      </c>
      <c r="Q18" s="1">
        <f t="shared" si="2"/>
        <v>906.82899999999995</v>
      </c>
      <c r="R18" s="14" t="str">
        <f t="shared" si="6"/>
        <v>2025Q4</v>
      </c>
      <c r="S18" s="68">
        <v>8642.7558831041297</v>
      </c>
      <c r="T18" s="68">
        <v>3366.0431664326247</v>
      </c>
      <c r="U18" s="68">
        <v>13919.468599775635</v>
      </c>
      <c r="V18" s="1">
        <f t="shared" si="3"/>
        <v>3366.0430000000001</v>
      </c>
      <c r="W18" s="1">
        <f t="shared" si="4"/>
        <v>8642.7559999999994</v>
      </c>
      <c r="X18" s="1">
        <f t="shared" si="5"/>
        <v>13919.468999999999</v>
      </c>
    </row>
    <row r="19" spans="1:24" ht="15.5" thickTop="1" thickBot="1" x14ac:dyDescent="0.4">
      <c r="A19" s="5" t="str">
        <f t="shared" si="7"/>
        <v>2025Q4</v>
      </c>
      <c r="B19" s="2">
        <f t="shared" si="8"/>
        <v>719.86900000000003</v>
      </c>
      <c r="C19" s="3">
        <f t="shared" si="8"/>
        <v>813.34900000000005</v>
      </c>
      <c r="D19" s="2">
        <f t="shared" si="8"/>
        <v>906.82899999999995</v>
      </c>
      <c r="E19" s="2">
        <f t="shared" si="9"/>
        <v>3366.0430000000001</v>
      </c>
      <c r="F19" s="3">
        <f t="shared" si="9"/>
        <v>8642.7559999999994</v>
      </c>
      <c r="G19" s="2">
        <f t="shared" si="9"/>
        <v>13919.468999999999</v>
      </c>
      <c r="K19" s="14" t="s">
        <v>90</v>
      </c>
      <c r="L19" s="51">
        <v>771.51368428918715</v>
      </c>
      <c r="M19" s="51">
        <v>677.89145205175612</v>
      </c>
      <c r="N19" s="51">
        <v>865.13591652661819</v>
      </c>
      <c r="O19" s="1">
        <f t="shared" si="0"/>
        <v>677.89099999999996</v>
      </c>
      <c r="P19" s="1">
        <f t="shared" si="1"/>
        <v>771.51400000000001</v>
      </c>
      <c r="Q19" s="1">
        <f t="shared" si="2"/>
        <v>865.13599999999997</v>
      </c>
      <c r="R19" s="14" t="str">
        <f t="shared" si="6"/>
        <v>2026Q1</v>
      </c>
      <c r="S19" s="68">
        <v>8709.2802412901001</v>
      </c>
      <c r="T19" s="68">
        <v>3259.7940240096245</v>
      </c>
      <c r="U19" s="68">
        <v>14158.766458570577</v>
      </c>
      <c r="V19" s="1">
        <f t="shared" si="3"/>
        <v>3259.7939999999999</v>
      </c>
      <c r="W19" s="1">
        <f t="shared" si="4"/>
        <v>8709.2800000000007</v>
      </c>
      <c r="X19" s="1">
        <f t="shared" si="5"/>
        <v>14158.766</v>
      </c>
    </row>
    <row r="20" spans="1:24" ht="15.5" thickTop="1" thickBot="1" x14ac:dyDescent="0.4">
      <c r="A20" s="5" t="str">
        <f t="shared" si="7"/>
        <v>2026Q1</v>
      </c>
      <c r="B20" s="2">
        <f t="shared" si="8"/>
        <v>677.89099999999996</v>
      </c>
      <c r="C20" s="3">
        <f t="shared" si="8"/>
        <v>771.51400000000001</v>
      </c>
      <c r="D20" s="2">
        <f t="shared" si="8"/>
        <v>865.13599999999997</v>
      </c>
      <c r="E20" s="2">
        <f t="shared" si="9"/>
        <v>3259.7939999999999</v>
      </c>
      <c r="F20" s="3">
        <f t="shared" si="9"/>
        <v>8709.2800000000007</v>
      </c>
      <c r="G20" s="2">
        <f t="shared" si="9"/>
        <v>14158.766</v>
      </c>
      <c r="K20" s="14" t="s">
        <v>91</v>
      </c>
      <c r="L20" s="51">
        <v>821.1272446159785</v>
      </c>
      <c r="M20" s="51">
        <v>727.3966002053578</v>
      </c>
      <c r="N20" s="51">
        <v>914.8578890265992</v>
      </c>
      <c r="O20" s="1">
        <f t="shared" si="0"/>
        <v>727.39700000000005</v>
      </c>
      <c r="P20" s="1">
        <f t="shared" si="1"/>
        <v>821.12699999999995</v>
      </c>
      <c r="Q20" s="1">
        <f t="shared" si="2"/>
        <v>914.85799999999995</v>
      </c>
      <c r="R20" s="14" t="str">
        <f t="shared" si="6"/>
        <v>2026Q2</v>
      </c>
      <c r="S20" s="68">
        <v>8845.0046306160839</v>
      </c>
      <c r="T20" s="68">
        <v>3228.0567961274241</v>
      </c>
      <c r="U20" s="68">
        <v>14461.952465104743</v>
      </c>
      <c r="V20" s="1">
        <f t="shared" si="3"/>
        <v>3228.0569999999998</v>
      </c>
      <c r="W20" s="1">
        <f t="shared" si="4"/>
        <v>8845.0049999999992</v>
      </c>
      <c r="X20" s="1">
        <f t="shared" si="5"/>
        <v>14461.951999999999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727.39700000000005</v>
      </c>
      <c r="C21" s="3">
        <f t="shared" si="10"/>
        <v>821.12699999999995</v>
      </c>
      <c r="D21" s="2">
        <f t="shared" si="10"/>
        <v>914.85799999999995</v>
      </c>
      <c r="E21" s="2">
        <f t="shared" ref="E21:G35" si="11">V20</f>
        <v>3228.0569999999998</v>
      </c>
      <c r="F21" s="3">
        <f t="shared" si="11"/>
        <v>8845.0049999999992</v>
      </c>
      <c r="G21" s="2">
        <f t="shared" si="11"/>
        <v>14461.951999999999</v>
      </c>
      <c r="K21" s="14" t="s">
        <v>92</v>
      </c>
      <c r="L21" s="51">
        <v>829.1481847083412</v>
      </c>
      <c r="M21" s="51">
        <v>735.33486391067208</v>
      </c>
      <c r="N21" s="51">
        <v>922.96150550601033</v>
      </c>
      <c r="O21" s="1">
        <f t="shared" si="0"/>
        <v>735.33500000000004</v>
      </c>
      <c r="P21" s="1">
        <f t="shared" si="1"/>
        <v>829.14800000000002</v>
      </c>
      <c r="Q21" s="1">
        <f t="shared" si="2"/>
        <v>922.96199999999999</v>
      </c>
      <c r="R21" s="14" t="str">
        <f t="shared" si="6"/>
        <v>2026Q3</v>
      </c>
      <c r="S21" s="68">
        <v>8812.3153605111838</v>
      </c>
      <c r="T21" s="68">
        <v>3032.7560416780602</v>
      </c>
      <c r="U21" s="68">
        <v>14591.874679344308</v>
      </c>
      <c r="V21" s="1">
        <f t="shared" si="3"/>
        <v>3032.7559999999999</v>
      </c>
      <c r="W21" s="1">
        <f t="shared" si="4"/>
        <v>8812.3150000000005</v>
      </c>
      <c r="X21" s="1">
        <f t="shared" si="5"/>
        <v>14591.875</v>
      </c>
    </row>
    <row r="22" spans="1:24" ht="15.5" thickTop="1" thickBot="1" x14ac:dyDescent="0.4">
      <c r="A22" s="5" t="str">
        <f t="shared" si="7"/>
        <v>2026Q3</v>
      </c>
      <c r="B22" s="2">
        <f t="shared" si="10"/>
        <v>735.33500000000004</v>
      </c>
      <c r="C22" s="3">
        <f t="shared" si="10"/>
        <v>829.14800000000002</v>
      </c>
      <c r="D22" s="2">
        <f t="shared" si="10"/>
        <v>922.96199999999999</v>
      </c>
      <c r="E22" s="2">
        <f t="shared" si="11"/>
        <v>3032.7559999999999</v>
      </c>
      <c r="F22" s="3">
        <f t="shared" si="11"/>
        <v>8812.3150000000005</v>
      </c>
      <c r="G22" s="2">
        <f t="shared" si="11"/>
        <v>14591.875</v>
      </c>
      <c r="K22" s="14" t="s">
        <v>93</v>
      </c>
      <c r="L22" s="51">
        <v>828.53066127068041</v>
      </c>
      <c r="M22" s="51">
        <v>734.65427519777575</v>
      </c>
      <c r="N22" s="51">
        <v>922.40704734358508</v>
      </c>
      <c r="O22" s="1">
        <f t="shared" si="0"/>
        <v>734.654</v>
      </c>
      <c r="P22" s="1">
        <f t="shared" si="1"/>
        <v>828.53099999999995</v>
      </c>
      <c r="Q22" s="1">
        <f t="shared" si="2"/>
        <v>922.40700000000004</v>
      </c>
      <c r="R22" s="14" t="str">
        <f t="shared" si="6"/>
        <v>2026Q4</v>
      </c>
      <c r="S22" s="68">
        <v>8933.0283193212108</v>
      </c>
      <c r="T22" s="68">
        <v>2995.309155794705</v>
      </c>
      <c r="U22" s="68">
        <v>14870.747482847717</v>
      </c>
      <c r="V22" s="1">
        <f t="shared" si="3"/>
        <v>2995.3090000000002</v>
      </c>
      <c r="W22" s="1">
        <f t="shared" si="4"/>
        <v>8933.0280000000002</v>
      </c>
      <c r="X22" s="1">
        <f t="shared" si="5"/>
        <v>14870.746999999999</v>
      </c>
    </row>
    <row r="23" spans="1:24" ht="15.5" thickTop="1" thickBot="1" x14ac:dyDescent="0.4">
      <c r="A23" s="5" t="str">
        <f t="shared" si="7"/>
        <v>2026Q4</v>
      </c>
      <c r="B23" s="2">
        <f t="shared" si="10"/>
        <v>734.654</v>
      </c>
      <c r="C23" s="3">
        <f t="shared" si="10"/>
        <v>828.53099999999995</v>
      </c>
      <c r="D23" s="2">
        <f t="shared" si="10"/>
        <v>922.40700000000004</v>
      </c>
      <c r="E23" s="2">
        <f t="shared" si="11"/>
        <v>2995.3090000000002</v>
      </c>
      <c r="F23" s="3">
        <f t="shared" si="11"/>
        <v>8933.0280000000002</v>
      </c>
      <c r="G23" s="2">
        <f t="shared" si="11"/>
        <v>14870.746999999999</v>
      </c>
      <c r="K23" s="14" t="s">
        <v>94</v>
      </c>
      <c r="L23" s="51">
        <v>787.30228761542742</v>
      </c>
      <c r="M23" s="51">
        <v>693.37778667657824</v>
      </c>
      <c r="N23" s="51">
        <v>881.2267885542766</v>
      </c>
      <c r="O23" s="1">
        <f t="shared" si="0"/>
        <v>693.37800000000004</v>
      </c>
      <c r="P23" s="1">
        <f t="shared" si="1"/>
        <v>787.30200000000002</v>
      </c>
      <c r="Q23" s="1">
        <f t="shared" si="2"/>
        <v>881.22699999999998</v>
      </c>
      <c r="R23" s="14" t="str">
        <f t="shared" si="6"/>
        <v>2027Q1</v>
      </c>
      <c r="S23" s="68">
        <v>8999.5526778074927</v>
      </c>
      <c r="T23" s="68">
        <v>2907.7785675793043</v>
      </c>
      <c r="U23" s="68">
        <v>15091.326788035682</v>
      </c>
      <c r="V23" s="1">
        <f t="shared" si="3"/>
        <v>2907.779</v>
      </c>
      <c r="W23" s="1">
        <f t="shared" si="4"/>
        <v>8999.5529999999999</v>
      </c>
      <c r="X23" s="1">
        <f t="shared" si="5"/>
        <v>15091.326999999999</v>
      </c>
    </row>
    <row r="24" spans="1:24" ht="15.5" thickTop="1" thickBot="1" x14ac:dyDescent="0.4">
      <c r="A24" s="5" t="str">
        <f t="shared" si="7"/>
        <v>2027Q1</v>
      </c>
      <c r="B24" s="2">
        <f t="shared" si="10"/>
        <v>693.37800000000004</v>
      </c>
      <c r="C24" s="3">
        <f t="shared" si="10"/>
        <v>787.30200000000002</v>
      </c>
      <c r="D24" s="2">
        <f t="shared" si="10"/>
        <v>881.22699999999998</v>
      </c>
      <c r="E24" s="2">
        <f t="shared" si="11"/>
        <v>2907.779</v>
      </c>
      <c r="F24" s="3">
        <f t="shared" si="11"/>
        <v>8999.5529999999999</v>
      </c>
      <c r="G24" s="2">
        <f t="shared" si="11"/>
        <v>15091.326999999999</v>
      </c>
      <c r="K24" s="14" t="s">
        <v>95</v>
      </c>
      <c r="L24" s="51">
        <v>837.44607408286254</v>
      </c>
      <c r="M24" s="51">
        <v>743.48485934520227</v>
      </c>
      <c r="N24" s="51">
        <v>931.40728882052281</v>
      </c>
      <c r="O24" s="1">
        <f t="shared" si="0"/>
        <v>743.48500000000001</v>
      </c>
      <c r="P24" s="1">
        <f t="shared" si="1"/>
        <v>837.44600000000003</v>
      </c>
      <c r="Q24" s="1">
        <f t="shared" si="2"/>
        <v>931.40700000000004</v>
      </c>
      <c r="R24" s="14" t="str">
        <f t="shared" si="6"/>
        <v>2027Q2</v>
      </c>
      <c r="S24" s="68">
        <v>9135.277067224175</v>
      </c>
      <c r="T24" s="68">
        <v>2893.2489709060787</v>
      </c>
      <c r="U24" s="68">
        <v>15377.305163542271</v>
      </c>
      <c r="V24" s="1">
        <f t="shared" si="3"/>
        <v>2893.2489999999998</v>
      </c>
      <c r="W24" s="1">
        <f t="shared" si="4"/>
        <v>9135.277</v>
      </c>
      <c r="X24" s="1">
        <f t="shared" si="5"/>
        <v>15377.305</v>
      </c>
    </row>
    <row r="25" spans="1:24" ht="15.5" thickTop="1" thickBot="1" x14ac:dyDescent="0.4">
      <c r="A25" s="5" t="str">
        <f t="shared" si="7"/>
        <v>2027Q2</v>
      </c>
      <c r="B25" s="2">
        <f t="shared" si="10"/>
        <v>743.48500000000001</v>
      </c>
      <c r="C25" s="3">
        <f t="shared" si="10"/>
        <v>837.44600000000003</v>
      </c>
      <c r="D25" s="2">
        <f t="shared" si="10"/>
        <v>931.40700000000004</v>
      </c>
      <c r="E25" s="2">
        <f t="shared" si="11"/>
        <v>2893.2489999999998</v>
      </c>
      <c r="F25" s="3">
        <f t="shared" si="11"/>
        <v>9135.277</v>
      </c>
      <c r="G25" s="2">
        <f t="shared" si="11"/>
        <v>15377.305</v>
      </c>
      <c r="K25" s="14" t="s">
        <v>96</v>
      </c>
      <c r="L25" s="51">
        <v>845.93028421945132</v>
      </c>
      <c r="M25" s="51">
        <v>751.94105220681581</v>
      </c>
      <c r="N25" s="51">
        <v>939.91951623208683</v>
      </c>
      <c r="O25" s="1">
        <f t="shared" si="0"/>
        <v>751.94100000000003</v>
      </c>
      <c r="P25" s="1">
        <f t="shared" si="1"/>
        <v>845.93</v>
      </c>
      <c r="Q25" s="1">
        <f t="shared" si="2"/>
        <v>939.92</v>
      </c>
      <c r="R25" s="14" t="str">
        <f t="shared" si="6"/>
        <v>2027Q3</v>
      </c>
      <c r="S25" s="68">
        <v>9102.5877971466653</v>
      </c>
      <c r="T25" s="68">
        <v>2713.8384907162504</v>
      </c>
      <c r="U25" s="68">
        <v>15491.33710357708</v>
      </c>
      <c r="V25" s="1">
        <f t="shared" si="3"/>
        <v>2713.8380000000002</v>
      </c>
      <c r="W25" s="1">
        <f t="shared" si="4"/>
        <v>9102.5879999999997</v>
      </c>
      <c r="X25" s="1">
        <f t="shared" si="5"/>
        <v>15491.337</v>
      </c>
    </row>
    <row r="26" spans="1:24" ht="15.5" thickTop="1" thickBot="1" x14ac:dyDescent="0.4">
      <c r="A26" s="5" t="str">
        <f t="shared" si="7"/>
        <v>2027Q3</v>
      </c>
      <c r="B26" s="2">
        <f t="shared" si="10"/>
        <v>751.94100000000003</v>
      </c>
      <c r="C26" s="3">
        <f t="shared" si="10"/>
        <v>845.93</v>
      </c>
      <c r="D26" s="2">
        <f t="shared" si="10"/>
        <v>939.92</v>
      </c>
      <c r="E26" s="2">
        <f t="shared" si="11"/>
        <v>2713.8380000000002</v>
      </c>
      <c r="F26" s="3">
        <f t="shared" si="11"/>
        <v>9102.5879999999997</v>
      </c>
      <c r="G26" s="2">
        <f t="shared" si="11"/>
        <v>15491.337</v>
      </c>
      <c r="K26" s="14" t="s">
        <v>97</v>
      </c>
      <c r="L26" s="51">
        <v>845.71752983677675</v>
      </c>
      <c r="M26" s="51">
        <v>751.70691535135359</v>
      </c>
      <c r="N26" s="51">
        <v>939.72814432219991</v>
      </c>
      <c r="O26" s="1">
        <f t="shared" si="0"/>
        <v>751.70699999999999</v>
      </c>
      <c r="P26" s="1">
        <f t="shared" si="1"/>
        <v>845.71799999999996</v>
      </c>
      <c r="Q26" s="1">
        <f t="shared" si="2"/>
        <v>939.72799999999995</v>
      </c>
      <c r="R26" s="14" t="str">
        <f t="shared" si="6"/>
        <v>2027Q4</v>
      </c>
      <c r="S26" s="68">
        <v>9223.300755964965</v>
      </c>
      <c r="T26" s="68">
        <v>2691.1249587585321</v>
      </c>
      <c r="U26" s="68">
        <v>15755.476553171397</v>
      </c>
      <c r="V26" s="1">
        <f t="shared" si="3"/>
        <v>2691.125</v>
      </c>
      <c r="W26" s="1">
        <f t="shared" si="4"/>
        <v>9223.3009999999995</v>
      </c>
      <c r="X26" s="1">
        <f t="shared" si="5"/>
        <v>15755.477000000001</v>
      </c>
    </row>
    <row r="27" spans="1:24" ht="15.5" thickTop="1" thickBot="1" x14ac:dyDescent="0.4">
      <c r="A27" s="5" t="str">
        <f t="shared" si="7"/>
        <v>2027Q4</v>
      </c>
      <c r="B27" s="2">
        <f t="shared" si="10"/>
        <v>751.70699999999999</v>
      </c>
      <c r="C27" s="3">
        <f t="shared" si="10"/>
        <v>845.71799999999996</v>
      </c>
      <c r="D27" s="2">
        <f t="shared" si="10"/>
        <v>939.72799999999995</v>
      </c>
      <c r="E27" s="2">
        <f t="shared" si="11"/>
        <v>2691.125</v>
      </c>
      <c r="F27" s="3">
        <f t="shared" si="11"/>
        <v>9223.3009999999995</v>
      </c>
      <c r="G27" s="2">
        <f t="shared" si="11"/>
        <v>15755.477000000001</v>
      </c>
      <c r="K27" s="14" t="s">
        <v>98</v>
      </c>
      <c r="L27" s="51">
        <v>804.84281165723689</v>
      </c>
      <c r="M27" s="51">
        <v>710.81587729000842</v>
      </c>
      <c r="N27" s="51">
        <v>898.86974602446537</v>
      </c>
      <c r="O27" s="1">
        <f t="shared" si="0"/>
        <v>710.81600000000003</v>
      </c>
      <c r="P27" s="1">
        <f t="shared" si="1"/>
        <v>804.84299999999996</v>
      </c>
      <c r="Q27" s="1">
        <f t="shared" si="2"/>
        <v>898.87</v>
      </c>
      <c r="R27" s="14" t="str">
        <f t="shared" si="6"/>
        <v>2028Q1</v>
      </c>
      <c r="S27" s="68">
        <v>9289.8251144537462</v>
      </c>
      <c r="T27" s="68">
        <v>2617.3050814523463</v>
      </c>
      <c r="U27" s="68">
        <v>15962.345147455146</v>
      </c>
      <c r="V27" s="1">
        <f t="shared" si="3"/>
        <v>2617.3049999999998</v>
      </c>
      <c r="W27" s="1">
        <f t="shared" si="4"/>
        <v>9289.8250000000007</v>
      </c>
      <c r="X27" s="1">
        <f t="shared" si="5"/>
        <v>15962.344999999999</v>
      </c>
    </row>
    <row r="28" spans="1:24" ht="15.5" thickTop="1" thickBot="1" x14ac:dyDescent="0.4">
      <c r="A28" s="5" t="str">
        <f t="shared" si="7"/>
        <v>2028Q1</v>
      </c>
      <c r="B28" s="2">
        <f t="shared" si="10"/>
        <v>710.81600000000003</v>
      </c>
      <c r="C28" s="3">
        <f t="shared" si="10"/>
        <v>804.84299999999996</v>
      </c>
      <c r="D28" s="2">
        <f t="shared" si="10"/>
        <v>898.87</v>
      </c>
      <c r="E28" s="2">
        <f t="shared" si="11"/>
        <v>2617.3049999999998</v>
      </c>
      <c r="F28" s="3">
        <f t="shared" si="11"/>
        <v>9289.8250000000007</v>
      </c>
      <c r="G28" s="2">
        <f t="shared" si="11"/>
        <v>15962.344999999999</v>
      </c>
      <c r="K28" s="14" t="s">
        <v>99</v>
      </c>
      <c r="L28" s="51">
        <v>855.29559456093875</v>
      </c>
      <c r="M28" s="51">
        <v>761.25620367400006</v>
      </c>
      <c r="N28" s="51">
        <v>949.33498544787744</v>
      </c>
      <c r="O28" s="1">
        <f t="shared" si="0"/>
        <v>761.25599999999997</v>
      </c>
      <c r="P28" s="1">
        <f t="shared" si="1"/>
        <v>855.29600000000005</v>
      </c>
      <c r="Q28" s="1">
        <f t="shared" si="2"/>
        <v>949.33500000000004</v>
      </c>
      <c r="R28" s="14" t="str">
        <f t="shared" si="6"/>
        <v>2028Q2</v>
      </c>
      <c r="S28" s="68">
        <v>9425.5495038711833</v>
      </c>
      <c r="T28" s="68">
        <v>2615.5769241906396</v>
      </c>
      <c r="U28" s="68">
        <v>16235.522083551727</v>
      </c>
      <c r="V28" s="1">
        <f t="shared" si="3"/>
        <v>2615.5770000000002</v>
      </c>
      <c r="W28" s="1">
        <f t="shared" si="4"/>
        <v>9425.5499999999993</v>
      </c>
      <c r="X28" s="1">
        <f t="shared" si="5"/>
        <v>16235.522000000001</v>
      </c>
    </row>
    <row r="29" spans="1:24" ht="15.5" thickTop="1" thickBot="1" x14ac:dyDescent="0.4">
      <c r="A29" s="5" t="str">
        <f t="shared" si="7"/>
        <v>2028Q2</v>
      </c>
      <c r="B29" s="2">
        <f t="shared" si="10"/>
        <v>761.25599999999997</v>
      </c>
      <c r="C29" s="3">
        <f t="shared" si="10"/>
        <v>855.29600000000005</v>
      </c>
      <c r="D29" s="2">
        <f t="shared" si="10"/>
        <v>949.33500000000004</v>
      </c>
      <c r="E29" s="2">
        <f t="shared" si="11"/>
        <v>2615.5770000000002</v>
      </c>
      <c r="F29" s="3">
        <f t="shared" si="11"/>
        <v>9425.5499999999993</v>
      </c>
      <c r="G29" s="2">
        <f t="shared" si="11"/>
        <v>16235.522000000001</v>
      </c>
      <c r="K29" s="14" t="s">
        <v>100</v>
      </c>
      <c r="L29" s="51">
        <v>864.04978156536254</v>
      </c>
      <c r="M29" s="51">
        <v>770.0008826128485</v>
      </c>
      <c r="N29" s="51">
        <v>958.09868051787657</v>
      </c>
      <c r="O29" s="1">
        <f t="shared" si="0"/>
        <v>770.00099999999998</v>
      </c>
      <c r="P29" s="1">
        <f t="shared" si="1"/>
        <v>864.05</v>
      </c>
      <c r="Q29" s="1">
        <f t="shared" si="2"/>
        <v>958.09900000000005</v>
      </c>
      <c r="R29" s="14" t="str">
        <f t="shared" si="6"/>
        <v>2028Q3</v>
      </c>
      <c r="S29" s="68">
        <v>9392.8602337939028</v>
      </c>
      <c r="T29" s="68">
        <v>2448.1550938187834</v>
      </c>
      <c r="U29" s="68">
        <v>16337.565373769023</v>
      </c>
      <c r="V29" s="1">
        <f t="shared" si="3"/>
        <v>2448.1550000000002</v>
      </c>
      <c r="W29" s="1">
        <f t="shared" si="4"/>
        <v>9392.86</v>
      </c>
      <c r="X29" s="1">
        <f t="shared" si="5"/>
        <v>16337.565000000001</v>
      </c>
    </row>
    <row r="30" spans="1:24" ht="15.5" thickTop="1" thickBot="1" x14ac:dyDescent="0.4">
      <c r="A30" s="5" t="str">
        <f t="shared" si="7"/>
        <v>2028Q3</v>
      </c>
      <c r="B30" s="2">
        <f t="shared" si="10"/>
        <v>770.00099999999998</v>
      </c>
      <c r="C30" s="3">
        <f t="shared" si="10"/>
        <v>864.05</v>
      </c>
      <c r="D30" s="2">
        <f t="shared" si="10"/>
        <v>958.09900000000005</v>
      </c>
      <c r="E30" s="2">
        <f t="shared" si="11"/>
        <v>2448.1550000000002</v>
      </c>
      <c r="F30" s="3">
        <f t="shared" si="11"/>
        <v>9392.86</v>
      </c>
      <c r="G30" s="2">
        <f t="shared" si="11"/>
        <v>16337.565000000001</v>
      </c>
      <c r="K30" s="14" t="s">
        <v>101</v>
      </c>
      <c r="L30" s="51">
        <v>864.07291180985862</v>
      </c>
      <c r="M30" s="51">
        <v>770.01675514709586</v>
      </c>
      <c r="N30" s="51">
        <v>958.12906847262138</v>
      </c>
      <c r="O30" s="1">
        <f t="shared" si="0"/>
        <v>770.01700000000005</v>
      </c>
      <c r="P30" s="1">
        <f t="shared" si="1"/>
        <v>864.07299999999998</v>
      </c>
      <c r="Q30" s="1">
        <f t="shared" si="2"/>
        <v>958.12900000000002</v>
      </c>
      <c r="R30" s="14" t="str">
        <f t="shared" si="6"/>
        <v>2028Q4</v>
      </c>
      <c r="S30" s="68">
        <v>9513.5731926122698</v>
      </c>
      <c r="T30" s="68">
        <v>2436.7001242018391</v>
      </c>
      <c r="U30" s="68">
        <v>16590.446261022702</v>
      </c>
      <c r="V30" s="1">
        <f t="shared" si="3"/>
        <v>2436.6999999999998</v>
      </c>
      <c r="W30" s="1">
        <f t="shared" si="4"/>
        <v>9513.5730000000003</v>
      </c>
      <c r="X30" s="1">
        <f t="shared" si="5"/>
        <v>16590.446</v>
      </c>
    </row>
    <row r="31" spans="1:24" ht="15.5" thickTop="1" thickBot="1" x14ac:dyDescent="0.4">
      <c r="A31" s="5" t="str">
        <f t="shared" si="7"/>
        <v>2028Q4</v>
      </c>
      <c r="B31" s="2">
        <f t="shared" si="10"/>
        <v>770.01700000000005</v>
      </c>
      <c r="C31" s="3">
        <f t="shared" si="10"/>
        <v>864.07299999999998</v>
      </c>
      <c r="D31" s="2">
        <f t="shared" si="10"/>
        <v>958.12900000000002</v>
      </c>
      <c r="E31" s="2">
        <f t="shared" si="11"/>
        <v>2436.6999999999998</v>
      </c>
      <c r="F31" s="3">
        <f t="shared" si="11"/>
        <v>9513.5730000000003</v>
      </c>
      <c r="G31" s="2">
        <f t="shared" si="11"/>
        <v>16590.446</v>
      </c>
      <c r="K31" s="14" t="s">
        <v>102</v>
      </c>
      <c r="L31" s="51">
        <v>823.40429112964023</v>
      </c>
      <c r="M31" s="51">
        <v>729.34259438418451</v>
      </c>
      <c r="N31" s="51">
        <v>917.46598787509595</v>
      </c>
      <c r="O31" s="1">
        <f t="shared" si="0"/>
        <v>729.34299999999996</v>
      </c>
      <c r="P31" s="1">
        <f t="shared" si="1"/>
        <v>823.404</v>
      </c>
      <c r="Q31" s="1">
        <f t="shared" si="2"/>
        <v>917.46600000000001</v>
      </c>
      <c r="R31" s="14" t="str">
        <f t="shared" si="6"/>
        <v>2029Q1</v>
      </c>
      <c r="S31" s="68">
        <v>9580.0975511010711</v>
      </c>
      <c r="T31" s="68">
        <v>2373.4800802213472</v>
      </c>
      <c r="U31" s="68">
        <v>16786.715021980799</v>
      </c>
      <c r="V31" s="1">
        <f t="shared" si="3"/>
        <v>2373.48</v>
      </c>
      <c r="W31" s="1">
        <f t="shared" si="4"/>
        <v>9580.098</v>
      </c>
      <c r="X31" s="1">
        <f t="shared" si="5"/>
        <v>16786.715</v>
      </c>
    </row>
    <row r="32" spans="1:24" ht="15.5" thickTop="1" thickBot="1" x14ac:dyDescent="0.4">
      <c r="A32" s="5" t="str">
        <f t="shared" si="7"/>
        <v>2029Q1</v>
      </c>
      <c r="B32" s="2">
        <f t="shared" si="10"/>
        <v>729.34299999999996</v>
      </c>
      <c r="C32" s="3">
        <f t="shared" si="10"/>
        <v>823.404</v>
      </c>
      <c r="D32" s="2">
        <f t="shared" si="10"/>
        <v>917.46600000000001</v>
      </c>
      <c r="E32" s="2">
        <f t="shared" si="11"/>
        <v>2373.48</v>
      </c>
      <c r="F32" s="3">
        <f t="shared" si="11"/>
        <v>9580.098</v>
      </c>
      <c r="G32" s="2">
        <f t="shared" si="11"/>
        <v>16786.715</v>
      </c>
      <c r="K32" s="14" t="s">
        <v>103</v>
      </c>
      <c r="L32" s="51">
        <v>874.0371458749712</v>
      </c>
      <c r="M32" s="51">
        <v>779.97122010831492</v>
      </c>
      <c r="N32" s="51">
        <v>968.10307164162748</v>
      </c>
      <c r="O32" s="1">
        <f t="shared" si="0"/>
        <v>779.971</v>
      </c>
      <c r="P32" s="1">
        <f t="shared" si="1"/>
        <v>874.03700000000003</v>
      </c>
      <c r="Q32" s="1">
        <f t="shared" si="2"/>
        <v>968.10299999999995</v>
      </c>
      <c r="R32" s="14" t="str">
        <f t="shared" si="6"/>
        <v>2029Q2</v>
      </c>
      <c r="S32" s="68">
        <v>9715.8219405185137</v>
      </c>
      <c r="T32" s="68">
        <v>2381.7549707680378</v>
      </c>
      <c r="U32" s="68">
        <v>17049.88891026899</v>
      </c>
      <c r="V32" s="1">
        <f t="shared" si="3"/>
        <v>2381.7550000000001</v>
      </c>
      <c r="W32" s="1">
        <f t="shared" si="4"/>
        <v>9715.8220000000001</v>
      </c>
      <c r="X32" s="1">
        <f t="shared" si="5"/>
        <v>17049.888999999999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779.971</v>
      </c>
      <c r="C33" s="3">
        <f t="shared" si="10"/>
        <v>874.03700000000003</v>
      </c>
      <c r="D33" s="2">
        <f t="shared" si="10"/>
        <v>968.10299999999995</v>
      </c>
      <c r="E33" s="2">
        <f t="shared" si="11"/>
        <v>2381.7550000000001</v>
      </c>
      <c r="F33" s="3">
        <f t="shared" si="11"/>
        <v>9715.8220000000001</v>
      </c>
      <c r="G33" s="2">
        <f t="shared" si="11"/>
        <v>17049.888999999999</v>
      </c>
      <c r="K33" s="14" t="s">
        <v>107</v>
      </c>
      <c r="L33" s="51">
        <v>882.94866554114196</v>
      </c>
      <c r="M33" s="51">
        <v>788.87951151217942</v>
      </c>
      <c r="N33" s="51">
        <v>977.01781957010451</v>
      </c>
      <c r="O33" s="1">
        <f t="shared" si="0"/>
        <v>788.88</v>
      </c>
      <c r="P33" s="1">
        <f t="shared" si="1"/>
        <v>882.94899999999996</v>
      </c>
      <c r="Q33" s="1">
        <f t="shared" si="2"/>
        <v>977.01800000000003</v>
      </c>
      <c r="R33" s="14" t="str">
        <f t="shared" si="6"/>
        <v>2029Q3</v>
      </c>
      <c r="S33" s="68">
        <v>9683.1326704412349</v>
      </c>
      <c r="T33" s="68">
        <v>2223.7934730336715</v>
      </c>
      <c r="U33" s="68">
        <v>17142.471867848799</v>
      </c>
      <c r="V33" s="1">
        <f t="shared" si="3"/>
        <v>2223.7930000000001</v>
      </c>
      <c r="W33" s="1">
        <f t="shared" si="4"/>
        <v>9683.1329999999998</v>
      </c>
      <c r="X33" s="1">
        <f t="shared" si="5"/>
        <v>17142.472000000002</v>
      </c>
    </row>
    <row r="34" spans="1:24" ht="15.5" thickTop="1" thickBot="1" x14ac:dyDescent="0.4">
      <c r="A34" s="5" t="str">
        <f t="shared" si="7"/>
        <v>2029Q3</v>
      </c>
      <c r="B34" s="2">
        <f t="shared" si="10"/>
        <v>788.88</v>
      </c>
      <c r="C34" s="3">
        <f t="shared" si="10"/>
        <v>882.94899999999996</v>
      </c>
      <c r="D34" s="2">
        <f t="shared" si="10"/>
        <v>977.01800000000003</v>
      </c>
      <c r="E34" s="2">
        <f t="shared" si="11"/>
        <v>2223.7930000000001</v>
      </c>
      <c r="F34" s="3">
        <f t="shared" si="11"/>
        <v>9683.1329999999998</v>
      </c>
      <c r="G34" s="2">
        <f t="shared" si="11"/>
        <v>17142.472000000002</v>
      </c>
      <c r="K34" s="14" t="s">
        <v>108</v>
      </c>
      <c r="L34" s="51">
        <v>883.10926073423025</v>
      </c>
      <c r="M34" s="51">
        <v>789.03764235836798</v>
      </c>
      <c r="N34" s="51">
        <v>977.18087911009252</v>
      </c>
      <c r="O34" s="1">
        <f t="shared" si="0"/>
        <v>789.03800000000001</v>
      </c>
      <c r="P34" s="1">
        <f t="shared" si="1"/>
        <v>883.10900000000004</v>
      </c>
      <c r="Q34" s="1">
        <f t="shared" si="2"/>
        <v>977.18100000000004</v>
      </c>
      <c r="R34" s="14" t="str">
        <f t="shared" si="6"/>
        <v>2029Q4</v>
      </c>
      <c r="S34" s="68">
        <v>9803.8456292596056</v>
      </c>
      <c r="T34" s="68">
        <v>2221.3035616429056</v>
      </c>
      <c r="U34" s="68">
        <v>17386.387696876303</v>
      </c>
      <c r="V34" s="1">
        <f t="shared" si="3"/>
        <v>2221.3040000000001</v>
      </c>
      <c r="W34" s="1">
        <f t="shared" si="4"/>
        <v>9803.8459999999995</v>
      </c>
      <c r="X34" s="1">
        <f t="shared" si="5"/>
        <v>17386.387999999999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789.03800000000001</v>
      </c>
      <c r="C35" s="3">
        <f t="shared" si="10"/>
        <v>883.10900000000004</v>
      </c>
      <c r="D35" s="2">
        <f t="shared" si="10"/>
        <v>977.18100000000004</v>
      </c>
      <c r="E35" s="2">
        <f t="shared" si="11"/>
        <v>2221.3040000000001</v>
      </c>
      <c r="F35" s="3">
        <f t="shared" si="11"/>
        <v>9803.8459999999995</v>
      </c>
      <c r="G35" s="2">
        <f t="shared" si="11"/>
        <v>17386.387999999999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815.57871874999989</v>
      </c>
      <c r="F38" s="1">
        <f>AVERAGE(F4:F35)</f>
        <v>8680.995656250001</v>
      </c>
    </row>
    <row r="40" spans="1:24" ht="12.5" thickBot="1" x14ac:dyDescent="0.35"/>
    <row r="41" spans="1:24" ht="15.5" thickTop="1" thickBot="1" x14ac:dyDescent="0.4">
      <c r="A41" s="30" t="s">
        <v>47</v>
      </c>
      <c r="B41" s="31"/>
      <c r="C41" s="31"/>
      <c r="D41" s="31"/>
      <c r="E41" s="31"/>
      <c r="F41" s="31"/>
      <c r="G41" s="31"/>
      <c r="K41" s="30" t="s">
        <v>24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756.51099999999997</v>
      </c>
      <c r="D44" s="6"/>
      <c r="E44" s="6"/>
      <c r="F44" s="9">
        <f>ROUND(F4-((G4-F4)*(0.5/2)),3)</f>
        <v>7372.2520000000004</v>
      </c>
      <c r="G44" s="6"/>
      <c r="K44" s="7" t="str">
        <f>A4</f>
        <v>2022Q1</v>
      </c>
      <c r="L44" s="6"/>
      <c r="M44" s="9">
        <f>ROUND(C4-((D4-C4)*(1/2)),3)</f>
        <v>744.26900000000001</v>
      </c>
      <c r="N44" s="6"/>
      <c r="O44" s="6"/>
      <c r="P44" s="9">
        <f>ROUND(F4-((G4-F4)*(1/2)),3)</f>
        <v>7168.96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792.95799999999997</v>
      </c>
      <c r="D45" s="6"/>
      <c r="E45" s="6"/>
      <c r="F45" s="9">
        <f t="shared" ref="F45:F75" si="14">ROUND(F5-((G5-F5)*(0.5/2)),3)</f>
        <v>7330.6580000000004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777.29700000000003</v>
      </c>
      <c r="N45" s="6"/>
      <c r="O45" s="6"/>
      <c r="P45" s="9">
        <f t="shared" ref="P45:P75" si="17">ROUND(F5-((G5-F5)*(1/2)),3)</f>
        <v>6969.1390000000001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790.28700000000003</v>
      </c>
      <c r="D46" s="6"/>
      <c r="E46" s="6"/>
      <c r="F46" s="9">
        <f t="shared" si="14"/>
        <v>7165.6949999999997</v>
      </c>
      <c r="G46" s="6"/>
      <c r="K46" s="7" t="str">
        <f t="shared" si="15"/>
        <v>2022Q3</v>
      </c>
      <c r="L46" s="6"/>
      <c r="M46" s="9">
        <f t="shared" si="16"/>
        <v>772.45100000000002</v>
      </c>
      <c r="N46" s="6"/>
      <c r="O46" s="6"/>
      <c r="P46" s="9">
        <f t="shared" si="17"/>
        <v>6677.67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780.73199999999997</v>
      </c>
      <c r="D47" s="6"/>
      <c r="E47" s="6"/>
      <c r="F47" s="9">
        <f t="shared" si="14"/>
        <v>7179.8689999999997</v>
      </c>
      <c r="G47" s="6"/>
      <c r="K47" s="7" t="str">
        <f t="shared" si="15"/>
        <v>2022Q4</v>
      </c>
      <c r="L47" s="6"/>
      <c r="M47" s="9">
        <f t="shared" si="16"/>
        <v>761.399</v>
      </c>
      <c r="N47" s="6"/>
      <c r="O47" s="6"/>
      <c r="P47" s="9">
        <f t="shared" si="17"/>
        <v>6587.0460000000003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731.93499999999995</v>
      </c>
      <c r="D48" s="6"/>
      <c r="E48" s="6"/>
      <c r="F48" s="9">
        <f t="shared" si="14"/>
        <v>7155.6909999999998</v>
      </c>
      <c r="G48" s="6"/>
      <c r="K48" s="7" t="str">
        <f t="shared" si="15"/>
        <v>2023Q1</v>
      </c>
      <c r="L48" s="6"/>
      <c r="M48" s="9">
        <f t="shared" si="16"/>
        <v>711.53399999999999</v>
      </c>
      <c r="N48" s="6"/>
      <c r="O48" s="6"/>
      <c r="P48" s="9">
        <f t="shared" si="17"/>
        <v>6472.6909999999998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775.61800000000005</v>
      </c>
      <c r="D49" s="6"/>
      <c r="E49" s="6"/>
      <c r="F49" s="9">
        <f t="shared" si="14"/>
        <v>7211.3140000000003</v>
      </c>
      <c r="G49" s="6"/>
      <c r="K49" s="7" t="str">
        <f t="shared" si="15"/>
        <v>2023Q2</v>
      </c>
      <c r="L49" s="6"/>
      <c r="M49" s="9">
        <f t="shared" si="16"/>
        <v>754.43799999999999</v>
      </c>
      <c r="N49" s="6"/>
      <c r="O49" s="6"/>
      <c r="P49" s="9">
        <f t="shared" si="17"/>
        <v>6448.3720000000003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778.56299999999999</v>
      </c>
      <c r="D50" s="6"/>
      <c r="E50" s="6"/>
      <c r="F50" s="9">
        <f t="shared" si="14"/>
        <v>7106.1540000000005</v>
      </c>
      <c r="G50" s="6"/>
      <c r="K50" s="7" t="str">
        <f t="shared" si="15"/>
        <v>2023Q3</v>
      </c>
      <c r="L50" s="6"/>
      <c r="M50" s="9">
        <f t="shared" si="16"/>
        <v>756.80600000000004</v>
      </c>
      <c r="N50" s="6"/>
      <c r="O50" s="6"/>
      <c r="P50" s="9">
        <f t="shared" si="17"/>
        <v>6270.7889999999998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773.58399999999995</v>
      </c>
      <c r="D51" s="6"/>
      <c r="E51" s="6"/>
      <c r="F51" s="9">
        <f t="shared" si="14"/>
        <v>7160.1980000000003</v>
      </c>
      <c r="G51" s="6"/>
      <c r="K51" s="7" t="str">
        <f t="shared" si="15"/>
        <v>2023Q4</v>
      </c>
      <c r="L51" s="6"/>
      <c r="M51" s="9">
        <f t="shared" si="16"/>
        <v>751.39800000000002</v>
      </c>
      <c r="N51" s="6"/>
      <c r="O51" s="6"/>
      <c r="P51" s="9">
        <f t="shared" si="17"/>
        <v>6258.1779999999999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728.59900000000005</v>
      </c>
      <c r="D52" s="6"/>
      <c r="E52" s="6"/>
      <c r="F52" s="9">
        <f t="shared" si="14"/>
        <v>7164.6530000000002</v>
      </c>
      <c r="G52" s="6"/>
      <c r="K52" s="7" t="str">
        <f t="shared" si="15"/>
        <v>2024Q1</v>
      </c>
      <c r="L52" s="6"/>
      <c r="M52" s="9">
        <f t="shared" si="16"/>
        <v>706.09</v>
      </c>
      <c r="N52" s="6"/>
      <c r="O52" s="6"/>
      <c r="P52" s="9">
        <f t="shared" si="17"/>
        <v>6200.57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775.49800000000005</v>
      </c>
      <c r="D53" s="6"/>
      <c r="E53" s="6"/>
      <c r="F53" s="9">
        <f t="shared" si="14"/>
        <v>7242.07</v>
      </c>
      <c r="G53" s="6"/>
      <c r="K53" s="7" t="str">
        <f t="shared" si="15"/>
        <v>2024Q2</v>
      </c>
      <c r="L53" s="6"/>
      <c r="M53" s="9">
        <f t="shared" si="16"/>
        <v>752.745</v>
      </c>
      <c r="N53" s="6"/>
      <c r="O53" s="6"/>
      <c r="P53" s="9">
        <f t="shared" si="17"/>
        <v>6219.6809999999996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781.17600000000004</v>
      </c>
      <c r="D54" s="6"/>
      <c r="E54" s="6"/>
      <c r="F54" s="9">
        <f t="shared" si="14"/>
        <v>7154.2250000000004</v>
      </c>
      <c r="G54" s="6"/>
      <c r="K54" s="7" t="str">
        <f t="shared" si="15"/>
        <v>2024Q3</v>
      </c>
      <c r="L54" s="6"/>
      <c r="M54" s="9">
        <f t="shared" si="16"/>
        <v>758.24</v>
      </c>
      <c r="N54" s="6"/>
      <c r="O54" s="6"/>
      <c r="P54" s="9">
        <f t="shared" si="17"/>
        <v>6076.6790000000001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778.53200000000004</v>
      </c>
      <c r="D55" s="6"/>
      <c r="E55" s="6"/>
      <c r="F55" s="9">
        <f t="shared" si="14"/>
        <v>7222.47</v>
      </c>
      <c r="G55" s="6"/>
      <c r="K55" s="7" t="str">
        <f t="shared" si="15"/>
        <v>2024Q4</v>
      </c>
      <c r="L55" s="6"/>
      <c r="M55" s="9">
        <f t="shared" si="16"/>
        <v>755.45699999999999</v>
      </c>
      <c r="N55" s="6"/>
      <c r="O55" s="6"/>
      <c r="P55" s="9">
        <f t="shared" si="17"/>
        <v>6092.4560000000001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735.54899999999998</v>
      </c>
      <c r="D56" s="6"/>
      <c r="E56" s="6"/>
      <c r="F56" s="9">
        <f t="shared" si="14"/>
        <v>7238.8580000000002</v>
      </c>
      <c r="G56" s="6"/>
      <c r="K56" s="7" t="str">
        <f t="shared" si="15"/>
        <v>2025Q1</v>
      </c>
      <c r="L56" s="6"/>
      <c r="M56" s="9">
        <f t="shared" si="16"/>
        <v>712.36800000000005</v>
      </c>
      <c r="N56" s="6"/>
      <c r="O56" s="6"/>
      <c r="P56" s="9">
        <f t="shared" si="17"/>
        <v>6058.7070000000003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784.173</v>
      </c>
      <c r="D57" s="6"/>
      <c r="E57" s="6"/>
      <c r="F57" s="9">
        <f t="shared" si="14"/>
        <v>7326.4889999999996</v>
      </c>
      <c r="G57" s="6"/>
      <c r="K57" s="7" t="str">
        <f t="shared" si="15"/>
        <v>2025Q2</v>
      </c>
      <c r="L57" s="6"/>
      <c r="M57" s="9">
        <f t="shared" si="16"/>
        <v>760.91099999999994</v>
      </c>
      <c r="N57" s="6"/>
      <c r="O57" s="6"/>
      <c r="P57" s="9">
        <f t="shared" si="17"/>
        <v>6098.2460000000001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791.33799999999997</v>
      </c>
      <c r="D58" s="6"/>
      <c r="E58" s="6"/>
      <c r="F58" s="9">
        <f t="shared" si="14"/>
        <v>7247.5209999999997</v>
      </c>
      <c r="G58" s="6"/>
      <c r="K58" s="7" t="str">
        <f t="shared" si="15"/>
        <v>2025Q3</v>
      </c>
      <c r="L58" s="6"/>
      <c r="M58" s="9">
        <f t="shared" si="16"/>
        <v>768.01499999999999</v>
      </c>
      <c r="N58" s="6"/>
      <c r="O58" s="6"/>
      <c r="P58" s="9">
        <f t="shared" si="17"/>
        <v>5973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789.97900000000004</v>
      </c>
      <c r="D59" s="6"/>
      <c r="E59" s="6"/>
      <c r="F59" s="9">
        <f t="shared" si="14"/>
        <v>7323.5780000000004</v>
      </c>
      <c r="G59" s="6"/>
      <c r="K59" s="7" t="str">
        <f t="shared" si="15"/>
        <v>2025Q4</v>
      </c>
      <c r="L59" s="6"/>
      <c r="M59" s="9">
        <f t="shared" si="16"/>
        <v>766.60900000000004</v>
      </c>
      <c r="N59" s="6"/>
      <c r="O59" s="6"/>
      <c r="P59" s="9">
        <f t="shared" si="17"/>
        <v>6004.4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748.10900000000004</v>
      </c>
      <c r="D60" s="6"/>
      <c r="E60" s="6"/>
      <c r="F60" s="9">
        <f t="shared" si="14"/>
        <v>7346.9089999999997</v>
      </c>
      <c r="G60" s="6"/>
      <c r="K60" s="7" t="str">
        <f t="shared" si="15"/>
        <v>2026Q1</v>
      </c>
      <c r="L60" s="6"/>
      <c r="M60" s="9">
        <f t="shared" si="16"/>
        <v>724.70299999999997</v>
      </c>
      <c r="N60" s="6"/>
      <c r="O60" s="6"/>
      <c r="P60" s="9">
        <f t="shared" si="17"/>
        <v>5984.5370000000003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797.69399999999996</v>
      </c>
      <c r="D61" s="6"/>
      <c r="E61" s="6"/>
      <c r="F61" s="9">
        <f t="shared" si="14"/>
        <v>7440.768</v>
      </c>
      <c r="G61" s="6"/>
      <c r="K61" s="7" t="str">
        <f t="shared" si="15"/>
        <v>2026Q2</v>
      </c>
      <c r="L61" s="6"/>
      <c r="M61" s="9">
        <f t="shared" si="16"/>
        <v>774.26199999999994</v>
      </c>
      <c r="N61" s="6"/>
      <c r="O61" s="6"/>
      <c r="P61" s="9">
        <f t="shared" si="17"/>
        <v>6036.5320000000002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805.69500000000005</v>
      </c>
      <c r="D62" s="6"/>
      <c r="E62" s="6"/>
      <c r="F62" s="9">
        <f t="shared" si="14"/>
        <v>7367.4250000000002</v>
      </c>
      <c r="G62" s="6"/>
      <c r="K62" s="7" t="str">
        <f t="shared" si="15"/>
        <v>2026Q3</v>
      </c>
      <c r="L62" s="6"/>
      <c r="M62" s="9">
        <f t="shared" si="16"/>
        <v>782.24099999999999</v>
      </c>
      <c r="N62" s="6"/>
      <c r="O62" s="6"/>
      <c r="P62" s="9">
        <f t="shared" si="17"/>
        <v>5922.5349999999999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805.06200000000001</v>
      </c>
      <c r="D63" s="6"/>
      <c r="E63" s="6"/>
      <c r="F63" s="9">
        <f t="shared" si="14"/>
        <v>7448.598</v>
      </c>
      <c r="G63" s="6"/>
      <c r="K63" s="7" t="str">
        <f t="shared" si="15"/>
        <v>2026Q4</v>
      </c>
      <c r="L63" s="6"/>
      <c r="M63" s="9">
        <f t="shared" si="16"/>
        <v>781.59299999999996</v>
      </c>
      <c r="N63" s="6"/>
      <c r="O63" s="6"/>
      <c r="P63" s="9">
        <f t="shared" si="17"/>
        <v>5964.1689999999999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763.82100000000003</v>
      </c>
      <c r="D64" s="6"/>
      <c r="E64" s="6"/>
      <c r="F64" s="9">
        <f t="shared" si="14"/>
        <v>7476.61</v>
      </c>
      <c r="G64" s="6"/>
      <c r="K64" s="7" t="str">
        <f t="shared" si="15"/>
        <v>2027Q1</v>
      </c>
      <c r="L64" s="6"/>
      <c r="M64" s="9">
        <f t="shared" si="16"/>
        <v>740.34</v>
      </c>
      <c r="N64" s="6"/>
      <c r="O64" s="6"/>
      <c r="P64" s="9">
        <f t="shared" si="17"/>
        <v>5953.6660000000002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813.95600000000002</v>
      </c>
      <c r="D65" s="6"/>
      <c r="E65" s="6"/>
      <c r="F65" s="9">
        <f t="shared" si="14"/>
        <v>7574.77</v>
      </c>
      <c r="G65" s="6"/>
      <c r="K65" s="7" t="str">
        <f t="shared" si="15"/>
        <v>2027Q2</v>
      </c>
      <c r="L65" s="6"/>
      <c r="M65" s="9">
        <f t="shared" si="16"/>
        <v>790.46600000000001</v>
      </c>
      <c r="N65" s="6"/>
      <c r="O65" s="6"/>
      <c r="P65" s="9">
        <f t="shared" si="17"/>
        <v>6014.2629999999999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822.43299999999999</v>
      </c>
      <c r="D66" s="6"/>
      <c r="E66" s="6"/>
      <c r="F66" s="9">
        <f t="shared" si="14"/>
        <v>7505.4009999999998</v>
      </c>
      <c r="G66" s="6"/>
      <c r="K66" s="7" t="str">
        <f t="shared" si="15"/>
        <v>2027Q3</v>
      </c>
      <c r="L66" s="6"/>
      <c r="M66" s="9">
        <f t="shared" si="16"/>
        <v>798.93499999999995</v>
      </c>
      <c r="N66" s="6"/>
      <c r="O66" s="6"/>
      <c r="P66" s="9">
        <f t="shared" si="17"/>
        <v>5908.2139999999999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822.21600000000001</v>
      </c>
      <c r="D67" s="6"/>
      <c r="E67" s="6"/>
      <c r="F67" s="9">
        <f t="shared" si="14"/>
        <v>7590.2569999999996</v>
      </c>
      <c r="G67" s="6"/>
      <c r="K67" s="7" t="str">
        <f t="shared" si="15"/>
        <v>2027Q4</v>
      </c>
      <c r="L67" s="6"/>
      <c r="M67" s="9">
        <f t="shared" si="16"/>
        <v>798.71299999999997</v>
      </c>
      <c r="N67" s="6"/>
      <c r="O67" s="6"/>
      <c r="P67" s="9">
        <f t="shared" si="17"/>
        <v>5957.2129999999997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781.33600000000001</v>
      </c>
      <c r="D68" s="6"/>
      <c r="E68" s="6"/>
      <c r="F68" s="9">
        <f t="shared" si="14"/>
        <v>7621.6949999999997</v>
      </c>
      <c r="G68" s="6"/>
      <c r="K68" s="7" t="str">
        <f t="shared" si="15"/>
        <v>2028Q1</v>
      </c>
      <c r="L68" s="6"/>
      <c r="M68" s="9">
        <f t="shared" si="16"/>
        <v>757.83</v>
      </c>
      <c r="N68" s="6"/>
      <c r="O68" s="6"/>
      <c r="P68" s="9">
        <f t="shared" si="17"/>
        <v>5953.5649999999996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831.78599999999994</v>
      </c>
      <c r="D69" s="6"/>
      <c r="E69" s="6"/>
      <c r="F69" s="9">
        <f t="shared" si="14"/>
        <v>7723.0569999999998</v>
      </c>
      <c r="G69" s="6"/>
      <c r="K69" s="7" t="str">
        <f t="shared" si="15"/>
        <v>2028Q2</v>
      </c>
      <c r="L69" s="6"/>
      <c r="M69" s="9">
        <f t="shared" si="16"/>
        <v>808.27700000000004</v>
      </c>
      <c r="N69" s="6"/>
      <c r="O69" s="6"/>
      <c r="P69" s="9">
        <f t="shared" si="17"/>
        <v>6020.5640000000003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840.53800000000001</v>
      </c>
      <c r="D70" s="6"/>
      <c r="E70" s="6"/>
      <c r="F70" s="9">
        <f t="shared" si="14"/>
        <v>7656.6840000000002</v>
      </c>
      <c r="G70" s="6"/>
      <c r="K70" s="7" t="str">
        <f t="shared" si="15"/>
        <v>2028Q3</v>
      </c>
      <c r="L70" s="6"/>
      <c r="M70" s="9">
        <f t="shared" si="16"/>
        <v>817.02599999999995</v>
      </c>
      <c r="N70" s="6"/>
      <c r="O70" s="6"/>
      <c r="P70" s="9">
        <f t="shared" si="17"/>
        <v>5920.5079999999998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840.55899999999997</v>
      </c>
      <c r="D71" s="6"/>
      <c r="E71" s="6"/>
      <c r="F71" s="9">
        <f t="shared" si="14"/>
        <v>7744.3549999999996</v>
      </c>
      <c r="G71" s="6"/>
      <c r="K71" s="7" t="str">
        <f t="shared" si="15"/>
        <v>2028Q4</v>
      </c>
      <c r="L71" s="6"/>
      <c r="M71" s="9">
        <f t="shared" si="16"/>
        <v>817.04499999999996</v>
      </c>
      <c r="N71" s="6"/>
      <c r="O71" s="6"/>
      <c r="P71" s="9">
        <f t="shared" si="17"/>
        <v>5975.1369999999997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799.88900000000001</v>
      </c>
      <c r="D72" s="6"/>
      <c r="E72" s="6"/>
      <c r="F72" s="9">
        <f t="shared" si="14"/>
        <v>7778.4440000000004</v>
      </c>
      <c r="G72" s="6"/>
      <c r="K72" s="7" t="str">
        <f t="shared" si="15"/>
        <v>2029Q1</v>
      </c>
      <c r="L72" s="6"/>
      <c r="M72" s="9">
        <f t="shared" si="16"/>
        <v>776.37300000000005</v>
      </c>
      <c r="N72" s="6"/>
      <c r="O72" s="6"/>
      <c r="P72" s="9">
        <f t="shared" si="17"/>
        <v>5976.79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850.52099999999996</v>
      </c>
      <c r="D73" s="6"/>
      <c r="E73" s="6"/>
      <c r="F73" s="9">
        <f t="shared" si="14"/>
        <v>7882.3050000000003</v>
      </c>
      <c r="G73" s="6"/>
      <c r="K73" s="7" t="str">
        <f t="shared" si="15"/>
        <v>2029Q2</v>
      </c>
      <c r="L73" s="6"/>
      <c r="M73" s="9">
        <f t="shared" si="16"/>
        <v>827.00400000000002</v>
      </c>
      <c r="N73" s="6"/>
      <c r="O73" s="6"/>
      <c r="P73" s="9">
        <f t="shared" si="17"/>
        <v>6048.7889999999998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859.43200000000002</v>
      </c>
      <c r="D74" s="6"/>
      <c r="E74" s="6"/>
      <c r="F74" s="9">
        <f t="shared" si="14"/>
        <v>7818.2979999999998</v>
      </c>
      <c r="G74" s="6"/>
      <c r="K74" s="7" t="str">
        <f t="shared" si="15"/>
        <v>2029Q3</v>
      </c>
      <c r="L74" s="6"/>
      <c r="M74" s="9">
        <f t="shared" si="16"/>
        <v>835.91499999999996</v>
      </c>
      <c r="N74" s="6"/>
      <c r="O74" s="6"/>
      <c r="P74" s="9">
        <f t="shared" si="17"/>
        <v>5953.4639999999999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859.59100000000001</v>
      </c>
      <c r="D75" s="6"/>
      <c r="E75" s="6"/>
      <c r="F75" s="9">
        <f t="shared" si="14"/>
        <v>7908.2110000000002</v>
      </c>
      <c r="G75" s="6"/>
      <c r="K75" s="7" t="str">
        <f t="shared" si="15"/>
        <v>2029Q4</v>
      </c>
      <c r="L75" s="6"/>
      <c r="M75" s="9">
        <f t="shared" si="16"/>
        <v>836.07299999999998</v>
      </c>
      <c r="N75" s="6"/>
      <c r="O75" s="6"/>
      <c r="P75" s="9">
        <f t="shared" si="17"/>
        <v>6012.5749999999998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54296875" style="1" customWidth="1"/>
    <col min="4" max="5" width="12.1796875" style="1" bestFit="1" customWidth="1"/>
    <col min="6" max="6" width="19.81640625" style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54296875" style="1" customWidth="1"/>
    <col min="17" max="16384" width="9.1796875" style="1"/>
  </cols>
  <sheetData>
    <row r="1" spans="1:30" ht="13" thickTop="1" thickBot="1" x14ac:dyDescent="0.35">
      <c r="A1" s="34" t="s">
        <v>15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3" t="s">
        <v>40</v>
      </c>
      <c r="C2" s="33"/>
      <c r="D2" s="33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9">
        <v>507.33286700755713</v>
      </c>
      <c r="M3" s="49">
        <v>475.38911152442591</v>
      </c>
      <c r="N3" s="49">
        <v>539.2766224906884</v>
      </c>
      <c r="O3" s="1">
        <f t="shared" ref="O3:O34" si="0">ROUND(M3,3)</f>
        <v>475.38900000000001</v>
      </c>
      <c r="P3" s="1">
        <f t="shared" ref="P3:P34" si="1">ROUND(L3,3)</f>
        <v>507.33300000000003</v>
      </c>
      <c r="Q3" s="1">
        <f t="shared" ref="Q3:Q34" si="2">ROUND(N3,3)</f>
        <v>539.27700000000004</v>
      </c>
      <c r="R3" s="14" t="str">
        <f>K3</f>
        <v>2022Q1</v>
      </c>
      <c r="S3" s="65">
        <v>2491.9281902467269</v>
      </c>
      <c r="T3" s="65">
        <v>2047.2659911189166</v>
      </c>
      <c r="U3" s="65">
        <v>2936.5903893745372</v>
      </c>
      <c r="V3" s="1">
        <f t="shared" ref="V3:V34" si="3">ROUND(T3,3)</f>
        <v>2047.2660000000001</v>
      </c>
      <c r="W3" s="1">
        <f t="shared" ref="W3:W34" si="4">ROUND(S3,3)</f>
        <v>2491.9279999999999</v>
      </c>
      <c r="X3" s="1">
        <f t="shared" ref="X3:X34" si="5">ROUND(U3,3)</f>
        <v>2936.59</v>
      </c>
    </row>
    <row r="4" spans="1:30" ht="15.5" thickTop="1" thickBot="1" x14ac:dyDescent="0.4">
      <c r="A4" s="5" t="str">
        <f>K3</f>
        <v>2022Q1</v>
      </c>
      <c r="B4" s="2">
        <f>O3</f>
        <v>475.38900000000001</v>
      </c>
      <c r="C4" s="3">
        <f>P3</f>
        <v>507.33300000000003</v>
      </c>
      <c r="D4" s="2">
        <f>Q3</f>
        <v>539.27700000000004</v>
      </c>
      <c r="E4" s="2">
        <f>V3</f>
        <v>2047.2660000000001</v>
      </c>
      <c r="F4" s="3">
        <f>W3</f>
        <v>2491.9279999999999</v>
      </c>
      <c r="G4" s="2">
        <f>X3</f>
        <v>2936.59</v>
      </c>
      <c r="K4" s="14" t="s">
        <v>68</v>
      </c>
      <c r="L4" s="49">
        <v>535.60114137137612</v>
      </c>
      <c r="M4" s="49">
        <v>495.0034700478306</v>
      </c>
      <c r="N4" s="49">
        <v>576.19881269492168</v>
      </c>
      <c r="O4" s="1">
        <f t="shared" si="0"/>
        <v>495.00299999999999</v>
      </c>
      <c r="P4" s="1">
        <f t="shared" si="1"/>
        <v>535.601</v>
      </c>
      <c r="Q4" s="1">
        <f t="shared" si="2"/>
        <v>576.19899999999996</v>
      </c>
      <c r="R4" s="14" t="str">
        <f t="shared" ref="R4:R34" si="6">K4</f>
        <v>2022Q2</v>
      </c>
      <c r="S4" s="65">
        <v>2569.4067559005066</v>
      </c>
      <c r="T4" s="65">
        <v>2053.8891449138387</v>
      </c>
      <c r="U4" s="65">
        <v>3084.9243668871745</v>
      </c>
      <c r="V4" s="1">
        <f t="shared" si="3"/>
        <v>2053.8890000000001</v>
      </c>
      <c r="W4" s="1">
        <f t="shared" si="4"/>
        <v>2569.4070000000002</v>
      </c>
      <c r="X4" s="1">
        <f t="shared" si="5"/>
        <v>3084.924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495.00299999999999</v>
      </c>
      <c r="C5" s="3">
        <f t="shared" si="8"/>
        <v>535.601</v>
      </c>
      <c r="D5" s="2">
        <f t="shared" si="8"/>
        <v>576.19899999999996</v>
      </c>
      <c r="E5" s="2">
        <f t="shared" ref="E5:G20" si="9">V4</f>
        <v>2053.8890000000001</v>
      </c>
      <c r="F5" s="3">
        <f t="shared" si="9"/>
        <v>2569.4070000000002</v>
      </c>
      <c r="G5" s="2">
        <f t="shared" si="9"/>
        <v>3084.924</v>
      </c>
      <c r="I5" s="1">
        <f>SUM(F5:F8)</f>
        <v>10223.24</v>
      </c>
      <c r="K5" s="14" t="s">
        <v>69</v>
      </c>
      <c r="L5" s="49">
        <v>536.39899984275655</v>
      </c>
      <c r="M5" s="49">
        <v>489.70605352590701</v>
      </c>
      <c r="N5" s="49">
        <v>583.0919461596061</v>
      </c>
      <c r="O5" s="1">
        <f t="shared" si="0"/>
        <v>489.70600000000002</v>
      </c>
      <c r="P5" s="1">
        <f t="shared" si="1"/>
        <v>536.399</v>
      </c>
      <c r="Q5" s="1">
        <f t="shared" si="2"/>
        <v>583.09199999999998</v>
      </c>
      <c r="R5" s="14" t="str">
        <f t="shared" si="6"/>
        <v>2022Q3</v>
      </c>
      <c r="S5" s="65">
        <v>2548.7300361616153</v>
      </c>
      <c r="T5" s="65">
        <v>1966.9296444600307</v>
      </c>
      <c r="U5" s="65">
        <v>3130.5304278632002</v>
      </c>
      <c r="V5" s="1">
        <f t="shared" si="3"/>
        <v>1966.93</v>
      </c>
      <c r="W5" s="1">
        <f t="shared" si="4"/>
        <v>2548.73</v>
      </c>
      <c r="X5" s="1">
        <f t="shared" si="5"/>
        <v>3130.53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489.70600000000002</v>
      </c>
      <c r="C6" s="3">
        <f t="shared" si="8"/>
        <v>536.399</v>
      </c>
      <c r="D6" s="2">
        <f t="shared" si="8"/>
        <v>583.09199999999998</v>
      </c>
      <c r="E6" s="2">
        <f t="shared" si="9"/>
        <v>1966.93</v>
      </c>
      <c r="F6" s="3">
        <f t="shared" si="9"/>
        <v>2548.73</v>
      </c>
      <c r="G6" s="2">
        <f t="shared" si="9"/>
        <v>3130.53</v>
      </c>
      <c r="I6" s="1">
        <f>SUM(F9:F12)</f>
        <v>10483.18</v>
      </c>
      <c r="K6" s="14" t="s">
        <v>70</v>
      </c>
      <c r="L6" s="49">
        <v>531.12010284671135</v>
      </c>
      <c r="M6" s="49">
        <v>479.82511657132136</v>
      </c>
      <c r="N6" s="49">
        <v>582.41508912210134</v>
      </c>
      <c r="O6" s="1">
        <f t="shared" si="0"/>
        <v>479.82499999999999</v>
      </c>
      <c r="P6" s="1">
        <f t="shared" si="1"/>
        <v>531.12</v>
      </c>
      <c r="Q6" s="1">
        <f t="shared" si="2"/>
        <v>582.41499999999996</v>
      </c>
      <c r="R6" s="14" t="str">
        <f t="shared" si="6"/>
        <v>2022Q4</v>
      </c>
      <c r="S6" s="65">
        <v>2553.0964003938088</v>
      </c>
      <c r="T6" s="65">
        <v>1912.0075267949944</v>
      </c>
      <c r="U6" s="65">
        <v>3194.1852739926235</v>
      </c>
      <c r="V6" s="1">
        <f t="shared" si="3"/>
        <v>1912.008</v>
      </c>
      <c r="W6" s="1">
        <f t="shared" si="4"/>
        <v>2553.096</v>
      </c>
      <c r="X6" s="1">
        <f t="shared" si="5"/>
        <v>3194.1849999999999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479.82499999999999</v>
      </c>
      <c r="C7" s="3">
        <f t="shared" si="8"/>
        <v>531.12</v>
      </c>
      <c r="D7" s="2">
        <f t="shared" si="8"/>
        <v>582.41499999999996</v>
      </c>
      <c r="E7" s="2">
        <f t="shared" si="9"/>
        <v>1912.008</v>
      </c>
      <c r="F7" s="3">
        <f t="shared" si="9"/>
        <v>2553.096</v>
      </c>
      <c r="G7" s="2">
        <f t="shared" si="9"/>
        <v>3194.1849999999999</v>
      </c>
      <c r="I7" s="1">
        <f>SUM(F13:F16)</f>
        <v>10742.898999999999</v>
      </c>
      <c r="K7" s="14" t="s">
        <v>71</v>
      </c>
      <c r="L7" s="49">
        <v>502.92331191508157</v>
      </c>
      <c r="M7" s="49">
        <v>448.02913467537019</v>
      </c>
      <c r="N7" s="49">
        <v>557.81748915479295</v>
      </c>
      <c r="O7" s="1">
        <f t="shared" si="0"/>
        <v>448.029</v>
      </c>
      <c r="P7" s="1">
        <f t="shared" si="1"/>
        <v>502.923</v>
      </c>
      <c r="Q7" s="1">
        <f t="shared" si="2"/>
        <v>557.81700000000001</v>
      </c>
      <c r="R7" s="14" t="str">
        <f t="shared" si="6"/>
        <v>2023Q1</v>
      </c>
      <c r="S7" s="65">
        <v>2552.0070658439718</v>
      </c>
      <c r="T7" s="65">
        <v>1856.658758706548</v>
      </c>
      <c r="U7" s="65">
        <v>3247.3553729813952</v>
      </c>
      <c r="V7" s="1">
        <f t="shared" si="3"/>
        <v>1856.6590000000001</v>
      </c>
      <c r="W7" s="1">
        <f t="shared" si="4"/>
        <v>2552.0070000000001</v>
      </c>
      <c r="X7" s="1">
        <f t="shared" si="5"/>
        <v>3247.355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448.029</v>
      </c>
      <c r="C8" s="3">
        <f t="shared" si="8"/>
        <v>502.923</v>
      </c>
      <c r="D8" s="2">
        <f t="shared" si="8"/>
        <v>557.81700000000001</v>
      </c>
      <c r="E8" s="2">
        <f t="shared" si="9"/>
        <v>1856.6590000000001</v>
      </c>
      <c r="F8" s="3">
        <f t="shared" si="9"/>
        <v>2552.0070000000001</v>
      </c>
      <c r="G8" s="2">
        <f t="shared" si="9"/>
        <v>3247.355</v>
      </c>
      <c r="I8" s="1">
        <f>SUM(F17:F20)</f>
        <v>11002.616</v>
      </c>
      <c r="K8" s="14" t="s">
        <v>72</v>
      </c>
      <c r="L8" s="49">
        <v>532.44587181816553</v>
      </c>
      <c r="M8" s="49">
        <v>474.67652239841192</v>
      </c>
      <c r="N8" s="49">
        <v>590.2152212379192</v>
      </c>
      <c r="O8" s="1">
        <f t="shared" si="0"/>
        <v>474.67700000000002</v>
      </c>
      <c r="P8" s="1">
        <f t="shared" si="1"/>
        <v>532.44600000000003</v>
      </c>
      <c r="Q8" s="1">
        <f t="shared" si="2"/>
        <v>590.21500000000003</v>
      </c>
      <c r="R8" s="14" t="str">
        <f t="shared" si="6"/>
        <v>2023Q2</v>
      </c>
      <c r="S8" s="65">
        <v>2634.5698826812159</v>
      </c>
      <c r="T8" s="65">
        <v>1888.90034536231</v>
      </c>
      <c r="U8" s="65">
        <v>3380.2394200001213</v>
      </c>
      <c r="V8" s="1">
        <f t="shared" si="3"/>
        <v>1888.9</v>
      </c>
      <c r="W8" s="1">
        <f t="shared" si="4"/>
        <v>2634.57</v>
      </c>
      <c r="X8" s="1">
        <f t="shared" si="5"/>
        <v>3380.239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474.67700000000002</v>
      </c>
      <c r="C9" s="3">
        <f t="shared" si="8"/>
        <v>532.44600000000003</v>
      </c>
      <c r="D9" s="2">
        <f t="shared" si="8"/>
        <v>590.21500000000003</v>
      </c>
      <c r="E9" s="2">
        <f t="shared" si="9"/>
        <v>1888.9</v>
      </c>
      <c r="F9" s="3">
        <f t="shared" si="9"/>
        <v>2634.57</v>
      </c>
      <c r="G9" s="2">
        <f t="shared" si="9"/>
        <v>3380.239</v>
      </c>
      <c r="I9" s="1">
        <f>SUM(F21:F24)</f>
        <v>11262.334000000001</v>
      </c>
      <c r="K9" s="14" t="s">
        <v>73</v>
      </c>
      <c r="L9" s="49">
        <v>534.3984523691521</v>
      </c>
      <c r="M9" s="49">
        <v>474.2998662094227</v>
      </c>
      <c r="N9" s="49">
        <v>594.49703852888149</v>
      </c>
      <c r="O9" s="1">
        <f t="shared" si="0"/>
        <v>474.3</v>
      </c>
      <c r="P9" s="1">
        <f t="shared" si="1"/>
        <v>534.39800000000002</v>
      </c>
      <c r="Q9" s="1">
        <f t="shared" si="2"/>
        <v>594.49699999999996</v>
      </c>
      <c r="R9" s="14" t="str">
        <f t="shared" si="6"/>
        <v>2023Q3</v>
      </c>
      <c r="S9" s="65">
        <v>2613.6481744607372</v>
      </c>
      <c r="T9" s="65">
        <v>1820.8449988550078</v>
      </c>
      <c r="U9" s="65">
        <v>3406.4513500664666</v>
      </c>
      <c r="V9" s="1">
        <f t="shared" si="3"/>
        <v>1820.845</v>
      </c>
      <c r="W9" s="1">
        <f t="shared" si="4"/>
        <v>2613.6480000000001</v>
      </c>
      <c r="X9" s="1">
        <f t="shared" si="5"/>
        <v>3406.451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474.3</v>
      </c>
      <c r="C10" s="3">
        <f t="shared" si="8"/>
        <v>534.39800000000002</v>
      </c>
      <c r="D10" s="2">
        <f t="shared" si="8"/>
        <v>594.49699999999996</v>
      </c>
      <c r="E10" s="2">
        <f t="shared" si="9"/>
        <v>1820.845</v>
      </c>
      <c r="F10" s="3">
        <f t="shared" si="9"/>
        <v>2613.6480000000001</v>
      </c>
      <c r="G10" s="2">
        <f t="shared" si="9"/>
        <v>3406.451</v>
      </c>
      <c r="I10" s="1">
        <f>SUM(F25:F28)</f>
        <v>11522.051000000001</v>
      </c>
      <c r="K10" s="14" t="s">
        <v>74</v>
      </c>
      <c r="L10" s="49">
        <v>530.18261720343889</v>
      </c>
      <c r="M10" s="49">
        <v>468.17836991063683</v>
      </c>
      <c r="N10" s="49">
        <v>592.18686449624101</v>
      </c>
      <c r="O10" s="1">
        <f t="shared" si="0"/>
        <v>468.178</v>
      </c>
      <c r="P10" s="1">
        <f t="shared" si="1"/>
        <v>530.18299999999999</v>
      </c>
      <c r="Q10" s="1">
        <f t="shared" si="2"/>
        <v>592.18700000000001</v>
      </c>
      <c r="R10" s="14" t="str">
        <f t="shared" si="6"/>
        <v>2023Q4</v>
      </c>
      <c r="S10" s="65">
        <v>2618.0263436478672</v>
      </c>
      <c r="T10" s="65">
        <v>1780.7386449585847</v>
      </c>
      <c r="U10" s="65">
        <v>3455.3140423371497</v>
      </c>
      <c r="V10" s="1">
        <f t="shared" si="3"/>
        <v>1780.739</v>
      </c>
      <c r="W10" s="1">
        <f t="shared" si="4"/>
        <v>2618.0259999999998</v>
      </c>
      <c r="X10" s="1">
        <f t="shared" si="5"/>
        <v>3455.3139999999999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468.178</v>
      </c>
      <c r="C11" s="3">
        <f t="shared" si="8"/>
        <v>530.18299999999999</v>
      </c>
      <c r="D11" s="2">
        <f t="shared" si="8"/>
        <v>592.18700000000001</v>
      </c>
      <c r="E11" s="2">
        <f t="shared" si="9"/>
        <v>1780.739</v>
      </c>
      <c r="F11" s="3">
        <f t="shared" si="9"/>
        <v>2618.0259999999998</v>
      </c>
      <c r="G11" s="2">
        <f t="shared" si="9"/>
        <v>3455.3139999999999</v>
      </c>
      <c r="I11" s="1">
        <f>SUM(F29:F32)</f>
        <v>11781.768000000002</v>
      </c>
      <c r="K11" s="14" t="s">
        <v>75</v>
      </c>
      <c r="L11" s="49">
        <v>502.96450371728946</v>
      </c>
      <c r="M11" s="49">
        <v>439.38983290482406</v>
      </c>
      <c r="N11" s="49">
        <v>566.53917452975497</v>
      </c>
      <c r="O11" s="1">
        <f t="shared" si="0"/>
        <v>439.39</v>
      </c>
      <c r="P11" s="1">
        <f t="shared" si="1"/>
        <v>502.96499999999997</v>
      </c>
      <c r="Q11" s="1">
        <f t="shared" si="2"/>
        <v>566.53899999999999</v>
      </c>
      <c r="R11" s="14" t="str">
        <f t="shared" si="6"/>
        <v>2024Q1</v>
      </c>
      <c r="S11" s="65">
        <v>2616.936440267365</v>
      </c>
      <c r="T11" s="65">
        <v>1737.4112811263792</v>
      </c>
      <c r="U11" s="65">
        <v>3496.461599408351</v>
      </c>
      <c r="V11" s="1">
        <f t="shared" si="3"/>
        <v>1737.4110000000001</v>
      </c>
      <c r="W11" s="1">
        <f t="shared" si="4"/>
        <v>2616.9360000000001</v>
      </c>
      <c r="X11" s="1">
        <f t="shared" si="5"/>
        <v>3496.462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439.39</v>
      </c>
      <c r="C12" s="3">
        <f t="shared" si="8"/>
        <v>502.96499999999997</v>
      </c>
      <c r="D12" s="2">
        <f t="shared" si="8"/>
        <v>566.53899999999999</v>
      </c>
      <c r="E12" s="2">
        <f t="shared" si="9"/>
        <v>1737.4110000000001</v>
      </c>
      <c r="F12" s="3">
        <f t="shared" si="9"/>
        <v>2616.9360000000001</v>
      </c>
      <c r="G12" s="2">
        <f t="shared" si="9"/>
        <v>3496.462</v>
      </c>
      <c r="K12" s="14" t="s">
        <v>76</v>
      </c>
      <c r="L12" s="49">
        <v>533.38805499732166</v>
      </c>
      <c r="M12" s="49">
        <v>468.51213778495639</v>
      </c>
      <c r="N12" s="49">
        <v>598.26397220968693</v>
      </c>
      <c r="O12" s="1">
        <f t="shared" si="0"/>
        <v>468.512</v>
      </c>
      <c r="P12" s="1">
        <f t="shared" si="1"/>
        <v>533.38800000000003</v>
      </c>
      <c r="Q12" s="1">
        <f t="shared" si="2"/>
        <v>598.26400000000001</v>
      </c>
      <c r="R12" s="14" t="str">
        <f t="shared" si="6"/>
        <v>2024Q2</v>
      </c>
      <c r="S12" s="65">
        <v>2699.4992845141437</v>
      </c>
      <c r="T12" s="65">
        <v>1779.6741268104195</v>
      </c>
      <c r="U12" s="65">
        <v>3619.3244422178677</v>
      </c>
      <c r="V12" s="1">
        <f t="shared" si="3"/>
        <v>1779.674</v>
      </c>
      <c r="W12" s="1">
        <f t="shared" si="4"/>
        <v>2699.4989999999998</v>
      </c>
      <c r="X12" s="1">
        <f t="shared" si="5"/>
        <v>3619.3240000000001</v>
      </c>
    </row>
    <row r="13" spans="1:30" ht="15.5" thickTop="1" thickBot="1" x14ac:dyDescent="0.4">
      <c r="A13" s="5" t="str">
        <f t="shared" si="7"/>
        <v>2024Q2</v>
      </c>
      <c r="B13" s="2">
        <f t="shared" si="8"/>
        <v>468.512</v>
      </c>
      <c r="C13" s="3">
        <f t="shared" si="8"/>
        <v>533.38800000000003</v>
      </c>
      <c r="D13" s="2">
        <f t="shared" si="8"/>
        <v>598.26400000000001</v>
      </c>
      <c r="E13" s="2">
        <f t="shared" si="9"/>
        <v>1779.674</v>
      </c>
      <c r="F13" s="3">
        <f t="shared" si="9"/>
        <v>2699.4989999999998</v>
      </c>
      <c r="G13" s="2">
        <f t="shared" si="9"/>
        <v>3619.3240000000001</v>
      </c>
      <c r="K13" s="14" t="s">
        <v>77</v>
      </c>
      <c r="L13" s="49">
        <v>536.17010746991446</v>
      </c>
      <c r="M13" s="49">
        <v>470.21142295953661</v>
      </c>
      <c r="N13" s="49">
        <v>602.12879198029236</v>
      </c>
      <c r="O13" s="1">
        <f t="shared" si="0"/>
        <v>470.21100000000001</v>
      </c>
      <c r="P13" s="1">
        <f t="shared" si="1"/>
        <v>536.16999999999996</v>
      </c>
      <c r="Q13" s="1">
        <f t="shared" si="2"/>
        <v>602.12900000000002</v>
      </c>
      <c r="R13" s="14" t="str">
        <f t="shared" si="6"/>
        <v>2024Q3</v>
      </c>
      <c r="S13" s="65">
        <v>2678.5775749729164</v>
      </c>
      <c r="T13" s="65">
        <v>1720.1454511751363</v>
      </c>
      <c r="U13" s="65">
        <v>3637.0096987706966</v>
      </c>
      <c r="V13" s="1">
        <f t="shared" si="3"/>
        <v>1720.145</v>
      </c>
      <c r="W13" s="1">
        <f t="shared" si="4"/>
        <v>2678.578</v>
      </c>
      <c r="X13" s="1">
        <f t="shared" si="5"/>
        <v>3637.01</v>
      </c>
    </row>
    <row r="14" spans="1:30" ht="15.5" thickTop="1" thickBot="1" x14ac:dyDescent="0.4">
      <c r="A14" s="5" t="str">
        <f t="shared" si="7"/>
        <v>2024Q3</v>
      </c>
      <c r="B14" s="2">
        <f t="shared" si="8"/>
        <v>470.21100000000001</v>
      </c>
      <c r="C14" s="3">
        <f t="shared" si="8"/>
        <v>536.16999999999996</v>
      </c>
      <c r="D14" s="2">
        <f t="shared" si="8"/>
        <v>602.12900000000002</v>
      </c>
      <c r="E14" s="2">
        <f t="shared" si="9"/>
        <v>1720.145</v>
      </c>
      <c r="F14" s="3">
        <f t="shared" si="9"/>
        <v>2678.578</v>
      </c>
      <c r="G14" s="2">
        <f t="shared" si="9"/>
        <v>3637.01</v>
      </c>
      <c r="K14" s="14" t="s">
        <v>82</v>
      </c>
      <c r="L14" s="49">
        <v>532.71790188638806</v>
      </c>
      <c r="M14" s="49">
        <v>465.85525154194767</v>
      </c>
      <c r="N14" s="49">
        <v>599.5805522308284</v>
      </c>
      <c r="O14" s="1">
        <f t="shared" si="0"/>
        <v>465.85500000000002</v>
      </c>
      <c r="P14" s="1">
        <f t="shared" si="1"/>
        <v>532.71799999999996</v>
      </c>
      <c r="Q14" s="1">
        <f t="shared" si="2"/>
        <v>599.58100000000002</v>
      </c>
      <c r="R14" s="14" t="str">
        <f t="shared" si="6"/>
        <v>2024Q4</v>
      </c>
      <c r="S14" s="65">
        <v>2682.9557442236874</v>
      </c>
      <c r="T14" s="65">
        <v>1687.4127008999146</v>
      </c>
      <c r="U14" s="65">
        <v>3678.4987875474603</v>
      </c>
      <c r="V14" s="1">
        <f t="shared" si="3"/>
        <v>1687.413</v>
      </c>
      <c r="W14" s="1">
        <f t="shared" si="4"/>
        <v>2682.9560000000001</v>
      </c>
      <c r="X14" s="1">
        <f t="shared" si="5"/>
        <v>3678.4989999999998</v>
      </c>
    </row>
    <row r="15" spans="1:30" ht="15.5" thickTop="1" thickBot="1" x14ac:dyDescent="0.4">
      <c r="A15" s="5" t="str">
        <f t="shared" si="7"/>
        <v>2024Q4</v>
      </c>
      <c r="B15" s="2">
        <f t="shared" si="8"/>
        <v>465.85500000000002</v>
      </c>
      <c r="C15" s="3">
        <f t="shared" si="8"/>
        <v>532.71799999999996</v>
      </c>
      <c r="D15" s="2">
        <f t="shared" si="8"/>
        <v>599.58100000000002</v>
      </c>
      <c r="E15" s="2">
        <f t="shared" si="9"/>
        <v>1687.413</v>
      </c>
      <c r="F15" s="3">
        <f t="shared" si="9"/>
        <v>2682.9560000000001</v>
      </c>
      <c r="G15" s="2">
        <f t="shared" si="9"/>
        <v>3678.4989999999998</v>
      </c>
      <c r="K15" s="14" t="s">
        <v>79</v>
      </c>
      <c r="L15" s="49">
        <v>506.20280211728135</v>
      </c>
      <c r="M15" s="49">
        <v>438.58346204525071</v>
      </c>
      <c r="N15" s="49">
        <v>573.82214218931199</v>
      </c>
      <c r="O15" s="1">
        <f t="shared" si="0"/>
        <v>438.58300000000003</v>
      </c>
      <c r="P15" s="1">
        <f t="shared" si="1"/>
        <v>506.20299999999997</v>
      </c>
      <c r="Q15" s="1">
        <f t="shared" si="2"/>
        <v>573.822</v>
      </c>
      <c r="R15" s="14" t="str">
        <f t="shared" si="6"/>
        <v>2025Q1</v>
      </c>
      <c r="S15" s="65">
        <v>2681.8658408401184</v>
      </c>
      <c r="T15" s="65">
        <v>1650.5464110351738</v>
      </c>
      <c r="U15" s="65">
        <v>3713.1852706450632</v>
      </c>
      <c r="V15" s="1">
        <f t="shared" si="3"/>
        <v>1650.546</v>
      </c>
      <c r="W15" s="1">
        <f t="shared" si="4"/>
        <v>2681.866</v>
      </c>
      <c r="X15" s="1">
        <f t="shared" si="5"/>
        <v>3713.1849999999999</v>
      </c>
    </row>
    <row r="16" spans="1:30" ht="15.5" thickTop="1" thickBot="1" x14ac:dyDescent="0.4">
      <c r="A16" s="5" t="str">
        <f t="shared" si="7"/>
        <v>2025Q1</v>
      </c>
      <c r="B16" s="2">
        <f t="shared" si="8"/>
        <v>438.58300000000003</v>
      </c>
      <c r="C16" s="3">
        <f t="shared" si="8"/>
        <v>506.20299999999997</v>
      </c>
      <c r="D16" s="2">
        <f t="shared" si="8"/>
        <v>573.822</v>
      </c>
      <c r="E16" s="2">
        <f t="shared" si="9"/>
        <v>1650.546</v>
      </c>
      <c r="F16" s="3">
        <f t="shared" si="9"/>
        <v>2681.866</v>
      </c>
      <c r="G16" s="2">
        <f t="shared" si="9"/>
        <v>3713.1849999999999</v>
      </c>
      <c r="K16" s="14" t="s">
        <v>80</v>
      </c>
      <c r="L16" s="49">
        <v>537.27356285315318</v>
      </c>
      <c r="M16" s="49">
        <v>469.01946284893575</v>
      </c>
      <c r="N16" s="49">
        <v>605.52766285737061</v>
      </c>
      <c r="O16" s="1">
        <f t="shared" si="0"/>
        <v>469.01900000000001</v>
      </c>
      <c r="P16" s="1">
        <f t="shared" si="1"/>
        <v>537.274</v>
      </c>
      <c r="Q16" s="1">
        <f t="shared" si="2"/>
        <v>605.52800000000002</v>
      </c>
      <c r="R16" s="14" t="str">
        <f t="shared" si="6"/>
        <v>2025Q2</v>
      </c>
      <c r="S16" s="65">
        <v>2764.4286850870453</v>
      </c>
      <c r="T16" s="65">
        <v>1698.5330140779017</v>
      </c>
      <c r="U16" s="65">
        <v>3830.3243560961887</v>
      </c>
      <c r="V16" s="1">
        <f t="shared" si="3"/>
        <v>1698.5329999999999</v>
      </c>
      <c r="W16" s="1">
        <f t="shared" si="4"/>
        <v>2764.4290000000001</v>
      </c>
      <c r="X16" s="1">
        <f t="shared" si="5"/>
        <v>3830.3240000000001</v>
      </c>
    </row>
    <row r="17" spans="1:24" ht="15.5" thickTop="1" thickBot="1" x14ac:dyDescent="0.4">
      <c r="A17" s="5" t="str">
        <f t="shared" si="7"/>
        <v>2025Q2</v>
      </c>
      <c r="B17" s="2">
        <f t="shared" si="8"/>
        <v>469.01900000000001</v>
      </c>
      <c r="C17" s="3">
        <f t="shared" si="8"/>
        <v>537.274</v>
      </c>
      <c r="D17" s="2">
        <f t="shared" si="8"/>
        <v>605.52800000000002</v>
      </c>
      <c r="E17" s="2">
        <f t="shared" si="9"/>
        <v>1698.5329999999999</v>
      </c>
      <c r="F17" s="3">
        <f t="shared" si="9"/>
        <v>2764.4290000000001</v>
      </c>
      <c r="G17" s="2">
        <f t="shared" si="9"/>
        <v>3830.3240000000001</v>
      </c>
      <c r="K17" s="14" t="s">
        <v>81</v>
      </c>
      <c r="L17" s="49">
        <v>540.65145018582552</v>
      </c>
      <c r="M17" s="49">
        <v>471.86394925922923</v>
      </c>
      <c r="N17" s="49">
        <v>609.43895111242182</v>
      </c>
      <c r="O17" s="1">
        <f t="shared" si="0"/>
        <v>471.86399999999998</v>
      </c>
      <c r="P17" s="1">
        <f t="shared" si="1"/>
        <v>540.65099999999995</v>
      </c>
      <c r="Q17" s="1">
        <f t="shared" si="2"/>
        <v>609.43899999999996</v>
      </c>
      <c r="R17" s="14" t="str">
        <f t="shared" si="6"/>
        <v>2025Q3</v>
      </c>
      <c r="S17" s="65">
        <v>2743.5069755458107</v>
      </c>
      <c r="T17" s="65">
        <v>1644.1219671620922</v>
      </c>
      <c r="U17" s="65">
        <v>3842.8919839295295</v>
      </c>
      <c r="V17" s="1">
        <f t="shared" si="3"/>
        <v>1644.1220000000001</v>
      </c>
      <c r="W17" s="1">
        <f t="shared" si="4"/>
        <v>2743.5070000000001</v>
      </c>
      <c r="X17" s="1">
        <f t="shared" si="5"/>
        <v>3842.8919999999998</v>
      </c>
    </row>
    <row r="18" spans="1:24" ht="15.5" thickTop="1" thickBot="1" x14ac:dyDescent="0.4">
      <c r="A18" s="5" t="str">
        <f t="shared" si="7"/>
        <v>2025Q3</v>
      </c>
      <c r="B18" s="2">
        <f t="shared" si="8"/>
        <v>471.86399999999998</v>
      </c>
      <c r="C18" s="3">
        <f t="shared" si="8"/>
        <v>540.65099999999995</v>
      </c>
      <c r="D18" s="2">
        <f t="shared" si="8"/>
        <v>609.43899999999996</v>
      </c>
      <c r="E18" s="2">
        <f t="shared" si="9"/>
        <v>1644.1220000000001</v>
      </c>
      <c r="F18" s="3">
        <f t="shared" si="9"/>
        <v>2743.5070000000001</v>
      </c>
      <c r="G18" s="2">
        <f t="shared" si="9"/>
        <v>3842.8919999999998</v>
      </c>
      <c r="K18" s="14" t="s">
        <v>78</v>
      </c>
      <c r="L18" s="49">
        <v>537.74778291131622</v>
      </c>
      <c r="M18" s="49">
        <v>468.51141867196515</v>
      </c>
      <c r="N18" s="49">
        <v>606.98414715066735</v>
      </c>
      <c r="O18" s="1">
        <f t="shared" si="0"/>
        <v>468.51100000000002</v>
      </c>
      <c r="P18" s="1">
        <f t="shared" si="1"/>
        <v>537.74800000000005</v>
      </c>
      <c r="Q18" s="1">
        <f t="shared" si="2"/>
        <v>606.98400000000004</v>
      </c>
      <c r="R18" s="14" t="str">
        <f t="shared" si="6"/>
        <v>2025Q4</v>
      </c>
      <c r="S18" s="65">
        <v>2747.8851447965826</v>
      </c>
      <c r="T18" s="65">
        <v>1616.0012232561692</v>
      </c>
      <c r="U18" s="65">
        <v>3879.7690663369963</v>
      </c>
      <c r="V18" s="1">
        <f t="shared" si="3"/>
        <v>1616.001</v>
      </c>
      <c r="W18" s="1">
        <f t="shared" si="4"/>
        <v>2747.8850000000002</v>
      </c>
      <c r="X18" s="1">
        <f t="shared" si="5"/>
        <v>3879.7689999999998</v>
      </c>
    </row>
    <row r="19" spans="1:24" ht="15.5" thickTop="1" thickBot="1" x14ac:dyDescent="0.4">
      <c r="A19" s="5" t="str">
        <f t="shared" si="7"/>
        <v>2025Q4</v>
      </c>
      <c r="B19" s="2">
        <f t="shared" si="8"/>
        <v>468.51100000000002</v>
      </c>
      <c r="C19" s="3">
        <f t="shared" si="8"/>
        <v>537.74800000000005</v>
      </c>
      <c r="D19" s="2">
        <f t="shared" si="8"/>
        <v>606.98400000000004</v>
      </c>
      <c r="E19" s="2">
        <f t="shared" si="9"/>
        <v>1616.001</v>
      </c>
      <c r="F19" s="3">
        <f t="shared" si="9"/>
        <v>2747.8850000000002</v>
      </c>
      <c r="G19" s="2">
        <f t="shared" si="9"/>
        <v>3879.7689999999998</v>
      </c>
      <c r="K19" s="14" t="s">
        <v>90</v>
      </c>
      <c r="L19" s="49">
        <v>511.73767923528663</v>
      </c>
      <c r="M19" s="49">
        <v>442.12314965302227</v>
      </c>
      <c r="N19" s="49">
        <v>581.35220881755106</v>
      </c>
      <c r="O19" s="1">
        <f t="shared" si="0"/>
        <v>442.12299999999999</v>
      </c>
      <c r="P19" s="1">
        <f t="shared" si="1"/>
        <v>511.738</v>
      </c>
      <c r="Q19" s="1">
        <f t="shared" si="2"/>
        <v>581.35199999999998</v>
      </c>
      <c r="R19" s="14" t="str">
        <f t="shared" si="6"/>
        <v>2026Q1</v>
      </c>
      <c r="S19" s="65">
        <v>2746.7952414130136</v>
      </c>
      <c r="T19" s="65">
        <v>1583.3198325518974</v>
      </c>
      <c r="U19" s="65">
        <v>3910.2706502741298</v>
      </c>
      <c r="V19" s="1">
        <f t="shared" si="3"/>
        <v>1583.32</v>
      </c>
      <c r="W19" s="1">
        <f t="shared" si="4"/>
        <v>2746.7950000000001</v>
      </c>
      <c r="X19" s="1">
        <f t="shared" si="5"/>
        <v>3910.2710000000002</v>
      </c>
    </row>
    <row r="20" spans="1:24" ht="15.5" thickTop="1" thickBot="1" x14ac:dyDescent="0.4">
      <c r="A20" s="5" t="str">
        <f t="shared" si="7"/>
        <v>2026Q1</v>
      </c>
      <c r="B20" s="2">
        <f t="shared" si="8"/>
        <v>442.12299999999999</v>
      </c>
      <c r="C20" s="3">
        <f t="shared" si="8"/>
        <v>511.738</v>
      </c>
      <c r="D20" s="2">
        <f t="shared" si="8"/>
        <v>581.35199999999998</v>
      </c>
      <c r="E20" s="2">
        <f t="shared" si="9"/>
        <v>1583.32</v>
      </c>
      <c r="F20" s="3">
        <f t="shared" si="9"/>
        <v>2746.7950000000001</v>
      </c>
      <c r="G20" s="2">
        <f t="shared" si="9"/>
        <v>3910.2710000000002</v>
      </c>
      <c r="K20" s="14" t="s">
        <v>91</v>
      </c>
      <c r="L20" s="49">
        <v>543.27335016946358</v>
      </c>
      <c r="M20" s="49">
        <v>473.33990995968054</v>
      </c>
      <c r="N20" s="49">
        <v>613.20679037924663</v>
      </c>
      <c r="O20" s="1">
        <f t="shared" si="0"/>
        <v>473.34</v>
      </c>
      <c r="P20" s="1">
        <f t="shared" si="1"/>
        <v>543.27300000000002</v>
      </c>
      <c r="Q20" s="1">
        <f t="shared" si="2"/>
        <v>613.20699999999999</v>
      </c>
      <c r="R20" s="14" t="str">
        <f t="shared" si="6"/>
        <v>2026Q2</v>
      </c>
      <c r="S20" s="65">
        <v>2829.3580856599401</v>
      </c>
      <c r="T20" s="65">
        <v>1635.1265996374946</v>
      </c>
      <c r="U20" s="65">
        <v>4023.5895716823857</v>
      </c>
      <c r="V20" s="1">
        <f t="shared" si="3"/>
        <v>1635.127</v>
      </c>
      <c r="W20" s="1">
        <f t="shared" si="4"/>
        <v>2829.3580000000002</v>
      </c>
      <c r="X20" s="1">
        <f t="shared" si="5"/>
        <v>4023.59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473.34</v>
      </c>
      <c r="C21" s="3">
        <f t="shared" si="10"/>
        <v>543.27300000000002</v>
      </c>
      <c r="D21" s="2">
        <f t="shared" si="10"/>
        <v>613.20699999999999</v>
      </c>
      <c r="E21" s="2">
        <f t="shared" ref="E21:G35" si="11">V20</f>
        <v>1635.127</v>
      </c>
      <c r="F21" s="3">
        <f t="shared" si="11"/>
        <v>2829.3580000000002</v>
      </c>
      <c r="G21" s="2">
        <f t="shared" si="11"/>
        <v>4023.59</v>
      </c>
      <c r="K21" s="14" t="s">
        <v>92</v>
      </c>
      <c r="L21" s="49">
        <v>547.07924376882033</v>
      </c>
      <c r="M21" s="49">
        <v>476.87664710814039</v>
      </c>
      <c r="N21" s="49">
        <v>617.28184042950022</v>
      </c>
      <c r="O21" s="1">
        <f t="shared" si="0"/>
        <v>476.87700000000001</v>
      </c>
      <c r="P21" s="1">
        <f t="shared" si="1"/>
        <v>547.07899999999995</v>
      </c>
      <c r="Q21" s="1">
        <f t="shared" si="2"/>
        <v>617.28200000000004</v>
      </c>
      <c r="R21" s="14" t="str">
        <f t="shared" si="6"/>
        <v>2026Q3</v>
      </c>
      <c r="S21" s="65">
        <v>2808.4363761187055</v>
      </c>
      <c r="T21" s="65">
        <v>1584.2212571995615</v>
      </c>
      <c r="U21" s="65">
        <v>4032.6514950378496</v>
      </c>
      <c r="V21" s="1">
        <f t="shared" si="3"/>
        <v>1584.221</v>
      </c>
      <c r="W21" s="1">
        <f t="shared" si="4"/>
        <v>2808.4360000000001</v>
      </c>
      <c r="X21" s="1">
        <f t="shared" si="5"/>
        <v>4032.6509999999998</v>
      </c>
    </row>
    <row r="22" spans="1:24" ht="15.5" thickTop="1" thickBot="1" x14ac:dyDescent="0.4">
      <c r="A22" s="5" t="str">
        <f t="shared" si="7"/>
        <v>2026Q3</v>
      </c>
      <c r="B22" s="2">
        <f t="shared" si="10"/>
        <v>476.87700000000001</v>
      </c>
      <c r="C22" s="3">
        <f t="shared" si="10"/>
        <v>547.07899999999995</v>
      </c>
      <c r="D22" s="2">
        <f t="shared" si="10"/>
        <v>617.28200000000004</v>
      </c>
      <c r="E22" s="2">
        <f t="shared" si="11"/>
        <v>1584.221</v>
      </c>
      <c r="F22" s="3">
        <f t="shared" si="11"/>
        <v>2808.4360000000001</v>
      </c>
      <c r="G22" s="2">
        <f t="shared" si="11"/>
        <v>4032.6509999999998</v>
      </c>
      <c r="K22" s="14" t="s">
        <v>93</v>
      </c>
      <c r="L22" s="49">
        <v>544.56960821267069</v>
      </c>
      <c r="M22" s="49">
        <v>474.13969502806691</v>
      </c>
      <c r="N22" s="49">
        <v>614.99952139727441</v>
      </c>
      <c r="O22" s="1">
        <f t="shared" si="0"/>
        <v>474.14</v>
      </c>
      <c r="P22" s="1">
        <f t="shared" si="1"/>
        <v>544.57000000000005</v>
      </c>
      <c r="Q22" s="1">
        <f t="shared" si="2"/>
        <v>615</v>
      </c>
      <c r="R22" s="14" t="str">
        <f t="shared" si="6"/>
        <v>2026Q4</v>
      </c>
      <c r="S22" s="65">
        <v>2812.8145453694769</v>
      </c>
      <c r="T22" s="65">
        <v>1559.3328053456942</v>
      </c>
      <c r="U22" s="65">
        <v>4066.29628539326</v>
      </c>
      <c r="V22" s="1">
        <f t="shared" si="3"/>
        <v>1559.3330000000001</v>
      </c>
      <c r="W22" s="1">
        <f t="shared" si="4"/>
        <v>2812.8150000000001</v>
      </c>
      <c r="X22" s="1">
        <f t="shared" si="5"/>
        <v>4066.2959999999998</v>
      </c>
    </row>
    <row r="23" spans="1:24" ht="15.5" thickTop="1" thickBot="1" x14ac:dyDescent="0.4">
      <c r="A23" s="5" t="str">
        <f t="shared" si="7"/>
        <v>2026Q4</v>
      </c>
      <c r="B23" s="2">
        <f t="shared" si="10"/>
        <v>474.14</v>
      </c>
      <c r="C23" s="3">
        <f t="shared" si="10"/>
        <v>544.57000000000005</v>
      </c>
      <c r="D23" s="2">
        <f t="shared" si="10"/>
        <v>615</v>
      </c>
      <c r="E23" s="2">
        <f t="shared" si="11"/>
        <v>1559.3330000000001</v>
      </c>
      <c r="F23" s="3">
        <f t="shared" si="11"/>
        <v>2812.8150000000001</v>
      </c>
      <c r="G23" s="2">
        <f t="shared" si="11"/>
        <v>4066.2959999999998</v>
      </c>
      <c r="K23" s="14" t="s">
        <v>94</v>
      </c>
      <c r="L23" s="49">
        <v>518.92225855955803</v>
      </c>
      <c r="M23" s="49">
        <v>448.30025754104878</v>
      </c>
      <c r="N23" s="49">
        <v>589.54425957806723</v>
      </c>
      <c r="O23" s="1">
        <f t="shared" si="0"/>
        <v>448.3</v>
      </c>
      <c r="P23" s="1">
        <f t="shared" si="1"/>
        <v>518.92200000000003</v>
      </c>
      <c r="Q23" s="1">
        <f t="shared" si="2"/>
        <v>589.54399999999998</v>
      </c>
      <c r="R23" s="14" t="str">
        <f t="shared" si="6"/>
        <v>2027Q1</v>
      </c>
      <c r="S23" s="65">
        <v>2811.724641985908</v>
      </c>
      <c r="T23" s="65">
        <v>1529.6441890673373</v>
      </c>
      <c r="U23" s="65">
        <v>4093.8050949044787</v>
      </c>
      <c r="V23" s="1">
        <f t="shared" si="3"/>
        <v>1529.644</v>
      </c>
      <c r="W23" s="1">
        <f t="shared" si="4"/>
        <v>2811.7249999999999</v>
      </c>
      <c r="X23" s="1">
        <f t="shared" si="5"/>
        <v>4093.8049999999998</v>
      </c>
    </row>
    <row r="24" spans="1:24" ht="15.5" thickTop="1" thickBot="1" x14ac:dyDescent="0.4">
      <c r="A24" s="5" t="str">
        <f t="shared" si="7"/>
        <v>2027Q1</v>
      </c>
      <c r="B24" s="2">
        <f t="shared" si="10"/>
        <v>448.3</v>
      </c>
      <c r="C24" s="3">
        <f t="shared" si="10"/>
        <v>518.92200000000003</v>
      </c>
      <c r="D24" s="2">
        <f t="shared" si="10"/>
        <v>589.54399999999998</v>
      </c>
      <c r="E24" s="2">
        <f t="shared" si="11"/>
        <v>1529.644</v>
      </c>
      <c r="F24" s="3">
        <f t="shared" si="11"/>
        <v>2811.7249999999999</v>
      </c>
      <c r="G24" s="2">
        <f t="shared" si="11"/>
        <v>4093.8049999999998</v>
      </c>
      <c r="K24" s="14" t="s">
        <v>95</v>
      </c>
      <c r="L24" s="49">
        <v>550.79188860162174</v>
      </c>
      <c r="M24" s="49">
        <v>480.00749286593992</v>
      </c>
      <c r="N24" s="49">
        <v>621.5762843373036</v>
      </c>
      <c r="O24" s="1">
        <f t="shared" si="0"/>
        <v>480.00700000000001</v>
      </c>
      <c r="P24" s="1">
        <f t="shared" si="1"/>
        <v>550.79200000000003</v>
      </c>
      <c r="Q24" s="1">
        <f t="shared" si="2"/>
        <v>621.57600000000002</v>
      </c>
      <c r="R24" s="14" t="str">
        <f t="shared" si="6"/>
        <v>2027Q2</v>
      </c>
      <c r="S24" s="65">
        <v>2894.2874862328349</v>
      </c>
      <c r="T24" s="65">
        <v>1584.2324862657631</v>
      </c>
      <c r="U24" s="65">
        <v>4204.3424861999065</v>
      </c>
      <c r="V24" s="1">
        <f t="shared" si="3"/>
        <v>1584.232</v>
      </c>
      <c r="W24" s="1">
        <f t="shared" si="4"/>
        <v>2894.2869999999998</v>
      </c>
      <c r="X24" s="1">
        <f t="shared" si="5"/>
        <v>4204.3419999999996</v>
      </c>
    </row>
    <row r="25" spans="1:24" ht="15.5" thickTop="1" thickBot="1" x14ac:dyDescent="0.4">
      <c r="A25" s="5" t="str">
        <f t="shared" si="7"/>
        <v>2027Q2</v>
      </c>
      <c r="B25" s="2">
        <f t="shared" si="10"/>
        <v>480.00700000000001</v>
      </c>
      <c r="C25" s="3">
        <f t="shared" si="10"/>
        <v>550.79200000000003</v>
      </c>
      <c r="D25" s="2">
        <f t="shared" si="10"/>
        <v>621.57600000000002</v>
      </c>
      <c r="E25" s="2">
        <f t="shared" si="11"/>
        <v>1584.232</v>
      </c>
      <c r="F25" s="3">
        <f t="shared" si="11"/>
        <v>2894.2869999999998</v>
      </c>
      <c r="G25" s="2">
        <f t="shared" si="11"/>
        <v>4204.3419999999996</v>
      </c>
      <c r="K25" s="14" t="s">
        <v>96</v>
      </c>
      <c r="L25" s="49">
        <v>554.90523209455569</v>
      </c>
      <c r="M25" s="49">
        <v>483.983490868648</v>
      </c>
      <c r="N25" s="49">
        <v>625.82697332046337</v>
      </c>
      <c r="O25" s="1">
        <f t="shared" si="0"/>
        <v>483.983</v>
      </c>
      <c r="P25" s="1">
        <f t="shared" si="1"/>
        <v>554.90499999999997</v>
      </c>
      <c r="Q25" s="1">
        <f t="shared" si="2"/>
        <v>625.827</v>
      </c>
      <c r="R25" s="14" t="str">
        <f t="shared" si="6"/>
        <v>2027Q3</v>
      </c>
      <c r="S25" s="65">
        <v>2873.3657766916003</v>
      </c>
      <c r="T25" s="65">
        <v>1535.9212290106282</v>
      </c>
      <c r="U25" s="65">
        <v>4210.8103243725727</v>
      </c>
      <c r="V25" s="1">
        <f t="shared" si="3"/>
        <v>1535.921</v>
      </c>
      <c r="W25" s="1">
        <f t="shared" si="4"/>
        <v>2873.366</v>
      </c>
      <c r="X25" s="1">
        <f t="shared" si="5"/>
        <v>4210.8100000000004</v>
      </c>
    </row>
    <row r="26" spans="1:24" ht="15.5" thickTop="1" thickBot="1" x14ac:dyDescent="0.4">
      <c r="A26" s="5" t="str">
        <f t="shared" si="7"/>
        <v>2027Q3</v>
      </c>
      <c r="B26" s="2">
        <f t="shared" si="10"/>
        <v>483.983</v>
      </c>
      <c r="C26" s="3">
        <f t="shared" si="10"/>
        <v>554.90499999999997</v>
      </c>
      <c r="D26" s="2">
        <f t="shared" si="10"/>
        <v>625.827</v>
      </c>
      <c r="E26" s="2">
        <f t="shared" si="11"/>
        <v>1535.921</v>
      </c>
      <c r="F26" s="3">
        <f t="shared" si="11"/>
        <v>2873.366</v>
      </c>
      <c r="G26" s="2">
        <f t="shared" si="11"/>
        <v>4210.8100000000004</v>
      </c>
      <c r="K26" s="14" t="s">
        <v>97</v>
      </c>
      <c r="L26" s="49">
        <v>552.67864148261719</v>
      </c>
      <c r="M26" s="49">
        <v>481.6407018540346</v>
      </c>
      <c r="N26" s="49">
        <v>623.71658111119973</v>
      </c>
      <c r="O26" s="1">
        <f t="shared" si="0"/>
        <v>481.64100000000002</v>
      </c>
      <c r="P26" s="1">
        <f t="shared" si="1"/>
        <v>552.67899999999997</v>
      </c>
      <c r="Q26" s="1">
        <f t="shared" si="2"/>
        <v>623.71699999999998</v>
      </c>
      <c r="R26" s="14" t="str">
        <f t="shared" si="6"/>
        <v>2027Q4</v>
      </c>
      <c r="S26" s="65">
        <v>2877.7439459423722</v>
      </c>
      <c r="T26" s="65">
        <v>1513.4596158614333</v>
      </c>
      <c r="U26" s="65">
        <v>4242.0282760233113</v>
      </c>
      <c r="V26" s="1">
        <f t="shared" si="3"/>
        <v>1513.46</v>
      </c>
      <c r="W26" s="1">
        <f t="shared" si="4"/>
        <v>2877.7440000000001</v>
      </c>
      <c r="X26" s="1">
        <f t="shared" si="5"/>
        <v>4242.0280000000002</v>
      </c>
    </row>
    <row r="27" spans="1:24" ht="15.5" thickTop="1" thickBot="1" x14ac:dyDescent="0.4">
      <c r="A27" s="5" t="str">
        <f t="shared" si="7"/>
        <v>2027Q4</v>
      </c>
      <c r="B27" s="2">
        <f t="shared" si="10"/>
        <v>481.64100000000002</v>
      </c>
      <c r="C27" s="3">
        <f t="shared" si="10"/>
        <v>552.67899999999997</v>
      </c>
      <c r="D27" s="2">
        <f t="shared" si="10"/>
        <v>623.71699999999998</v>
      </c>
      <c r="E27" s="2">
        <f t="shared" si="11"/>
        <v>1513.46</v>
      </c>
      <c r="F27" s="3">
        <f t="shared" si="11"/>
        <v>2877.7440000000001</v>
      </c>
      <c r="G27" s="2">
        <f t="shared" si="11"/>
        <v>4242.0280000000002</v>
      </c>
      <c r="K27" s="14" t="s">
        <v>98</v>
      </c>
      <c r="L27" s="49">
        <v>527.29186905563859</v>
      </c>
      <c r="M27" s="49">
        <v>456.15559480647931</v>
      </c>
      <c r="N27" s="49">
        <v>598.4281433047978</v>
      </c>
      <c r="O27" s="1">
        <f t="shared" si="0"/>
        <v>456.15600000000001</v>
      </c>
      <c r="P27" s="1">
        <f t="shared" si="1"/>
        <v>527.29200000000003</v>
      </c>
      <c r="Q27" s="1">
        <f t="shared" si="2"/>
        <v>598.428</v>
      </c>
      <c r="R27" s="14" t="str">
        <f t="shared" si="6"/>
        <v>2028Q1</v>
      </c>
      <c r="S27" s="65">
        <v>2876.6540425588032</v>
      </c>
      <c r="T27" s="65">
        <v>1486.0478623311901</v>
      </c>
      <c r="U27" s="65">
        <v>4267.2602227864172</v>
      </c>
      <c r="V27" s="1">
        <f t="shared" si="3"/>
        <v>1486.048</v>
      </c>
      <c r="W27" s="1">
        <f t="shared" si="4"/>
        <v>2876.654</v>
      </c>
      <c r="X27" s="1">
        <f t="shared" si="5"/>
        <v>4267.26</v>
      </c>
    </row>
    <row r="28" spans="1:24" ht="15.5" thickTop="1" thickBot="1" x14ac:dyDescent="0.4">
      <c r="A28" s="5" t="str">
        <f t="shared" si="7"/>
        <v>2028Q1</v>
      </c>
      <c r="B28" s="2">
        <f t="shared" si="10"/>
        <v>456.15600000000001</v>
      </c>
      <c r="C28" s="3">
        <f t="shared" si="10"/>
        <v>527.29200000000003</v>
      </c>
      <c r="D28" s="2">
        <f t="shared" si="10"/>
        <v>598.428</v>
      </c>
      <c r="E28" s="2">
        <f t="shared" si="11"/>
        <v>1486.048</v>
      </c>
      <c r="F28" s="3">
        <f t="shared" si="11"/>
        <v>2876.654</v>
      </c>
      <c r="G28" s="2">
        <f t="shared" si="11"/>
        <v>4267.26</v>
      </c>
      <c r="K28" s="14" t="s">
        <v>99</v>
      </c>
      <c r="L28" s="49">
        <v>559.40139206229435</v>
      </c>
      <c r="M28" s="49">
        <v>488.18188122488056</v>
      </c>
      <c r="N28" s="49">
        <v>630.62090289970808</v>
      </c>
      <c r="O28" s="1">
        <f t="shared" si="0"/>
        <v>488.18200000000002</v>
      </c>
      <c r="P28" s="1">
        <f t="shared" si="1"/>
        <v>559.40099999999995</v>
      </c>
      <c r="Q28" s="1">
        <f t="shared" si="2"/>
        <v>630.62099999999998</v>
      </c>
      <c r="R28" s="14" t="str">
        <f t="shared" si="6"/>
        <v>2028Q2</v>
      </c>
      <c r="S28" s="65">
        <v>2959.2168868057302</v>
      </c>
      <c r="T28" s="65">
        <v>1542.777914004547</v>
      </c>
      <c r="U28" s="65">
        <v>4375.6558596069126</v>
      </c>
      <c r="V28" s="1">
        <f t="shared" si="3"/>
        <v>1542.778</v>
      </c>
      <c r="W28" s="1">
        <f t="shared" si="4"/>
        <v>2959.2170000000001</v>
      </c>
      <c r="X28" s="1">
        <f t="shared" si="5"/>
        <v>4375.6559999999999</v>
      </c>
    </row>
    <row r="29" spans="1:24" ht="15.5" thickTop="1" thickBot="1" x14ac:dyDescent="0.4">
      <c r="A29" s="5" t="str">
        <f t="shared" si="7"/>
        <v>2028Q2</v>
      </c>
      <c r="B29" s="2">
        <f t="shared" si="10"/>
        <v>488.18200000000002</v>
      </c>
      <c r="C29" s="3">
        <f t="shared" si="10"/>
        <v>559.40099999999995</v>
      </c>
      <c r="D29" s="2">
        <f t="shared" si="10"/>
        <v>630.62099999999998</v>
      </c>
      <c r="E29" s="2">
        <f t="shared" si="11"/>
        <v>1542.778</v>
      </c>
      <c r="F29" s="3">
        <f t="shared" si="11"/>
        <v>2959.2170000000001</v>
      </c>
      <c r="G29" s="2">
        <f t="shared" si="11"/>
        <v>4375.6559999999999</v>
      </c>
      <c r="K29" s="14" t="s">
        <v>100</v>
      </c>
      <c r="L29" s="49">
        <v>563.73558614648925</v>
      </c>
      <c r="M29" s="49">
        <v>492.44560475136518</v>
      </c>
      <c r="N29" s="49">
        <v>635.02556754161333</v>
      </c>
      <c r="O29" s="1">
        <f t="shared" si="0"/>
        <v>492.44600000000003</v>
      </c>
      <c r="P29" s="1">
        <f t="shared" si="1"/>
        <v>563.73599999999999</v>
      </c>
      <c r="Q29" s="1">
        <f t="shared" si="2"/>
        <v>635.02599999999995</v>
      </c>
      <c r="R29" s="14" t="str">
        <f t="shared" si="6"/>
        <v>2028Q3</v>
      </c>
      <c r="S29" s="65">
        <v>2938.2951772644951</v>
      </c>
      <c r="T29" s="65">
        <v>1496.4861819905352</v>
      </c>
      <c r="U29" s="65">
        <v>4380.1041725384548</v>
      </c>
      <c r="V29" s="1">
        <f t="shared" si="3"/>
        <v>1496.4860000000001</v>
      </c>
      <c r="W29" s="1">
        <f t="shared" si="4"/>
        <v>2938.2950000000001</v>
      </c>
      <c r="X29" s="1">
        <f t="shared" si="5"/>
        <v>4380.1040000000003</v>
      </c>
    </row>
    <row r="30" spans="1:24" ht="15.5" thickTop="1" thickBot="1" x14ac:dyDescent="0.4">
      <c r="A30" s="5" t="str">
        <f t="shared" si="7"/>
        <v>2028Q3</v>
      </c>
      <c r="B30" s="2">
        <f t="shared" si="10"/>
        <v>492.44600000000003</v>
      </c>
      <c r="C30" s="3">
        <f t="shared" si="10"/>
        <v>563.73599999999999</v>
      </c>
      <c r="D30" s="2">
        <f t="shared" si="10"/>
        <v>635.02599999999995</v>
      </c>
      <c r="E30" s="2">
        <f t="shared" si="11"/>
        <v>1496.4860000000001</v>
      </c>
      <c r="F30" s="3">
        <f t="shared" si="11"/>
        <v>2938.2950000000001</v>
      </c>
      <c r="G30" s="2">
        <f t="shared" si="11"/>
        <v>4380.1040000000003</v>
      </c>
      <c r="K30" s="14" t="s">
        <v>101</v>
      </c>
      <c r="L30" s="49">
        <v>561.71231530986495</v>
      </c>
      <c r="M30" s="49">
        <v>490.36266153038849</v>
      </c>
      <c r="N30" s="49">
        <v>633.06196908934146</v>
      </c>
      <c r="O30" s="1">
        <f t="shared" si="0"/>
        <v>490.363</v>
      </c>
      <c r="P30" s="1">
        <f t="shared" si="1"/>
        <v>561.71199999999999</v>
      </c>
      <c r="Q30" s="1">
        <f t="shared" si="2"/>
        <v>633.06200000000001</v>
      </c>
      <c r="R30" s="14" t="str">
        <f t="shared" si="6"/>
        <v>2028Q4</v>
      </c>
      <c r="S30" s="65">
        <v>2942.673346515267</v>
      </c>
      <c r="T30" s="65">
        <v>1475.9330852434418</v>
      </c>
      <c r="U30" s="65">
        <v>4409.4136077870926</v>
      </c>
      <c r="V30" s="1">
        <f t="shared" si="3"/>
        <v>1475.933</v>
      </c>
      <c r="W30" s="1">
        <f t="shared" si="4"/>
        <v>2942.6729999999998</v>
      </c>
      <c r="X30" s="1">
        <f t="shared" si="5"/>
        <v>4409.4139999999998</v>
      </c>
    </row>
    <row r="31" spans="1:24" ht="15.5" thickTop="1" thickBot="1" x14ac:dyDescent="0.4">
      <c r="A31" s="5" t="str">
        <f t="shared" si="7"/>
        <v>2028Q4</v>
      </c>
      <c r="B31" s="2">
        <f t="shared" si="10"/>
        <v>490.363</v>
      </c>
      <c r="C31" s="3">
        <f t="shared" si="10"/>
        <v>561.71199999999999</v>
      </c>
      <c r="D31" s="2">
        <f t="shared" si="10"/>
        <v>633.06200000000001</v>
      </c>
      <c r="E31" s="2">
        <f t="shared" si="11"/>
        <v>1475.933</v>
      </c>
      <c r="F31" s="3">
        <f t="shared" si="11"/>
        <v>2942.6729999999998</v>
      </c>
      <c r="G31" s="2">
        <f t="shared" si="11"/>
        <v>4409.4139999999998</v>
      </c>
      <c r="K31" s="14" t="s">
        <v>102</v>
      </c>
      <c r="L31" s="49">
        <v>536.5127234142933</v>
      </c>
      <c r="M31" s="49">
        <v>465.11253372605864</v>
      </c>
      <c r="N31" s="49">
        <v>607.91291310252791</v>
      </c>
      <c r="O31" s="1">
        <f t="shared" si="0"/>
        <v>465.113</v>
      </c>
      <c r="P31" s="1">
        <f t="shared" si="1"/>
        <v>536.51300000000003</v>
      </c>
      <c r="Q31" s="1">
        <f t="shared" si="2"/>
        <v>607.91300000000001</v>
      </c>
      <c r="R31" s="14" t="str">
        <f t="shared" si="6"/>
        <v>2029Q1</v>
      </c>
      <c r="S31" s="65">
        <v>2941.583443131698</v>
      </c>
      <c r="T31" s="65">
        <v>1450.3286663686599</v>
      </c>
      <c r="U31" s="65">
        <v>4432.8382198947365</v>
      </c>
      <c r="V31" s="1">
        <f t="shared" si="3"/>
        <v>1450.329</v>
      </c>
      <c r="W31" s="1">
        <f t="shared" si="4"/>
        <v>2941.5830000000001</v>
      </c>
      <c r="X31" s="1">
        <f t="shared" si="5"/>
        <v>4432.8379999999997</v>
      </c>
    </row>
    <row r="32" spans="1:24" ht="15.5" thickTop="1" thickBot="1" x14ac:dyDescent="0.4">
      <c r="A32" s="5" t="str">
        <f t="shared" si="7"/>
        <v>2029Q1</v>
      </c>
      <c r="B32" s="2">
        <f t="shared" si="10"/>
        <v>465.113</v>
      </c>
      <c r="C32" s="3">
        <f t="shared" si="10"/>
        <v>536.51300000000003</v>
      </c>
      <c r="D32" s="2">
        <f t="shared" si="10"/>
        <v>607.91300000000001</v>
      </c>
      <c r="E32" s="2">
        <f t="shared" si="11"/>
        <v>1450.329</v>
      </c>
      <c r="F32" s="3">
        <f t="shared" si="11"/>
        <v>2941.5830000000001</v>
      </c>
      <c r="G32" s="2">
        <f t="shared" si="11"/>
        <v>4432.8379999999997</v>
      </c>
      <c r="K32" s="14" t="s">
        <v>103</v>
      </c>
      <c r="L32" s="49">
        <v>568.79456881941564</v>
      </c>
      <c r="M32" s="49">
        <v>497.35157572684534</v>
      </c>
      <c r="N32" s="49">
        <v>640.23756191198595</v>
      </c>
      <c r="O32" s="1">
        <f t="shared" si="0"/>
        <v>497.35199999999998</v>
      </c>
      <c r="P32" s="1">
        <f t="shared" si="1"/>
        <v>568.79499999999996</v>
      </c>
      <c r="Q32" s="1">
        <f t="shared" si="2"/>
        <v>640.23800000000006</v>
      </c>
      <c r="R32" s="14" t="str">
        <f t="shared" si="6"/>
        <v>2029Q2</v>
      </c>
      <c r="S32" s="65">
        <v>3024.1462873786245</v>
      </c>
      <c r="T32" s="65">
        <v>1508.7735199047543</v>
      </c>
      <c r="U32" s="65">
        <v>4539.5190548524943</v>
      </c>
      <c r="V32" s="1">
        <f t="shared" si="3"/>
        <v>1508.7739999999999</v>
      </c>
      <c r="W32" s="1">
        <f t="shared" si="4"/>
        <v>3024.1460000000002</v>
      </c>
      <c r="X32" s="1">
        <f t="shared" si="5"/>
        <v>4539.5190000000002</v>
      </c>
    </row>
    <row r="33" spans="1:24" ht="15.5" thickTop="1" thickBot="1" x14ac:dyDescent="0.4">
      <c r="A33" s="5" t="str">
        <f t="shared" si="7"/>
        <v>2029Q2</v>
      </c>
      <c r="B33" s="2">
        <f t="shared" si="10"/>
        <v>497.35199999999998</v>
      </c>
      <c r="C33" s="3">
        <f t="shared" si="10"/>
        <v>568.79499999999996</v>
      </c>
      <c r="D33" s="2">
        <f t="shared" si="10"/>
        <v>640.23800000000006</v>
      </c>
      <c r="E33" s="2">
        <f t="shared" si="11"/>
        <v>1508.7739999999999</v>
      </c>
      <c r="F33" s="3">
        <f t="shared" si="11"/>
        <v>3024.1460000000002</v>
      </c>
      <c r="G33" s="2">
        <f t="shared" si="11"/>
        <v>4539.5190000000002</v>
      </c>
      <c r="K33" s="14" t="s">
        <v>107</v>
      </c>
      <c r="L33" s="49">
        <v>573.28740658727816</v>
      </c>
      <c r="M33" s="49">
        <v>501.80815580619009</v>
      </c>
      <c r="N33" s="49">
        <v>644.76665736836628</v>
      </c>
      <c r="O33" s="1">
        <f t="shared" si="0"/>
        <v>501.80799999999999</v>
      </c>
      <c r="P33" s="1">
        <f t="shared" si="1"/>
        <v>573.28700000000003</v>
      </c>
      <c r="Q33" s="1">
        <f t="shared" si="2"/>
        <v>644.76700000000005</v>
      </c>
      <c r="R33" s="14" t="str">
        <f t="shared" si="6"/>
        <v>2029Q3</v>
      </c>
      <c r="S33" s="65">
        <v>3003.2245778373899</v>
      </c>
      <c r="T33" s="65">
        <v>1464.1117036191758</v>
      </c>
      <c r="U33" s="65">
        <v>4542.3374520556035</v>
      </c>
      <c r="V33" s="1">
        <f t="shared" si="3"/>
        <v>1464.1120000000001</v>
      </c>
      <c r="W33" s="1">
        <f t="shared" si="4"/>
        <v>3003.2249999999999</v>
      </c>
      <c r="X33" s="1">
        <f t="shared" si="5"/>
        <v>4542.3370000000004</v>
      </c>
    </row>
    <row r="34" spans="1:24" ht="15.5" thickTop="1" thickBot="1" x14ac:dyDescent="0.4">
      <c r="A34" s="5" t="str">
        <f t="shared" si="7"/>
        <v>2029Q3</v>
      </c>
      <c r="B34" s="2">
        <f t="shared" si="10"/>
        <v>501.80799999999999</v>
      </c>
      <c r="C34" s="3">
        <f t="shared" si="10"/>
        <v>573.28700000000003</v>
      </c>
      <c r="D34" s="2">
        <f t="shared" si="10"/>
        <v>644.76700000000005</v>
      </c>
      <c r="E34" s="2">
        <f t="shared" si="11"/>
        <v>1464.1120000000001</v>
      </c>
      <c r="F34" s="3">
        <f t="shared" si="11"/>
        <v>3003.2249999999999</v>
      </c>
      <c r="G34" s="2">
        <f t="shared" si="11"/>
        <v>4542.3370000000004</v>
      </c>
      <c r="K34" s="14" t="s">
        <v>108</v>
      </c>
      <c r="L34" s="49">
        <v>571.41018651707532</v>
      </c>
      <c r="M34" s="49">
        <v>499.90022015312974</v>
      </c>
      <c r="N34" s="49">
        <v>642.92015288102095</v>
      </c>
      <c r="O34" s="1">
        <f t="shared" si="0"/>
        <v>499.9</v>
      </c>
      <c r="P34" s="1">
        <f t="shared" si="1"/>
        <v>571.41</v>
      </c>
      <c r="Q34" s="1">
        <f t="shared" si="2"/>
        <v>642.91999999999996</v>
      </c>
      <c r="R34" s="14" t="str">
        <f t="shared" si="6"/>
        <v>2029Q4</v>
      </c>
      <c r="S34" s="65">
        <v>3007.6027470881618</v>
      </c>
      <c r="T34" s="65">
        <v>1445.1104255815608</v>
      </c>
      <c r="U34" s="65">
        <v>4570.0950685947628</v>
      </c>
      <c r="V34" s="1">
        <f t="shared" si="3"/>
        <v>1445.11</v>
      </c>
      <c r="W34" s="1">
        <f t="shared" si="4"/>
        <v>3007.6030000000001</v>
      </c>
      <c r="X34" s="1">
        <f t="shared" si="5"/>
        <v>4570.0950000000003</v>
      </c>
    </row>
    <row r="35" spans="1:24" ht="13" thickTop="1" thickBot="1" x14ac:dyDescent="0.35">
      <c r="A35" s="5" t="str">
        <f t="shared" si="7"/>
        <v>2029Q4</v>
      </c>
      <c r="B35" s="2">
        <f t="shared" si="10"/>
        <v>499.9</v>
      </c>
      <c r="C35" s="3">
        <f t="shared" si="10"/>
        <v>571.41</v>
      </c>
      <c r="D35" s="2">
        <f t="shared" si="10"/>
        <v>642.91999999999996</v>
      </c>
      <c r="E35" s="2">
        <f t="shared" si="11"/>
        <v>1445.11</v>
      </c>
      <c r="F35" s="3">
        <f t="shared" si="11"/>
        <v>3007.6030000000001</v>
      </c>
      <c r="G35" s="2">
        <f t="shared" si="11"/>
        <v>4570.0950000000003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538.23824999999999</v>
      </c>
      <c r="F38" s="1">
        <f>AVERAGE(F4:F35)</f>
        <v>2767.0309375000002</v>
      </c>
    </row>
    <row r="40" spans="1:24" ht="12.5" thickBot="1" x14ac:dyDescent="0.35"/>
    <row r="41" spans="1:24" ht="15.5" thickTop="1" thickBot="1" x14ac:dyDescent="0.4">
      <c r="A41" s="30" t="s">
        <v>48</v>
      </c>
      <c r="B41" s="31"/>
      <c r="C41" s="31"/>
      <c r="D41" s="31"/>
      <c r="E41" s="31"/>
      <c r="F41" s="31"/>
      <c r="G41" s="31"/>
      <c r="K41" s="30" t="s">
        <v>25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499.34699999999998</v>
      </c>
      <c r="D44" s="6"/>
      <c r="E44" s="6"/>
      <c r="F44" s="9">
        <f>ROUND(F4-((G4-F4)*(0.5/2)),3)</f>
        <v>2380.7629999999999</v>
      </c>
      <c r="G44" s="6"/>
      <c r="K44" s="7" t="str">
        <f>A4</f>
        <v>2022Q1</v>
      </c>
      <c r="L44" s="6"/>
      <c r="M44" s="9">
        <f>ROUND(C4-((D4-C4)*(1/2)),3)</f>
        <v>491.36099999999999</v>
      </c>
      <c r="N44" s="6"/>
      <c r="O44" s="6"/>
      <c r="P44" s="9">
        <f>ROUND(F4-((G4-F4)*(1/2)),3)</f>
        <v>2269.5970000000002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525.452</v>
      </c>
      <c r="D45" s="6"/>
      <c r="E45" s="6"/>
      <c r="F45" s="9">
        <f t="shared" ref="F45:F75" si="14">ROUND(F5-((G5-F5)*(0.5/2)),3)</f>
        <v>2440.5279999999998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515.30200000000002</v>
      </c>
      <c r="N45" s="6"/>
      <c r="O45" s="6"/>
      <c r="P45" s="9">
        <f t="shared" ref="P45:P75" si="17">ROUND(F5-((G5-F5)*(1/2)),3)</f>
        <v>2311.6489999999999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524.726</v>
      </c>
      <c r="D46" s="6"/>
      <c r="E46" s="6"/>
      <c r="F46" s="9">
        <f t="shared" si="14"/>
        <v>2403.2800000000002</v>
      </c>
      <c r="G46" s="6"/>
      <c r="K46" s="7" t="str">
        <f t="shared" si="15"/>
        <v>2022Q3</v>
      </c>
      <c r="L46" s="6"/>
      <c r="M46" s="9">
        <f t="shared" si="16"/>
        <v>513.053</v>
      </c>
      <c r="N46" s="6"/>
      <c r="O46" s="6"/>
      <c r="P46" s="9">
        <f t="shared" si="17"/>
        <v>2257.83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518.29600000000005</v>
      </c>
      <c r="D47" s="6"/>
      <c r="E47" s="6"/>
      <c r="F47" s="9">
        <f t="shared" si="14"/>
        <v>2392.8240000000001</v>
      </c>
      <c r="G47" s="6"/>
      <c r="K47" s="7" t="str">
        <f t="shared" si="15"/>
        <v>2022Q4</v>
      </c>
      <c r="L47" s="6"/>
      <c r="M47" s="9">
        <f t="shared" si="16"/>
        <v>505.47300000000001</v>
      </c>
      <c r="N47" s="6"/>
      <c r="O47" s="6"/>
      <c r="P47" s="9">
        <f t="shared" si="17"/>
        <v>2232.5520000000001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489.2</v>
      </c>
      <c r="D48" s="6"/>
      <c r="E48" s="6"/>
      <c r="F48" s="9">
        <f t="shared" si="14"/>
        <v>2378.17</v>
      </c>
      <c r="G48" s="6"/>
      <c r="K48" s="7" t="str">
        <f t="shared" si="15"/>
        <v>2023Q1</v>
      </c>
      <c r="L48" s="6"/>
      <c r="M48" s="9">
        <f t="shared" si="16"/>
        <v>475.476</v>
      </c>
      <c r="N48" s="6"/>
      <c r="O48" s="6"/>
      <c r="P48" s="9">
        <f t="shared" si="17"/>
        <v>2204.3330000000001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518.00400000000002</v>
      </c>
      <c r="D49" s="6"/>
      <c r="E49" s="6"/>
      <c r="F49" s="9">
        <f t="shared" si="14"/>
        <v>2448.1529999999998</v>
      </c>
      <c r="G49" s="6"/>
      <c r="K49" s="7" t="str">
        <f t="shared" si="15"/>
        <v>2023Q2</v>
      </c>
      <c r="L49" s="6"/>
      <c r="M49" s="9">
        <f t="shared" si="16"/>
        <v>503.56200000000001</v>
      </c>
      <c r="N49" s="6"/>
      <c r="O49" s="6"/>
      <c r="P49" s="9">
        <f t="shared" si="17"/>
        <v>2261.7359999999999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519.37300000000005</v>
      </c>
      <c r="D50" s="6"/>
      <c r="E50" s="6"/>
      <c r="F50" s="9">
        <f t="shared" si="14"/>
        <v>2415.4470000000001</v>
      </c>
      <c r="G50" s="6"/>
      <c r="K50" s="7" t="str">
        <f t="shared" si="15"/>
        <v>2023Q3</v>
      </c>
      <c r="L50" s="6"/>
      <c r="M50" s="9">
        <f t="shared" si="16"/>
        <v>504.34899999999999</v>
      </c>
      <c r="N50" s="6"/>
      <c r="O50" s="6"/>
      <c r="P50" s="9">
        <f t="shared" si="17"/>
        <v>2217.2469999999998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514.68200000000002</v>
      </c>
      <c r="D51" s="6"/>
      <c r="E51" s="6"/>
      <c r="F51" s="9">
        <f t="shared" si="14"/>
        <v>2408.7040000000002</v>
      </c>
      <c r="G51" s="6"/>
      <c r="K51" s="7" t="str">
        <f t="shared" si="15"/>
        <v>2023Q4</v>
      </c>
      <c r="L51" s="6"/>
      <c r="M51" s="9">
        <f t="shared" si="16"/>
        <v>499.18099999999998</v>
      </c>
      <c r="N51" s="6"/>
      <c r="O51" s="6"/>
      <c r="P51" s="9">
        <f t="shared" si="17"/>
        <v>2199.3820000000001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487.072</v>
      </c>
      <c r="D52" s="6"/>
      <c r="E52" s="6"/>
      <c r="F52" s="9">
        <f t="shared" si="14"/>
        <v>2397.0549999999998</v>
      </c>
      <c r="G52" s="6"/>
      <c r="K52" s="7" t="str">
        <f t="shared" si="15"/>
        <v>2024Q1</v>
      </c>
      <c r="L52" s="6"/>
      <c r="M52" s="9">
        <f t="shared" si="16"/>
        <v>471.178</v>
      </c>
      <c r="N52" s="6"/>
      <c r="O52" s="6"/>
      <c r="P52" s="9">
        <f t="shared" si="17"/>
        <v>2177.1729999999998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517.16899999999998</v>
      </c>
      <c r="D53" s="6"/>
      <c r="E53" s="6"/>
      <c r="F53" s="9">
        <f t="shared" si="14"/>
        <v>2469.5430000000001</v>
      </c>
      <c r="G53" s="6"/>
      <c r="K53" s="7" t="str">
        <f t="shared" si="15"/>
        <v>2024Q2</v>
      </c>
      <c r="L53" s="6"/>
      <c r="M53" s="9">
        <f t="shared" si="16"/>
        <v>500.95</v>
      </c>
      <c r="N53" s="6"/>
      <c r="O53" s="6"/>
      <c r="P53" s="9">
        <f t="shared" si="17"/>
        <v>2239.587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519.67999999999995</v>
      </c>
      <c r="D54" s="6"/>
      <c r="E54" s="6"/>
      <c r="F54" s="9">
        <f t="shared" si="14"/>
        <v>2438.9699999999998</v>
      </c>
      <c r="G54" s="6"/>
      <c r="K54" s="7" t="str">
        <f t="shared" si="15"/>
        <v>2024Q3</v>
      </c>
      <c r="L54" s="6"/>
      <c r="M54" s="9">
        <f t="shared" si="16"/>
        <v>503.19099999999997</v>
      </c>
      <c r="N54" s="6"/>
      <c r="O54" s="6"/>
      <c r="P54" s="9">
        <f t="shared" si="17"/>
        <v>2199.3620000000001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516.00199999999995</v>
      </c>
      <c r="D55" s="6"/>
      <c r="E55" s="6"/>
      <c r="F55" s="9">
        <f t="shared" si="14"/>
        <v>2434.0700000000002</v>
      </c>
      <c r="G55" s="6"/>
      <c r="K55" s="7" t="str">
        <f t="shared" si="15"/>
        <v>2024Q4</v>
      </c>
      <c r="L55" s="6"/>
      <c r="M55" s="9">
        <f t="shared" si="16"/>
        <v>499.28699999999998</v>
      </c>
      <c r="N55" s="6"/>
      <c r="O55" s="6"/>
      <c r="P55" s="9">
        <f t="shared" si="17"/>
        <v>2185.1849999999999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489.298</v>
      </c>
      <c r="D56" s="6"/>
      <c r="E56" s="6"/>
      <c r="F56" s="9">
        <f t="shared" si="14"/>
        <v>2424.0360000000001</v>
      </c>
      <c r="G56" s="6"/>
      <c r="K56" s="7" t="str">
        <f t="shared" si="15"/>
        <v>2025Q1</v>
      </c>
      <c r="L56" s="6"/>
      <c r="M56" s="9">
        <f t="shared" si="16"/>
        <v>472.39400000000001</v>
      </c>
      <c r="N56" s="6"/>
      <c r="O56" s="6"/>
      <c r="P56" s="9">
        <f t="shared" si="17"/>
        <v>2166.2069999999999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520.21100000000001</v>
      </c>
      <c r="D57" s="6"/>
      <c r="E57" s="6"/>
      <c r="F57" s="9">
        <f t="shared" si="14"/>
        <v>2497.9549999999999</v>
      </c>
      <c r="G57" s="6"/>
      <c r="K57" s="7" t="str">
        <f t="shared" si="15"/>
        <v>2025Q2</v>
      </c>
      <c r="L57" s="6"/>
      <c r="M57" s="9">
        <f t="shared" si="16"/>
        <v>503.14699999999999</v>
      </c>
      <c r="N57" s="6"/>
      <c r="O57" s="6"/>
      <c r="P57" s="9">
        <f t="shared" si="17"/>
        <v>2231.482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523.45399999999995</v>
      </c>
      <c r="D58" s="6"/>
      <c r="E58" s="6"/>
      <c r="F58" s="9">
        <f t="shared" si="14"/>
        <v>2468.6610000000001</v>
      </c>
      <c r="G58" s="6"/>
      <c r="K58" s="7" t="str">
        <f t="shared" si="15"/>
        <v>2025Q3</v>
      </c>
      <c r="L58" s="6"/>
      <c r="M58" s="9">
        <f t="shared" si="16"/>
        <v>506.25700000000001</v>
      </c>
      <c r="N58" s="6"/>
      <c r="O58" s="6"/>
      <c r="P58" s="9">
        <f t="shared" si="17"/>
        <v>2193.8150000000001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520.43899999999996</v>
      </c>
      <c r="D59" s="6"/>
      <c r="E59" s="6"/>
      <c r="F59" s="9">
        <f t="shared" si="14"/>
        <v>2464.9140000000002</v>
      </c>
      <c r="G59" s="6"/>
      <c r="K59" s="7" t="str">
        <f t="shared" si="15"/>
        <v>2025Q4</v>
      </c>
      <c r="L59" s="6"/>
      <c r="M59" s="9">
        <f t="shared" si="16"/>
        <v>503.13</v>
      </c>
      <c r="N59" s="6"/>
      <c r="O59" s="6"/>
      <c r="P59" s="9">
        <f t="shared" si="17"/>
        <v>2181.9430000000002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494.33499999999998</v>
      </c>
      <c r="D60" s="6"/>
      <c r="E60" s="6"/>
      <c r="F60" s="9">
        <f t="shared" si="14"/>
        <v>2455.9259999999999</v>
      </c>
      <c r="G60" s="6"/>
      <c r="K60" s="7" t="str">
        <f t="shared" si="15"/>
        <v>2026Q1</v>
      </c>
      <c r="L60" s="6"/>
      <c r="M60" s="9">
        <f t="shared" si="16"/>
        <v>476.93099999999998</v>
      </c>
      <c r="N60" s="6"/>
      <c r="O60" s="6"/>
      <c r="P60" s="9">
        <f t="shared" si="17"/>
        <v>2165.0569999999998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525.79</v>
      </c>
      <c r="D61" s="6"/>
      <c r="E61" s="6"/>
      <c r="F61" s="9">
        <f t="shared" si="14"/>
        <v>2530.8000000000002</v>
      </c>
      <c r="G61" s="6"/>
      <c r="K61" s="7" t="str">
        <f t="shared" si="15"/>
        <v>2026Q2</v>
      </c>
      <c r="L61" s="6"/>
      <c r="M61" s="9">
        <f t="shared" si="16"/>
        <v>508.30599999999998</v>
      </c>
      <c r="N61" s="6"/>
      <c r="O61" s="6"/>
      <c r="P61" s="9">
        <f t="shared" si="17"/>
        <v>2232.2420000000002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529.52800000000002</v>
      </c>
      <c r="D62" s="6"/>
      <c r="E62" s="6"/>
      <c r="F62" s="9">
        <f t="shared" si="14"/>
        <v>2502.3820000000001</v>
      </c>
      <c r="G62" s="6"/>
      <c r="K62" s="7" t="str">
        <f t="shared" si="15"/>
        <v>2026Q3</v>
      </c>
      <c r="L62" s="6"/>
      <c r="M62" s="9">
        <f t="shared" si="16"/>
        <v>511.97800000000001</v>
      </c>
      <c r="N62" s="6"/>
      <c r="O62" s="6"/>
      <c r="P62" s="9">
        <f t="shared" si="17"/>
        <v>2196.3290000000002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526.96299999999997</v>
      </c>
      <c r="D63" s="6"/>
      <c r="E63" s="6"/>
      <c r="F63" s="9">
        <f t="shared" si="14"/>
        <v>2499.4450000000002</v>
      </c>
      <c r="G63" s="6"/>
      <c r="K63" s="7" t="str">
        <f t="shared" si="15"/>
        <v>2026Q4</v>
      </c>
      <c r="L63" s="6"/>
      <c r="M63" s="9">
        <f t="shared" si="16"/>
        <v>509.35500000000002</v>
      </c>
      <c r="N63" s="6"/>
      <c r="O63" s="6"/>
      <c r="P63" s="9">
        <f t="shared" si="17"/>
        <v>2186.0749999999998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501.267</v>
      </c>
      <c r="D64" s="6"/>
      <c r="E64" s="6"/>
      <c r="F64" s="9">
        <f t="shared" si="14"/>
        <v>2491.2049999999999</v>
      </c>
      <c r="G64" s="6"/>
      <c r="K64" s="7" t="str">
        <f t="shared" si="15"/>
        <v>2027Q1</v>
      </c>
      <c r="L64" s="6"/>
      <c r="M64" s="9">
        <f t="shared" si="16"/>
        <v>483.61099999999999</v>
      </c>
      <c r="N64" s="6"/>
      <c r="O64" s="6"/>
      <c r="P64" s="9">
        <f t="shared" si="17"/>
        <v>2170.6849999999999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533.096</v>
      </c>
      <c r="D65" s="6"/>
      <c r="E65" s="6"/>
      <c r="F65" s="9">
        <f t="shared" si="14"/>
        <v>2566.7730000000001</v>
      </c>
      <c r="G65" s="6"/>
      <c r="K65" s="7" t="str">
        <f t="shared" si="15"/>
        <v>2027Q2</v>
      </c>
      <c r="L65" s="6"/>
      <c r="M65" s="9">
        <f t="shared" si="16"/>
        <v>515.4</v>
      </c>
      <c r="N65" s="6"/>
      <c r="O65" s="6"/>
      <c r="P65" s="9">
        <f t="shared" si="17"/>
        <v>2239.2600000000002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537.17499999999995</v>
      </c>
      <c r="D66" s="6"/>
      <c r="E66" s="6"/>
      <c r="F66" s="9">
        <f t="shared" si="14"/>
        <v>2539.0050000000001</v>
      </c>
      <c r="G66" s="6"/>
      <c r="K66" s="7" t="str">
        <f t="shared" si="15"/>
        <v>2027Q3</v>
      </c>
      <c r="L66" s="6"/>
      <c r="M66" s="9">
        <f t="shared" si="16"/>
        <v>519.44399999999996</v>
      </c>
      <c r="N66" s="6"/>
      <c r="O66" s="6"/>
      <c r="P66" s="9">
        <f t="shared" si="17"/>
        <v>2204.6439999999998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534.91999999999996</v>
      </c>
      <c r="D67" s="6"/>
      <c r="E67" s="6"/>
      <c r="F67" s="9">
        <f t="shared" si="14"/>
        <v>2536.6729999999998</v>
      </c>
      <c r="G67" s="6"/>
      <c r="K67" s="7" t="str">
        <f t="shared" si="15"/>
        <v>2027Q4</v>
      </c>
      <c r="L67" s="6"/>
      <c r="M67" s="9">
        <f t="shared" si="16"/>
        <v>517.16</v>
      </c>
      <c r="N67" s="6"/>
      <c r="O67" s="6"/>
      <c r="P67" s="9">
        <f t="shared" si="17"/>
        <v>2195.6019999999999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509.50799999999998</v>
      </c>
      <c r="D68" s="6"/>
      <c r="E68" s="6"/>
      <c r="F68" s="9">
        <f t="shared" si="14"/>
        <v>2529.0030000000002</v>
      </c>
      <c r="G68" s="6"/>
      <c r="K68" s="7" t="str">
        <f t="shared" si="15"/>
        <v>2028Q1</v>
      </c>
      <c r="L68" s="6"/>
      <c r="M68" s="9">
        <f t="shared" si="16"/>
        <v>491.72399999999999</v>
      </c>
      <c r="N68" s="6"/>
      <c r="O68" s="6"/>
      <c r="P68" s="9">
        <f t="shared" si="17"/>
        <v>2181.3510000000001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541.596</v>
      </c>
      <c r="D69" s="6"/>
      <c r="E69" s="6"/>
      <c r="F69" s="9">
        <f t="shared" si="14"/>
        <v>2605.107</v>
      </c>
      <c r="G69" s="6"/>
      <c r="K69" s="7" t="str">
        <f t="shared" si="15"/>
        <v>2028Q2</v>
      </c>
      <c r="L69" s="6"/>
      <c r="M69" s="9">
        <f t="shared" si="16"/>
        <v>523.79100000000005</v>
      </c>
      <c r="N69" s="6"/>
      <c r="O69" s="6"/>
      <c r="P69" s="9">
        <f t="shared" si="17"/>
        <v>2250.998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545.91399999999999</v>
      </c>
      <c r="D70" s="6"/>
      <c r="E70" s="6"/>
      <c r="F70" s="9">
        <f t="shared" si="14"/>
        <v>2577.8429999999998</v>
      </c>
      <c r="G70" s="6"/>
      <c r="K70" s="7" t="str">
        <f t="shared" si="15"/>
        <v>2028Q3</v>
      </c>
      <c r="L70" s="6"/>
      <c r="M70" s="9">
        <f t="shared" si="16"/>
        <v>528.09100000000001</v>
      </c>
      <c r="N70" s="6"/>
      <c r="O70" s="6"/>
      <c r="P70" s="9">
        <f t="shared" si="17"/>
        <v>2217.3910000000001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543.875</v>
      </c>
      <c r="D71" s="6"/>
      <c r="E71" s="6"/>
      <c r="F71" s="9">
        <f t="shared" si="14"/>
        <v>2575.9879999999998</v>
      </c>
      <c r="G71" s="6"/>
      <c r="K71" s="7" t="str">
        <f t="shared" si="15"/>
        <v>2028Q4</v>
      </c>
      <c r="L71" s="6"/>
      <c r="M71" s="9">
        <f t="shared" si="16"/>
        <v>526.03700000000003</v>
      </c>
      <c r="N71" s="6"/>
      <c r="O71" s="6"/>
      <c r="P71" s="9">
        <f t="shared" si="17"/>
        <v>2209.3029999999999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518.66300000000001</v>
      </c>
      <c r="D72" s="6"/>
      <c r="E72" s="6"/>
      <c r="F72" s="9">
        <f t="shared" si="14"/>
        <v>2568.7689999999998</v>
      </c>
      <c r="G72" s="6"/>
      <c r="K72" s="7" t="str">
        <f t="shared" si="15"/>
        <v>2029Q1</v>
      </c>
      <c r="L72" s="6"/>
      <c r="M72" s="9">
        <f t="shared" si="16"/>
        <v>500.81299999999999</v>
      </c>
      <c r="N72" s="6"/>
      <c r="O72" s="6"/>
      <c r="P72" s="9">
        <f t="shared" si="17"/>
        <v>2195.9560000000001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550.93399999999997</v>
      </c>
      <c r="D73" s="6"/>
      <c r="E73" s="6"/>
      <c r="F73" s="9">
        <f t="shared" si="14"/>
        <v>2645.3029999999999</v>
      </c>
      <c r="G73" s="6"/>
      <c r="K73" s="7" t="str">
        <f t="shared" si="15"/>
        <v>2029Q2</v>
      </c>
      <c r="L73" s="6"/>
      <c r="M73" s="9">
        <f t="shared" si="16"/>
        <v>533.07399999999996</v>
      </c>
      <c r="N73" s="6"/>
      <c r="O73" s="6"/>
      <c r="P73" s="9">
        <f t="shared" si="17"/>
        <v>2266.46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555.41700000000003</v>
      </c>
      <c r="D74" s="6"/>
      <c r="E74" s="6"/>
      <c r="F74" s="9">
        <f t="shared" si="14"/>
        <v>2618.4470000000001</v>
      </c>
      <c r="G74" s="6"/>
      <c r="K74" s="7" t="str">
        <f t="shared" si="15"/>
        <v>2029Q3</v>
      </c>
      <c r="L74" s="6"/>
      <c r="M74" s="9">
        <f t="shared" si="16"/>
        <v>537.54700000000003</v>
      </c>
      <c r="N74" s="6"/>
      <c r="O74" s="6"/>
      <c r="P74" s="9">
        <f t="shared" si="17"/>
        <v>2233.6689999999999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553.53300000000002</v>
      </c>
      <c r="D75" s="6"/>
      <c r="E75" s="6"/>
      <c r="F75" s="9">
        <f t="shared" si="14"/>
        <v>2616.98</v>
      </c>
      <c r="G75" s="6"/>
      <c r="K75" s="7" t="str">
        <f t="shared" si="15"/>
        <v>2029Q4</v>
      </c>
      <c r="L75" s="6"/>
      <c r="M75" s="9">
        <f t="shared" si="16"/>
        <v>535.65499999999997</v>
      </c>
      <c r="N75" s="6"/>
      <c r="O75" s="6"/>
      <c r="P75" s="9">
        <f t="shared" si="17"/>
        <v>2226.357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81640625" style="1" customWidth="1"/>
    <col min="4" max="5" width="12.1796875" style="1" bestFit="1" customWidth="1"/>
    <col min="6" max="6" width="19.81640625" style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3" t="s">
        <v>12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6">
        <v>528.33309100876818</v>
      </c>
      <c r="M3" s="46">
        <v>496.6322591733371</v>
      </c>
      <c r="N3" s="46">
        <v>560.0339228441992</v>
      </c>
      <c r="O3" s="1">
        <f t="shared" ref="O3:O34" si="0">ROUND(M3,3)</f>
        <v>496.63200000000001</v>
      </c>
      <c r="P3" s="1">
        <f t="shared" ref="P3:P34" si="1">ROUND(L3,3)</f>
        <v>528.33299999999997</v>
      </c>
      <c r="Q3" s="1">
        <f t="shared" ref="Q3:Q34" si="2">ROUND(N3,3)</f>
        <v>560.03399999999999</v>
      </c>
      <c r="R3" s="14" t="str">
        <f>K3</f>
        <v>2022Q1</v>
      </c>
      <c r="S3" s="61">
        <v>5590.6709924546558</v>
      </c>
      <c r="T3" s="61">
        <v>4966.1478525844968</v>
      </c>
      <c r="U3" s="61">
        <v>6215.1941323248147</v>
      </c>
      <c r="V3" s="1">
        <f t="shared" ref="V3:V34" si="3">ROUND(T3,3)</f>
        <v>4966.1480000000001</v>
      </c>
      <c r="W3" s="1">
        <f t="shared" ref="W3:W34" si="4">ROUND(S3,3)</f>
        <v>5590.6710000000003</v>
      </c>
      <c r="X3" s="1">
        <f t="shared" ref="X3:X34" si="5">ROUND(U3,3)</f>
        <v>6215.1940000000004</v>
      </c>
    </row>
    <row r="4" spans="1:30" ht="15.5" thickTop="1" thickBot="1" x14ac:dyDescent="0.4">
      <c r="A4" s="5" t="str">
        <f>K3</f>
        <v>2022Q1</v>
      </c>
      <c r="B4" s="2">
        <f>O3</f>
        <v>496.63200000000001</v>
      </c>
      <c r="C4" s="3">
        <f>P3</f>
        <v>528.33299999999997</v>
      </c>
      <c r="D4" s="2">
        <f>Q3</f>
        <v>560.03399999999999</v>
      </c>
      <c r="E4" s="2">
        <f>V3</f>
        <v>4966.1480000000001</v>
      </c>
      <c r="F4" s="3">
        <f>W3</f>
        <v>5590.6710000000003</v>
      </c>
      <c r="G4" s="2">
        <f>X3</f>
        <v>6215.1940000000004</v>
      </c>
      <c r="K4" s="14" t="s">
        <v>68</v>
      </c>
      <c r="L4" s="46">
        <v>560.79551706127302</v>
      </c>
      <c r="M4" s="46">
        <v>514.85851117818549</v>
      </c>
      <c r="N4" s="46">
        <v>606.73252294436054</v>
      </c>
      <c r="O4" s="1">
        <f t="shared" si="0"/>
        <v>514.85900000000004</v>
      </c>
      <c r="P4" s="1">
        <f t="shared" si="1"/>
        <v>560.79600000000005</v>
      </c>
      <c r="Q4" s="1">
        <f t="shared" si="2"/>
        <v>606.73299999999995</v>
      </c>
      <c r="R4" s="14" t="str">
        <f t="shared" ref="R4:R34" si="6">K4</f>
        <v>2022Q2</v>
      </c>
      <c r="S4" s="61">
        <v>5749.5821015066103</v>
      </c>
      <c r="T4" s="61">
        <v>4811.1845976229761</v>
      </c>
      <c r="U4" s="61">
        <v>6687.9796053902446</v>
      </c>
      <c r="V4" s="1">
        <f t="shared" si="3"/>
        <v>4811.1850000000004</v>
      </c>
      <c r="W4" s="1">
        <f t="shared" si="4"/>
        <v>5749.5820000000003</v>
      </c>
      <c r="X4" s="1">
        <f t="shared" si="5"/>
        <v>6687.98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514.85900000000004</v>
      </c>
      <c r="C5" s="3">
        <f t="shared" si="8"/>
        <v>560.79600000000005</v>
      </c>
      <c r="D5" s="2">
        <f t="shared" si="8"/>
        <v>606.73299999999995</v>
      </c>
      <c r="E5" s="2">
        <f t="shared" ref="E5:G20" si="9">V4</f>
        <v>4811.1850000000004</v>
      </c>
      <c r="F5" s="3">
        <f t="shared" si="9"/>
        <v>5749.5820000000003</v>
      </c>
      <c r="G5" s="2">
        <f t="shared" si="9"/>
        <v>6687.98</v>
      </c>
      <c r="I5" s="1">
        <f>SUM(F5:F8)</f>
        <v>22865.195</v>
      </c>
      <c r="K5" s="14" t="s">
        <v>69</v>
      </c>
      <c r="L5" s="46">
        <v>561.07989892658406</v>
      </c>
      <c r="M5" s="46">
        <v>505.35340953942841</v>
      </c>
      <c r="N5" s="46">
        <v>616.80638831373972</v>
      </c>
      <c r="O5" s="1">
        <f t="shared" si="0"/>
        <v>505.35300000000001</v>
      </c>
      <c r="P5" s="1">
        <f t="shared" si="1"/>
        <v>561.08000000000004</v>
      </c>
      <c r="Q5" s="1">
        <f t="shared" si="2"/>
        <v>616.80600000000004</v>
      </c>
      <c r="R5" s="14" t="str">
        <f t="shared" si="6"/>
        <v>2022Q3</v>
      </c>
      <c r="S5" s="61">
        <v>5715.2901545955438</v>
      </c>
      <c r="T5" s="61">
        <v>4530.3105771813352</v>
      </c>
      <c r="U5" s="61">
        <v>6900.2697320097523</v>
      </c>
      <c r="V5" s="1">
        <f t="shared" si="3"/>
        <v>4530.3109999999997</v>
      </c>
      <c r="W5" s="1">
        <f t="shared" si="4"/>
        <v>5715.29</v>
      </c>
      <c r="X5" s="1">
        <f t="shared" si="5"/>
        <v>6900.27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505.35300000000001</v>
      </c>
      <c r="C6" s="3">
        <f t="shared" si="8"/>
        <v>561.08000000000004</v>
      </c>
      <c r="D6" s="2">
        <f t="shared" si="8"/>
        <v>616.80600000000004</v>
      </c>
      <c r="E6" s="2">
        <f t="shared" si="9"/>
        <v>4530.3109999999997</v>
      </c>
      <c r="F6" s="3">
        <f t="shared" si="9"/>
        <v>5715.29</v>
      </c>
      <c r="G6" s="2">
        <f t="shared" si="9"/>
        <v>6900.27</v>
      </c>
      <c r="I6" s="1">
        <f>SUM(F9:F12)</f>
        <v>23428.915000000001</v>
      </c>
      <c r="K6" s="14" t="s">
        <v>70</v>
      </c>
      <c r="L6" s="46">
        <v>561.66752052799052</v>
      </c>
      <c r="M6" s="46">
        <v>498.40934979945024</v>
      </c>
      <c r="N6" s="46">
        <v>624.92569125653085</v>
      </c>
      <c r="O6" s="1">
        <f t="shared" si="0"/>
        <v>498.40899999999999</v>
      </c>
      <c r="P6" s="1">
        <f t="shared" si="1"/>
        <v>561.66800000000001</v>
      </c>
      <c r="Q6" s="1">
        <f t="shared" si="2"/>
        <v>624.92600000000004</v>
      </c>
      <c r="R6" s="14" t="str">
        <f t="shared" si="6"/>
        <v>2022Q4</v>
      </c>
      <c r="S6" s="61">
        <v>5676.5863222426633</v>
      </c>
      <c r="T6" s="61">
        <v>4284.4395399971072</v>
      </c>
      <c r="U6" s="61">
        <v>7068.7331044882194</v>
      </c>
      <c r="V6" s="1">
        <f t="shared" si="3"/>
        <v>4284.4399999999996</v>
      </c>
      <c r="W6" s="1">
        <f t="shared" si="4"/>
        <v>5676.5860000000002</v>
      </c>
      <c r="X6" s="1">
        <f t="shared" si="5"/>
        <v>7068.7330000000002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498.40899999999999</v>
      </c>
      <c r="C7" s="3">
        <f t="shared" si="8"/>
        <v>561.66800000000001</v>
      </c>
      <c r="D7" s="2">
        <f t="shared" si="8"/>
        <v>624.92600000000004</v>
      </c>
      <c r="E7" s="2">
        <f t="shared" si="9"/>
        <v>4284.4399999999996</v>
      </c>
      <c r="F7" s="3">
        <f t="shared" si="9"/>
        <v>5676.5860000000002</v>
      </c>
      <c r="G7" s="2">
        <f t="shared" si="9"/>
        <v>7068.7330000000002</v>
      </c>
      <c r="I7" s="1">
        <f>SUM(F13:F16)</f>
        <v>23996.453000000001</v>
      </c>
      <c r="K7" s="14" t="s">
        <v>71</v>
      </c>
      <c r="L7" s="46">
        <v>522.92842424534251</v>
      </c>
      <c r="M7" s="46">
        <v>453.58481802425848</v>
      </c>
      <c r="N7" s="46">
        <v>592.27203046642649</v>
      </c>
      <c r="O7" s="1">
        <f t="shared" si="0"/>
        <v>453.58499999999998</v>
      </c>
      <c r="P7" s="1">
        <f t="shared" si="1"/>
        <v>522.928</v>
      </c>
      <c r="Q7" s="1">
        <f t="shared" si="2"/>
        <v>592.27200000000005</v>
      </c>
      <c r="R7" s="14" t="str">
        <f t="shared" si="6"/>
        <v>2023Q1</v>
      </c>
      <c r="S7" s="61">
        <v>5723.7370647892449</v>
      </c>
      <c r="T7" s="61">
        <v>4150.4793235938714</v>
      </c>
      <c r="U7" s="61">
        <v>7296.9948059846183</v>
      </c>
      <c r="V7" s="1">
        <f t="shared" si="3"/>
        <v>4150.4790000000003</v>
      </c>
      <c r="W7" s="1">
        <f t="shared" si="4"/>
        <v>5723.7370000000001</v>
      </c>
      <c r="X7" s="1">
        <f t="shared" si="5"/>
        <v>7296.9949999999999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453.58499999999998</v>
      </c>
      <c r="C8" s="3">
        <f t="shared" si="8"/>
        <v>522.928</v>
      </c>
      <c r="D8" s="2">
        <f t="shared" si="8"/>
        <v>592.27200000000005</v>
      </c>
      <c r="E8" s="2">
        <f t="shared" si="9"/>
        <v>4150.4790000000003</v>
      </c>
      <c r="F8" s="3">
        <f t="shared" si="9"/>
        <v>5723.7370000000001</v>
      </c>
      <c r="G8" s="2">
        <f t="shared" si="9"/>
        <v>7296.9949999999999</v>
      </c>
      <c r="I8" s="1">
        <f>SUM(F17:F20)</f>
        <v>24564.024000000001</v>
      </c>
      <c r="K8" s="14" t="s">
        <v>72</v>
      </c>
      <c r="L8" s="46">
        <v>555.97548684575634</v>
      </c>
      <c r="M8" s="46">
        <v>481.57695238882661</v>
      </c>
      <c r="N8" s="46">
        <v>630.37402130268606</v>
      </c>
      <c r="O8" s="1">
        <f t="shared" si="0"/>
        <v>481.577</v>
      </c>
      <c r="P8" s="1">
        <f t="shared" si="1"/>
        <v>555.97500000000002</v>
      </c>
      <c r="Q8" s="1">
        <f t="shared" si="2"/>
        <v>630.37400000000002</v>
      </c>
      <c r="R8" s="14" t="str">
        <f t="shared" si="6"/>
        <v>2023Q2</v>
      </c>
      <c r="S8" s="61">
        <v>5888.7769200716575</v>
      </c>
      <c r="T8" s="61">
        <v>4152.926018469574</v>
      </c>
      <c r="U8" s="61">
        <v>7624.627821673741</v>
      </c>
      <c r="V8" s="1">
        <f t="shared" si="3"/>
        <v>4152.9260000000004</v>
      </c>
      <c r="W8" s="1">
        <f t="shared" si="4"/>
        <v>5888.777</v>
      </c>
      <c r="X8" s="1">
        <f t="shared" si="5"/>
        <v>7624.6279999999997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481.577</v>
      </c>
      <c r="C9" s="3">
        <f t="shared" si="8"/>
        <v>555.97500000000002</v>
      </c>
      <c r="D9" s="2">
        <f t="shared" si="8"/>
        <v>630.37400000000002</v>
      </c>
      <c r="E9" s="2">
        <f t="shared" si="9"/>
        <v>4152.9260000000004</v>
      </c>
      <c r="F9" s="3">
        <f t="shared" si="9"/>
        <v>5888.777</v>
      </c>
      <c r="G9" s="2">
        <f t="shared" si="9"/>
        <v>7624.6279999999997</v>
      </c>
      <c r="I9" s="1">
        <f>SUM(F21:F24)</f>
        <v>25131.592999999997</v>
      </c>
      <c r="K9" s="14" t="s">
        <v>73</v>
      </c>
      <c r="L9" s="46">
        <v>556.81464131847792</v>
      </c>
      <c r="M9" s="46">
        <v>478.14182379491666</v>
      </c>
      <c r="N9" s="46">
        <v>635.48745884203925</v>
      </c>
      <c r="O9" s="1">
        <f t="shared" si="0"/>
        <v>478.142</v>
      </c>
      <c r="P9" s="1">
        <f t="shared" si="1"/>
        <v>556.81500000000005</v>
      </c>
      <c r="Q9" s="1">
        <f t="shared" si="2"/>
        <v>635.48699999999997</v>
      </c>
      <c r="R9" s="14" t="str">
        <f t="shared" si="6"/>
        <v>2023Q3</v>
      </c>
      <c r="S9" s="61">
        <v>5856.3582761077751</v>
      </c>
      <c r="T9" s="61">
        <v>3971.8122278580795</v>
      </c>
      <c r="U9" s="61">
        <v>7740.9043243574715</v>
      </c>
      <c r="V9" s="1">
        <f t="shared" si="3"/>
        <v>3971.8119999999999</v>
      </c>
      <c r="W9" s="1">
        <f t="shared" si="4"/>
        <v>5856.3580000000002</v>
      </c>
      <c r="X9" s="1">
        <f t="shared" si="5"/>
        <v>7740.9040000000005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478.142</v>
      </c>
      <c r="C10" s="3">
        <f t="shared" si="8"/>
        <v>556.81500000000005</v>
      </c>
      <c r="D10" s="2">
        <f t="shared" si="8"/>
        <v>635.48699999999997</v>
      </c>
      <c r="E10" s="2">
        <f t="shared" si="9"/>
        <v>3971.8119999999999</v>
      </c>
      <c r="F10" s="3">
        <f t="shared" si="9"/>
        <v>5856.3580000000002</v>
      </c>
      <c r="G10" s="2">
        <f t="shared" si="9"/>
        <v>7740.9040000000005</v>
      </c>
      <c r="I10" s="1">
        <f>SUM(F25:F28)</f>
        <v>25699.165000000001</v>
      </c>
      <c r="K10" s="14" t="s">
        <v>74</v>
      </c>
      <c r="L10" s="46">
        <v>557.92869707292152</v>
      </c>
      <c r="M10" s="46">
        <v>475.5967600519333</v>
      </c>
      <c r="N10" s="46">
        <v>640.26063409390974</v>
      </c>
      <c r="O10" s="1">
        <f t="shared" si="0"/>
        <v>475.59699999999998</v>
      </c>
      <c r="P10" s="1">
        <f t="shared" si="1"/>
        <v>557.92899999999997</v>
      </c>
      <c r="Q10" s="1">
        <f t="shared" si="2"/>
        <v>640.26099999999997</v>
      </c>
      <c r="R10" s="14" t="str">
        <f t="shared" si="6"/>
        <v>2023Q4</v>
      </c>
      <c r="S10" s="61">
        <v>5818.2270345915786</v>
      </c>
      <c r="T10" s="61">
        <v>3795.8670104368862</v>
      </c>
      <c r="U10" s="61">
        <v>7840.5870587462705</v>
      </c>
      <c r="V10" s="1">
        <f t="shared" si="3"/>
        <v>3795.8670000000002</v>
      </c>
      <c r="W10" s="1">
        <f t="shared" si="4"/>
        <v>5818.2269999999999</v>
      </c>
      <c r="X10" s="1">
        <f t="shared" si="5"/>
        <v>7840.5870000000004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475.59699999999998</v>
      </c>
      <c r="C11" s="3">
        <f t="shared" si="8"/>
        <v>557.92899999999997</v>
      </c>
      <c r="D11" s="2">
        <f t="shared" si="8"/>
        <v>640.26099999999997</v>
      </c>
      <c r="E11" s="2">
        <f t="shared" si="9"/>
        <v>3795.8670000000002</v>
      </c>
      <c r="F11" s="3">
        <f t="shared" si="9"/>
        <v>5818.2269999999999</v>
      </c>
      <c r="G11" s="2">
        <f t="shared" si="9"/>
        <v>7840.5870000000004</v>
      </c>
      <c r="I11" s="1">
        <f>SUM(F29:F32)</f>
        <v>26266.736999999997</v>
      </c>
      <c r="K11" s="14" t="s">
        <v>75</v>
      </c>
      <c r="L11" s="46">
        <v>519.68914405138992</v>
      </c>
      <c r="M11" s="46">
        <v>434.1962601547761</v>
      </c>
      <c r="N11" s="46">
        <v>605.18202794800368</v>
      </c>
      <c r="O11" s="1">
        <f t="shared" si="0"/>
        <v>434.19600000000003</v>
      </c>
      <c r="P11" s="1">
        <f t="shared" si="1"/>
        <v>519.68899999999996</v>
      </c>
      <c r="Q11" s="1">
        <f t="shared" si="2"/>
        <v>605.18200000000002</v>
      </c>
      <c r="R11" s="14" t="str">
        <f t="shared" si="6"/>
        <v>2024Q1</v>
      </c>
      <c r="S11" s="61">
        <v>5865.5527943540083</v>
      </c>
      <c r="T11" s="61">
        <v>3714.1825140109208</v>
      </c>
      <c r="U11" s="61">
        <v>8016.9230746970961</v>
      </c>
      <c r="V11" s="1">
        <f t="shared" si="3"/>
        <v>3714.183</v>
      </c>
      <c r="W11" s="1">
        <f t="shared" si="4"/>
        <v>5865.5529999999999</v>
      </c>
      <c r="X11" s="1">
        <f t="shared" si="5"/>
        <v>8016.9229999999998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434.19600000000003</v>
      </c>
      <c r="C12" s="3">
        <f t="shared" si="8"/>
        <v>519.68899999999996</v>
      </c>
      <c r="D12" s="2">
        <f t="shared" si="8"/>
        <v>605.18200000000002</v>
      </c>
      <c r="E12" s="2">
        <f t="shared" si="9"/>
        <v>3714.183</v>
      </c>
      <c r="F12" s="3">
        <f t="shared" si="9"/>
        <v>5865.5529999999999</v>
      </c>
      <c r="G12" s="2">
        <f t="shared" si="9"/>
        <v>8016.9229999999998</v>
      </c>
      <c r="K12" s="14" t="s">
        <v>76</v>
      </c>
      <c r="L12" s="46">
        <v>553.21023264021494</v>
      </c>
      <c r="M12" s="46">
        <v>464.96791248137464</v>
      </c>
      <c r="N12" s="46">
        <v>641.45255279905518</v>
      </c>
      <c r="O12" s="1">
        <f t="shared" si="0"/>
        <v>464.96800000000002</v>
      </c>
      <c r="P12" s="1">
        <f t="shared" si="1"/>
        <v>553.21</v>
      </c>
      <c r="Q12" s="1">
        <f t="shared" si="2"/>
        <v>641.45299999999997</v>
      </c>
      <c r="R12" s="14" t="str">
        <f t="shared" si="6"/>
        <v>2024Q2</v>
      </c>
      <c r="S12" s="61">
        <v>6030.6461451237401</v>
      </c>
      <c r="T12" s="61">
        <v>3757.5740866212332</v>
      </c>
      <c r="U12" s="61">
        <v>8303.7182036262475</v>
      </c>
      <c r="V12" s="1">
        <f t="shared" si="3"/>
        <v>3757.5740000000001</v>
      </c>
      <c r="W12" s="1">
        <f t="shared" si="4"/>
        <v>6030.6459999999997</v>
      </c>
      <c r="X12" s="1">
        <f t="shared" si="5"/>
        <v>8303.7180000000008</v>
      </c>
    </row>
    <row r="13" spans="1:30" ht="15.5" thickTop="1" thickBot="1" x14ac:dyDescent="0.4">
      <c r="A13" s="5" t="str">
        <f t="shared" si="7"/>
        <v>2024Q2</v>
      </c>
      <c r="B13" s="2">
        <f t="shared" si="8"/>
        <v>464.96800000000002</v>
      </c>
      <c r="C13" s="3">
        <f t="shared" si="8"/>
        <v>553.21</v>
      </c>
      <c r="D13" s="2">
        <f t="shared" si="8"/>
        <v>641.45299999999997</v>
      </c>
      <c r="E13" s="2">
        <f t="shared" si="9"/>
        <v>3757.5740000000001</v>
      </c>
      <c r="F13" s="3">
        <f t="shared" si="9"/>
        <v>6030.6459999999997</v>
      </c>
      <c r="G13" s="2">
        <f t="shared" si="9"/>
        <v>8303.7180000000008</v>
      </c>
      <c r="K13" s="14" t="s">
        <v>77</v>
      </c>
      <c r="L13" s="46">
        <v>554.49919928173051</v>
      </c>
      <c r="M13" s="46">
        <v>463.85248389196607</v>
      </c>
      <c r="N13" s="46">
        <v>645.14591467149501</v>
      </c>
      <c r="O13" s="1">
        <f t="shared" si="0"/>
        <v>463.85199999999998</v>
      </c>
      <c r="P13" s="1">
        <f t="shared" si="1"/>
        <v>554.49900000000002</v>
      </c>
      <c r="Q13" s="1">
        <f t="shared" si="2"/>
        <v>645.14599999999996</v>
      </c>
      <c r="R13" s="14" t="str">
        <f t="shared" si="6"/>
        <v>2024Q3</v>
      </c>
      <c r="S13" s="61">
        <v>5998.2438525064927</v>
      </c>
      <c r="T13" s="61">
        <v>3609.6623327727557</v>
      </c>
      <c r="U13" s="61">
        <v>8386.8253722402314</v>
      </c>
      <c r="V13" s="1">
        <f t="shared" si="3"/>
        <v>3609.6619999999998</v>
      </c>
      <c r="W13" s="1">
        <f t="shared" si="4"/>
        <v>5998.2439999999997</v>
      </c>
      <c r="X13" s="1">
        <f t="shared" si="5"/>
        <v>8386.8250000000007</v>
      </c>
    </row>
    <row r="14" spans="1:30" ht="15.5" thickTop="1" thickBot="1" x14ac:dyDescent="0.4">
      <c r="A14" s="5" t="str">
        <f t="shared" si="7"/>
        <v>2024Q3</v>
      </c>
      <c r="B14" s="2">
        <f t="shared" si="8"/>
        <v>463.85199999999998</v>
      </c>
      <c r="C14" s="3">
        <f t="shared" si="8"/>
        <v>554.49900000000002</v>
      </c>
      <c r="D14" s="2">
        <f t="shared" si="8"/>
        <v>645.14599999999996</v>
      </c>
      <c r="E14" s="2">
        <f t="shared" si="9"/>
        <v>3609.6619999999998</v>
      </c>
      <c r="F14" s="3">
        <f t="shared" si="9"/>
        <v>5998.2439999999997</v>
      </c>
      <c r="G14" s="2">
        <f t="shared" si="9"/>
        <v>8386.8250000000007</v>
      </c>
      <c r="K14" s="14" t="s">
        <v>82</v>
      </c>
      <c r="L14" s="46">
        <v>556.04009025648213</v>
      </c>
      <c r="M14" s="46">
        <v>463.28165575758362</v>
      </c>
      <c r="N14" s="46">
        <v>648.79852475538064</v>
      </c>
      <c r="O14" s="1">
        <f t="shared" si="0"/>
        <v>463.28199999999998</v>
      </c>
      <c r="P14" s="1">
        <f t="shared" si="1"/>
        <v>556.04</v>
      </c>
      <c r="Q14" s="1">
        <f t="shared" si="2"/>
        <v>648.79899999999998</v>
      </c>
      <c r="R14" s="14" t="str">
        <f t="shared" si="6"/>
        <v>2024Q4</v>
      </c>
      <c r="S14" s="61">
        <v>5960.1176089172277</v>
      </c>
      <c r="T14" s="61">
        <v>3461.3604053583226</v>
      </c>
      <c r="U14" s="61">
        <v>8458.8748124761332</v>
      </c>
      <c r="V14" s="1">
        <f t="shared" si="3"/>
        <v>3461.36</v>
      </c>
      <c r="W14" s="1">
        <f t="shared" si="4"/>
        <v>5960.1180000000004</v>
      </c>
      <c r="X14" s="1">
        <f t="shared" si="5"/>
        <v>8458.875</v>
      </c>
    </row>
    <row r="15" spans="1:30" ht="15.5" thickTop="1" thickBot="1" x14ac:dyDescent="0.4">
      <c r="A15" s="5" t="str">
        <f t="shared" si="7"/>
        <v>2024Q4</v>
      </c>
      <c r="B15" s="2">
        <f t="shared" si="8"/>
        <v>463.28199999999998</v>
      </c>
      <c r="C15" s="3">
        <f t="shared" si="8"/>
        <v>556.04</v>
      </c>
      <c r="D15" s="2">
        <f t="shared" si="8"/>
        <v>648.79899999999998</v>
      </c>
      <c r="E15" s="2">
        <f t="shared" si="9"/>
        <v>3461.36</v>
      </c>
      <c r="F15" s="3">
        <f t="shared" si="9"/>
        <v>5960.1180000000004</v>
      </c>
      <c r="G15" s="2">
        <f t="shared" si="9"/>
        <v>8458.875</v>
      </c>
      <c r="K15" s="14" t="s">
        <v>79</v>
      </c>
      <c r="L15" s="46">
        <v>518.20556919703324</v>
      </c>
      <c r="M15" s="46">
        <v>423.58596029110254</v>
      </c>
      <c r="N15" s="46">
        <v>612.82517810296395</v>
      </c>
      <c r="O15" s="1">
        <f t="shared" si="0"/>
        <v>423.58600000000001</v>
      </c>
      <c r="P15" s="1">
        <f t="shared" si="1"/>
        <v>518.20600000000002</v>
      </c>
      <c r="Q15" s="1">
        <f t="shared" si="2"/>
        <v>612.82500000000005</v>
      </c>
      <c r="R15" s="14" t="str">
        <f t="shared" si="6"/>
        <v>2025Q1</v>
      </c>
      <c r="S15" s="61">
        <v>6007.4448963381537</v>
      </c>
      <c r="T15" s="61">
        <v>3403.1688567172791</v>
      </c>
      <c r="U15" s="61">
        <v>8611.7209359590306</v>
      </c>
      <c r="V15" s="1">
        <f t="shared" si="3"/>
        <v>3403.1689999999999</v>
      </c>
      <c r="W15" s="1">
        <f t="shared" si="4"/>
        <v>6007.4449999999997</v>
      </c>
      <c r="X15" s="1">
        <f t="shared" si="5"/>
        <v>8611.7209999999995</v>
      </c>
    </row>
    <row r="16" spans="1:30" ht="15.5" thickTop="1" thickBot="1" x14ac:dyDescent="0.4">
      <c r="A16" s="5" t="str">
        <f t="shared" si="7"/>
        <v>2025Q1</v>
      </c>
      <c r="B16" s="2">
        <f t="shared" si="8"/>
        <v>423.58600000000001</v>
      </c>
      <c r="C16" s="3">
        <f t="shared" si="8"/>
        <v>518.20600000000002</v>
      </c>
      <c r="D16" s="2">
        <f t="shared" si="8"/>
        <v>612.82500000000005</v>
      </c>
      <c r="E16" s="2">
        <f t="shared" si="9"/>
        <v>3403.1689999999999</v>
      </c>
      <c r="F16" s="3">
        <f t="shared" si="9"/>
        <v>6007.4449999999997</v>
      </c>
      <c r="G16" s="2">
        <f t="shared" si="9"/>
        <v>8611.7209999999995</v>
      </c>
      <c r="K16" s="14" t="s">
        <v>80</v>
      </c>
      <c r="L16" s="46">
        <v>552.11100022646156</v>
      </c>
      <c r="M16" s="46">
        <v>455.84628638304486</v>
      </c>
      <c r="N16" s="46">
        <v>648.3757140698782</v>
      </c>
      <c r="O16" s="1">
        <f t="shared" si="0"/>
        <v>455.846</v>
      </c>
      <c r="P16" s="1">
        <f t="shared" si="1"/>
        <v>552.11099999999999</v>
      </c>
      <c r="Q16" s="1">
        <f t="shared" si="2"/>
        <v>648.37599999999998</v>
      </c>
      <c r="R16" s="14" t="str">
        <f t="shared" si="6"/>
        <v>2025Q2</v>
      </c>
      <c r="S16" s="61">
        <v>6172.5387140495823</v>
      </c>
      <c r="T16" s="61">
        <v>3466.8558256081506</v>
      </c>
      <c r="U16" s="61">
        <v>8878.221602491014</v>
      </c>
      <c r="V16" s="1">
        <f t="shared" si="3"/>
        <v>3466.8560000000002</v>
      </c>
      <c r="W16" s="1">
        <f t="shared" si="4"/>
        <v>6172.5389999999998</v>
      </c>
      <c r="X16" s="1">
        <f t="shared" si="5"/>
        <v>8878.2219999999998</v>
      </c>
    </row>
    <row r="17" spans="1:24" ht="15.5" thickTop="1" thickBot="1" x14ac:dyDescent="0.4">
      <c r="A17" s="5" t="str">
        <f t="shared" si="7"/>
        <v>2025Q2</v>
      </c>
      <c r="B17" s="2">
        <f t="shared" si="8"/>
        <v>455.846</v>
      </c>
      <c r="C17" s="3">
        <f t="shared" si="8"/>
        <v>552.11099999999999</v>
      </c>
      <c r="D17" s="2">
        <f t="shared" si="8"/>
        <v>648.37599999999998</v>
      </c>
      <c r="E17" s="2">
        <f t="shared" si="9"/>
        <v>3466.8560000000002</v>
      </c>
      <c r="F17" s="3">
        <f t="shared" si="9"/>
        <v>6172.5389999999998</v>
      </c>
      <c r="G17" s="2">
        <f t="shared" si="9"/>
        <v>8878.2219999999998</v>
      </c>
      <c r="K17" s="14" t="s">
        <v>81</v>
      </c>
      <c r="L17" s="46">
        <v>553.76467663282938</v>
      </c>
      <c r="M17" s="46">
        <v>456.04232643049022</v>
      </c>
      <c r="N17" s="46">
        <v>651.48702683516854</v>
      </c>
      <c r="O17" s="1">
        <f t="shared" si="0"/>
        <v>456.04199999999997</v>
      </c>
      <c r="P17" s="1">
        <f t="shared" si="1"/>
        <v>553.76499999999999</v>
      </c>
      <c r="Q17" s="1">
        <f t="shared" si="2"/>
        <v>651.48699999999997</v>
      </c>
      <c r="R17" s="14" t="str">
        <f t="shared" si="6"/>
        <v>2025Q3</v>
      </c>
      <c r="S17" s="61">
        <v>6140.136564157001</v>
      </c>
      <c r="T17" s="61">
        <v>3336.712565240347</v>
      </c>
      <c r="U17" s="61">
        <v>8943.5605630736572</v>
      </c>
      <c r="V17" s="1">
        <f t="shared" si="3"/>
        <v>3336.7130000000002</v>
      </c>
      <c r="W17" s="1">
        <f t="shared" si="4"/>
        <v>6140.1369999999997</v>
      </c>
      <c r="X17" s="1">
        <f t="shared" si="5"/>
        <v>8943.5609999999997</v>
      </c>
    </row>
    <row r="18" spans="1:24" ht="15.5" thickTop="1" thickBot="1" x14ac:dyDescent="0.4">
      <c r="A18" s="5" t="str">
        <f t="shared" si="7"/>
        <v>2025Q3</v>
      </c>
      <c r="B18" s="2">
        <f t="shared" si="8"/>
        <v>456.04199999999997</v>
      </c>
      <c r="C18" s="3">
        <f t="shared" si="8"/>
        <v>553.76499999999999</v>
      </c>
      <c r="D18" s="2">
        <f t="shared" si="8"/>
        <v>651.48699999999997</v>
      </c>
      <c r="E18" s="2">
        <f t="shared" si="9"/>
        <v>3336.7130000000002</v>
      </c>
      <c r="F18" s="3">
        <f t="shared" si="9"/>
        <v>6140.1369999999997</v>
      </c>
      <c r="G18" s="2">
        <f t="shared" si="9"/>
        <v>8943.5609999999997</v>
      </c>
      <c r="K18" s="14" t="s">
        <v>78</v>
      </c>
      <c r="L18" s="46">
        <v>555.65164755745548</v>
      </c>
      <c r="M18" s="46">
        <v>456.63513162819208</v>
      </c>
      <c r="N18" s="46">
        <v>654.66816348671887</v>
      </c>
      <c r="O18" s="1">
        <f t="shared" si="0"/>
        <v>456.63499999999999</v>
      </c>
      <c r="P18" s="1">
        <f t="shared" si="1"/>
        <v>555.65200000000004</v>
      </c>
      <c r="Q18" s="1">
        <f t="shared" si="2"/>
        <v>654.66800000000001</v>
      </c>
      <c r="R18" s="14" t="str">
        <f t="shared" si="6"/>
        <v>2025Q4</v>
      </c>
      <c r="S18" s="61">
        <v>6102.0103641927344</v>
      </c>
      <c r="T18" s="61">
        <v>3204.1400514427464</v>
      </c>
      <c r="U18" s="61">
        <v>8999.880676942721</v>
      </c>
      <c r="V18" s="1">
        <f t="shared" si="3"/>
        <v>3204.14</v>
      </c>
      <c r="W18" s="1">
        <f t="shared" si="4"/>
        <v>6102.01</v>
      </c>
      <c r="X18" s="1">
        <f t="shared" si="5"/>
        <v>8999.8809999999994</v>
      </c>
    </row>
    <row r="19" spans="1:24" ht="15.5" thickTop="1" thickBot="1" x14ac:dyDescent="0.4">
      <c r="A19" s="5" t="str">
        <f t="shared" si="7"/>
        <v>2025Q4</v>
      </c>
      <c r="B19" s="2">
        <f t="shared" si="8"/>
        <v>456.63499999999999</v>
      </c>
      <c r="C19" s="3">
        <f t="shared" si="8"/>
        <v>555.65200000000004</v>
      </c>
      <c r="D19" s="2">
        <f t="shared" si="8"/>
        <v>654.66800000000001</v>
      </c>
      <c r="E19" s="2">
        <f t="shared" si="9"/>
        <v>3204.14</v>
      </c>
      <c r="F19" s="3">
        <f t="shared" si="9"/>
        <v>6102.01</v>
      </c>
      <c r="G19" s="2">
        <f t="shared" si="9"/>
        <v>8999.8809999999994</v>
      </c>
      <c r="K19" s="14" t="s">
        <v>90</v>
      </c>
      <c r="L19" s="46">
        <v>518.14552826633781</v>
      </c>
      <c r="M19" s="46">
        <v>417.97799043620176</v>
      </c>
      <c r="N19" s="46">
        <v>618.31306609647379</v>
      </c>
      <c r="O19" s="1">
        <f t="shared" si="0"/>
        <v>417.97800000000001</v>
      </c>
      <c r="P19" s="1">
        <f t="shared" si="1"/>
        <v>518.14599999999996</v>
      </c>
      <c r="Q19" s="1">
        <f t="shared" si="2"/>
        <v>618.31299999999999</v>
      </c>
      <c r="R19" s="14" t="str">
        <f t="shared" si="6"/>
        <v>2026Q1</v>
      </c>
      <c r="S19" s="61">
        <v>6149.3376649480078</v>
      </c>
      <c r="T19" s="61">
        <v>3160.0035278117193</v>
      </c>
      <c r="U19" s="61">
        <v>9138.6718020842982</v>
      </c>
      <c r="V19" s="1">
        <f t="shared" si="3"/>
        <v>3160.0039999999999</v>
      </c>
      <c r="W19" s="1">
        <f t="shared" si="4"/>
        <v>6149.3379999999997</v>
      </c>
      <c r="X19" s="1">
        <f t="shared" si="5"/>
        <v>9138.6720000000005</v>
      </c>
    </row>
    <row r="20" spans="1:24" ht="15.5" thickTop="1" thickBot="1" x14ac:dyDescent="0.4">
      <c r="A20" s="5" t="str">
        <f t="shared" si="7"/>
        <v>2026Q1</v>
      </c>
      <c r="B20" s="2">
        <f t="shared" si="8"/>
        <v>417.97800000000001</v>
      </c>
      <c r="C20" s="3">
        <f t="shared" si="8"/>
        <v>518.14599999999996</v>
      </c>
      <c r="D20" s="2">
        <f t="shared" si="8"/>
        <v>618.31299999999999</v>
      </c>
      <c r="E20" s="2">
        <f t="shared" si="9"/>
        <v>3160.0039999999999</v>
      </c>
      <c r="F20" s="3">
        <f t="shared" si="9"/>
        <v>6149.3379999999997</v>
      </c>
      <c r="G20" s="2">
        <f t="shared" si="9"/>
        <v>9138.6720000000005</v>
      </c>
      <c r="K20" s="14" t="s">
        <v>91</v>
      </c>
      <c r="L20" s="46">
        <v>552.36258590540399</v>
      </c>
      <c r="M20" s="46">
        <v>451.16981553426461</v>
      </c>
      <c r="N20" s="46">
        <v>653.55535627654331</v>
      </c>
      <c r="O20" s="1">
        <f t="shared" si="0"/>
        <v>451.17</v>
      </c>
      <c r="P20" s="1">
        <f t="shared" si="1"/>
        <v>552.36300000000006</v>
      </c>
      <c r="Q20" s="1">
        <f t="shared" si="2"/>
        <v>653.55499999999995</v>
      </c>
      <c r="R20" s="14" t="str">
        <f t="shared" si="6"/>
        <v>2026Q2</v>
      </c>
      <c r="S20" s="61">
        <v>6314.4314867351923</v>
      </c>
      <c r="T20" s="61">
        <v>3236.3501333552313</v>
      </c>
      <c r="U20" s="61">
        <v>9392.5128401151542</v>
      </c>
      <c r="V20" s="1">
        <f t="shared" si="3"/>
        <v>3236.35</v>
      </c>
      <c r="W20" s="1">
        <f t="shared" si="4"/>
        <v>6314.4309999999996</v>
      </c>
      <c r="X20" s="1">
        <f t="shared" si="5"/>
        <v>9392.5130000000008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451.17</v>
      </c>
      <c r="C21" s="3">
        <f t="shared" si="10"/>
        <v>552.36300000000006</v>
      </c>
      <c r="D21" s="2">
        <f t="shared" si="10"/>
        <v>653.55499999999995</v>
      </c>
      <c r="E21" s="2">
        <f t="shared" ref="E21:G35" si="11">V20</f>
        <v>3236.35</v>
      </c>
      <c r="F21" s="3">
        <f t="shared" si="11"/>
        <v>6314.4309999999996</v>
      </c>
      <c r="G21" s="2">
        <f t="shared" si="11"/>
        <v>9392.5130000000008</v>
      </c>
      <c r="K21" s="14" t="s">
        <v>92</v>
      </c>
      <c r="L21" s="46">
        <v>554.31197065806953</v>
      </c>
      <c r="M21" s="46">
        <v>452.20484037166523</v>
      </c>
      <c r="N21" s="46">
        <v>656.41910094447383</v>
      </c>
      <c r="O21" s="1">
        <f t="shared" si="0"/>
        <v>452.20499999999998</v>
      </c>
      <c r="P21" s="1">
        <f t="shared" si="1"/>
        <v>554.31200000000001</v>
      </c>
      <c r="Q21" s="1">
        <f t="shared" si="2"/>
        <v>656.41899999999998</v>
      </c>
      <c r="R21" s="14" t="str">
        <f t="shared" si="6"/>
        <v>2026Q3</v>
      </c>
      <c r="S21" s="61">
        <v>6282.0293380884004</v>
      </c>
      <c r="T21" s="61">
        <v>3117.6887981338205</v>
      </c>
      <c r="U21" s="61">
        <v>9446.3698780429822</v>
      </c>
      <c r="V21" s="1">
        <f t="shared" si="3"/>
        <v>3117.6889999999999</v>
      </c>
      <c r="W21" s="1">
        <f t="shared" si="4"/>
        <v>6282.0290000000005</v>
      </c>
      <c r="X21" s="1">
        <f t="shared" si="5"/>
        <v>9446.3700000000008</v>
      </c>
    </row>
    <row r="22" spans="1:24" ht="15.5" thickTop="1" thickBot="1" x14ac:dyDescent="0.4">
      <c r="A22" s="5" t="str">
        <f t="shared" si="7"/>
        <v>2026Q3</v>
      </c>
      <c r="B22" s="2">
        <f t="shared" si="10"/>
        <v>452.20499999999998</v>
      </c>
      <c r="C22" s="3">
        <f t="shared" si="10"/>
        <v>554.31200000000001</v>
      </c>
      <c r="D22" s="2">
        <f t="shared" si="10"/>
        <v>656.41899999999998</v>
      </c>
      <c r="E22" s="2">
        <f t="shared" si="11"/>
        <v>3117.6889999999999</v>
      </c>
      <c r="F22" s="3">
        <f t="shared" si="11"/>
        <v>6282.0290000000005</v>
      </c>
      <c r="G22" s="2">
        <f t="shared" si="11"/>
        <v>9446.3700000000008</v>
      </c>
      <c r="K22" s="14" t="s">
        <v>93</v>
      </c>
      <c r="L22" s="46">
        <v>556.47954478975714</v>
      </c>
      <c r="M22" s="46">
        <v>453.55603204029728</v>
      </c>
      <c r="N22" s="46">
        <v>659.403057539217</v>
      </c>
      <c r="O22" s="1">
        <f t="shared" si="0"/>
        <v>453.55599999999998</v>
      </c>
      <c r="P22" s="1">
        <f t="shared" si="1"/>
        <v>556.48</v>
      </c>
      <c r="Q22" s="1">
        <f t="shared" si="2"/>
        <v>659.40300000000002</v>
      </c>
      <c r="R22" s="14" t="str">
        <f t="shared" si="6"/>
        <v>2026Q4</v>
      </c>
      <c r="S22" s="61">
        <v>6243.9031385049184</v>
      </c>
      <c r="T22" s="61">
        <v>2995.5932260065624</v>
      </c>
      <c r="U22" s="61">
        <v>9492.213051003273</v>
      </c>
      <c r="V22" s="1">
        <f t="shared" si="3"/>
        <v>2995.5929999999998</v>
      </c>
      <c r="W22" s="1">
        <f t="shared" si="4"/>
        <v>6243.9030000000002</v>
      </c>
      <c r="X22" s="1">
        <f t="shared" si="5"/>
        <v>9492.2129999999997</v>
      </c>
    </row>
    <row r="23" spans="1:24" ht="15.5" thickTop="1" thickBot="1" x14ac:dyDescent="0.4">
      <c r="A23" s="5" t="str">
        <f t="shared" si="7"/>
        <v>2026Q4</v>
      </c>
      <c r="B23" s="2">
        <f t="shared" si="10"/>
        <v>453.55599999999998</v>
      </c>
      <c r="C23" s="3">
        <f t="shared" si="10"/>
        <v>556.48</v>
      </c>
      <c r="D23" s="2">
        <f t="shared" si="10"/>
        <v>659.40300000000002</v>
      </c>
      <c r="E23" s="2">
        <f t="shared" si="11"/>
        <v>2995.5929999999998</v>
      </c>
      <c r="F23" s="3">
        <f t="shared" si="11"/>
        <v>6243.9030000000002</v>
      </c>
      <c r="G23" s="2">
        <f t="shared" si="11"/>
        <v>9492.2129999999997</v>
      </c>
      <c r="K23" s="14" t="s">
        <v>94</v>
      </c>
      <c r="L23" s="46">
        <v>519.23969515520798</v>
      </c>
      <c r="M23" s="46">
        <v>415.58657481860661</v>
      </c>
      <c r="N23" s="46">
        <v>622.8928154918093</v>
      </c>
      <c r="O23" s="1">
        <f t="shared" si="0"/>
        <v>415.58699999999999</v>
      </c>
      <c r="P23" s="1">
        <f t="shared" si="1"/>
        <v>519.24</v>
      </c>
      <c r="Q23" s="1">
        <f t="shared" si="2"/>
        <v>622.89300000000003</v>
      </c>
      <c r="R23" s="14" t="str">
        <f t="shared" si="6"/>
        <v>2027Q1</v>
      </c>
      <c r="S23" s="61">
        <v>6291.2304393765835</v>
      </c>
      <c r="T23" s="61">
        <v>2961.0677522862738</v>
      </c>
      <c r="U23" s="61">
        <v>9621.3931264668936</v>
      </c>
      <c r="V23" s="1">
        <f t="shared" si="3"/>
        <v>2961.0680000000002</v>
      </c>
      <c r="W23" s="1">
        <f t="shared" si="4"/>
        <v>6291.23</v>
      </c>
      <c r="X23" s="1">
        <f t="shared" si="5"/>
        <v>9621.393</v>
      </c>
    </row>
    <row r="24" spans="1:24" ht="15.5" thickTop="1" thickBot="1" x14ac:dyDescent="0.4">
      <c r="A24" s="5" t="str">
        <f t="shared" si="7"/>
        <v>2027Q1</v>
      </c>
      <c r="B24" s="2">
        <f t="shared" si="10"/>
        <v>415.58699999999999</v>
      </c>
      <c r="C24" s="3">
        <f t="shared" si="10"/>
        <v>519.24</v>
      </c>
      <c r="D24" s="2">
        <f t="shared" si="10"/>
        <v>622.89300000000003</v>
      </c>
      <c r="E24" s="2">
        <f t="shared" si="11"/>
        <v>2961.0680000000002</v>
      </c>
      <c r="F24" s="3">
        <f t="shared" si="11"/>
        <v>6291.23</v>
      </c>
      <c r="G24" s="2">
        <f t="shared" si="11"/>
        <v>9621.393</v>
      </c>
      <c r="K24" s="14" t="s">
        <v>95</v>
      </c>
      <c r="L24" s="46">
        <v>553.70942107540918</v>
      </c>
      <c r="M24" s="46">
        <v>449.40369448514963</v>
      </c>
      <c r="N24" s="46">
        <v>658.01514766566868</v>
      </c>
      <c r="O24" s="1">
        <f t="shared" si="0"/>
        <v>449.404</v>
      </c>
      <c r="P24" s="1">
        <f t="shared" si="1"/>
        <v>553.70899999999995</v>
      </c>
      <c r="Q24" s="1">
        <f t="shared" si="2"/>
        <v>658.01499999999999</v>
      </c>
      <c r="R24" s="14" t="str">
        <f t="shared" si="6"/>
        <v>2027Q2</v>
      </c>
      <c r="S24" s="61">
        <v>6456.3242611993428</v>
      </c>
      <c r="T24" s="61">
        <v>3046.2729775164016</v>
      </c>
      <c r="U24" s="61">
        <v>9866.3755448822849</v>
      </c>
      <c r="V24" s="1">
        <f t="shared" si="3"/>
        <v>3046.2730000000001</v>
      </c>
      <c r="W24" s="1">
        <f t="shared" si="4"/>
        <v>6456.3239999999996</v>
      </c>
      <c r="X24" s="1">
        <f t="shared" si="5"/>
        <v>9866.3760000000002</v>
      </c>
    </row>
    <row r="25" spans="1:24" ht="15.5" thickTop="1" thickBot="1" x14ac:dyDescent="0.4">
      <c r="A25" s="5" t="str">
        <f t="shared" si="7"/>
        <v>2027Q2</v>
      </c>
      <c r="B25" s="2">
        <f t="shared" si="10"/>
        <v>449.404</v>
      </c>
      <c r="C25" s="3">
        <f t="shared" si="10"/>
        <v>553.70899999999995</v>
      </c>
      <c r="D25" s="2">
        <f t="shared" si="10"/>
        <v>658.01499999999999</v>
      </c>
      <c r="E25" s="2">
        <f t="shared" si="11"/>
        <v>3046.2730000000001</v>
      </c>
      <c r="F25" s="3">
        <f t="shared" si="11"/>
        <v>6456.3239999999996</v>
      </c>
      <c r="G25" s="2">
        <f t="shared" si="11"/>
        <v>9866.3760000000002</v>
      </c>
      <c r="K25" s="14" t="s">
        <v>96</v>
      </c>
      <c r="L25" s="46">
        <v>555.89856750844945</v>
      </c>
      <c r="M25" s="46">
        <v>451.00867778124075</v>
      </c>
      <c r="N25" s="46">
        <v>660.78845723565814</v>
      </c>
      <c r="O25" s="1">
        <f t="shared" si="0"/>
        <v>451.00900000000001</v>
      </c>
      <c r="P25" s="1">
        <f t="shared" si="1"/>
        <v>555.899</v>
      </c>
      <c r="Q25" s="1">
        <f t="shared" si="2"/>
        <v>660.78800000000001</v>
      </c>
      <c r="R25" s="14" t="str">
        <f t="shared" si="6"/>
        <v>2027Q3</v>
      </c>
      <c r="S25" s="61">
        <v>6423.9221125634249</v>
      </c>
      <c r="T25" s="61">
        <v>2935.8114502981743</v>
      </c>
      <c r="U25" s="61">
        <v>9912.0327748286763</v>
      </c>
      <c r="V25" s="1">
        <f t="shared" si="3"/>
        <v>2935.8110000000001</v>
      </c>
      <c r="W25" s="1">
        <f t="shared" si="4"/>
        <v>6423.9219999999996</v>
      </c>
      <c r="X25" s="1">
        <f t="shared" si="5"/>
        <v>9912.0329999999994</v>
      </c>
    </row>
    <row r="26" spans="1:24" ht="15.5" thickTop="1" thickBot="1" x14ac:dyDescent="0.4">
      <c r="A26" s="5" t="str">
        <f t="shared" si="7"/>
        <v>2027Q3</v>
      </c>
      <c r="B26" s="2">
        <f t="shared" si="10"/>
        <v>451.00900000000001</v>
      </c>
      <c r="C26" s="3">
        <f t="shared" si="10"/>
        <v>555.899</v>
      </c>
      <c r="D26" s="2">
        <f t="shared" si="10"/>
        <v>660.78800000000001</v>
      </c>
      <c r="E26" s="2">
        <f t="shared" si="11"/>
        <v>2935.8110000000001</v>
      </c>
      <c r="F26" s="3">
        <f t="shared" si="11"/>
        <v>6423.9219999999996</v>
      </c>
      <c r="G26" s="2">
        <f t="shared" si="11"/>
        <v>9912.0329999999994</v>
      </c>
      <c r="K26" s="14" t="s">
        <v>97</v>
      </c>
      <c r="L26" s="46">
        <v>558.29365600449603</v>
      </c>
      <c r="M26" s="46">
        <v>452.88052822680015</v>
      </c>
      <c r="N26" s="46">
        <v>663.70678378219191</v>
      </c>
      <c r="O26" s="1">
        <f t="shared" si="0"/>
        <v>452.88099999999997</v>
      </c>
      <c r="P26" s="1">
        <f t="shared" si="1"/>
        <v>558.29399999999998</v>
      </c>
      <c r="Q26" s="1">
        <f t="shared" si="2"/>
        <v>663.70699999999999</v>
      </c>
      <c r="R26" s="14" t="str">
        <f t="shared" si="6"/>
        <v>2027Q4</v>
      </c>
      <c r="S26" s="61">
        <v>6385.795912983267</v>
      </c>
      <c r="T26" s="61">
        <v>2821.334912064628</v>
      </c>
      <c r="U26" s="61">
        <v>9950.2569139019051</v>
      </c>
      <c r="V26" s="1">
        <f t="shared" si="3"/>
        <v>2821.335</v>
      </c>
      <c r="W26" s="1">
        <f t="shared" si="4"/>
        <v>6385.7960000000003</v>
      </c>
      <c r="X26" s="1">
        <f t="shared" si="5"/>
        <v>9950.2569999999996</v>
      </c>
    </row>
    <row r="27" spans="1:24" ht="15.5" thickTop="1" thickBot="1" x14ac:dyDescent="0.4">
      <c r="A27" s="5" t="str">
        <f t="shared" si="7"/>
        <v>2027Q4</v>
      </c>
      <c r="B27" s="2">
        <f t="shared" si="10"/>
        <v>452.88099999999997</v>
      </c>
      <c r="C27" s="3">
        <f t="shared" si="10"/>
        <v>558.29399999999998</v>
      </c>
      <c r="D27" s="2">
        <f t="shared" si="10"/>
        <v>663.70699999999999</v>
      </c>
      <c r="E27" s="2">
        <f t="shared" si="11"/>
        <v>2821.335</v>
      </c>
      <c r="F27" s="3">
        <f t="shared" si="11"/>
        <v>6385.7960000000003</v>
      </c>
      <c r="G27" s="2">
        <f t="shared" si="11"/>
        <v>9950.2569999999996</v>
      </c>
      <c r="K27" s="14" t="s">
        <v>98</v>
      </c>
      <c r="L27" s="46">
        <v>521.26969902597443</v>
      </c>
      <c r="M27" s="46">
        <v>415.38763553910024</v>
      </c>
      <c r="N27" s="46">
        <v>627.15176251284856</v>
      </c>
      <c r="O27" s="1">
        <f t="shared" si="0"/>
        <v>415.38799999999998</v>
      </c>
      <c r="P27" s="1">
        <f t="shared" si="1"/>
        <v>521.27</v>
      </c>
      <c r="Q27" s="1">
        <f t="shared" si="2"/>
        <v>627.15200000000004</v>
      </c>
      <c r="R27" s="14" t="str">
        <f t="shared" si="6"/>
        <v>2028Q1</v>
      </c>
      <c r="S27" s="61">
        <v>6433.1232138559471</v>
      </c>
      <c r="T27" s="61">
        <v>2793.9133460506519</v>
      </c>
      <c r="U27" s="61">
        <v>10072.333081661243</v>
      </c>
      <c r="V27" s="1">
        <f t="shared" si="3"/>
        <v>2793.913</v>
      </c>
      <c r="W27" s="1">
        <f t="shared" si="4"/>
        <v>6433.1229999999996</v>
      </c>
      <c r="X27" s="1">
        <f t="shared" si="5"/>
        <v>10072.333000000001</v>
      </c>
    </row>
    <row r="28" spans="1:24" ht="15.5" thickTop="1" thickBot="1" x14ac:dyDescent="0.4">
      <c r="A28" s="5" t="str">
        <f t="shared" si="7"/>
        <v>2028Q1</v>
      </c>
      <c r="B28" s="2">
        <f t="shared" si="10"/>
        <v>415.38799999999998</v>
      </c>
      <c r="C28" s="3">
        <f t="shared" si="10"/>
        <v>521.27</v>
      </c>
      <c r="D28" s="2">
        <f t="shared" si="10"/>
        <v>627.15200000000004</v>
      </c>
      <c r="E28" s="2">
        <f t="shared" si="11"/>
        <v>2793.913</v>
      </c>
      <c r="F28" s="3">
        <f t="shared" si="11"/>
        <v>6433.1229999999996</v>
      </c>
      <c r="G28" s="2">
        <f t="shared" si="11"/>
        <v>10072.333000000001</v>
      </c>
      <c r="K28" s="14" t="s">
        <v>99</v>
      </c>
      <c r="L28" s="46">
        <v>555.94428954476007</v>
      </c>
      <c r="M28" s="46">
        <v>449.64174432244556</v>
      </c>
      <c r="N28" s="46">
        <v>662.24683476707457</v>
      </c>
      <c r="O28" s="1">
        <f t="shared" si="0"/>
        <v>449.642</v>
      </c>
      <c r="P28" s="1">
        <f t="shared" si="1"/>
        <v>555.94399999999996</v>
      </c>
      <c r="Q28" s="1">
        <f t="shared" si="2"/>
        <v>662.24699999999996</v>
      </c>
      <c r="R28" s="14" t="str">
        <f t="shared" si="6"/>
        <v>2028Q2</v>
      </c>
      <c r="S28" s="61">
        <v>6598.2170356790184</v>
      </c>
      <c r="T28" s="61">
        <v>2885.7630363959265</v>
      </c>
      <c r="U28" s="61">
        <v>10310.67103496211</v>
      </c>
      <c r="V28" s="1">
        <f t="shared" si="3"/>
        <v>2885.7629999999999</v>
      </c>
      <c r="W28" s="1">
        <f t="shared" si="4"/>
        <v>6598.2169999999996</v>
      </c>
      <c r="X28" s="1">
        <f t="shared" si="5"/>
        <v>10310.671</v>
      </c>
    </row>
    <row r="29" spans="1:24" ht="15.5" thickTop="1" thickBot="1" x14ac:dyDescent="0.4">
      <c r="A29" s="5" t="str">
        <f t="shared" si="7"/>
        <v>2028Q2</v>
      </c>
      <c r="B29" s="2">
        <f t="shared" si="10"/>
        <v>449.642</v>
      </c>
      <c r="C29" s="3">
        <f t="shared" si="10"/>
        <v>555.94399999999996</v>
      </c>
      <c r="D29" s="2">
        <f t="shared" si="10"/>
        <v>662.24699999999996</v>
      </c>
      <c r="E29" s="2">
        <f t="shared" si="11"/>
        <v>2885.7629999999999</v>
      </c>
      <c r="F29" s="3">
        <f t="shared" si="11"/>
        <v>6598.2169999999996</v>
      </c>
      <c r="G29" s="2">
        <f t="shared" si="11"/>
        <v>10310.671</v>
      </c>
      <c r="K29" s="14" t="s">
        <v>100</v>
      </c>
      <c r="L29" s="46">
        <v>558.32783584542631</v>
      </c>
      <c r="M29" s="46">
        <v>451.64808721363136</v>
      </c>
      <c r="N29" s="46">
        <v>665.00758447722126</v>
      </c>
      <c r="O29" s="1">
        <f t="shared" si="0"/>
        <v>451.64800000000002</v>
      </c>
      <c r="P29" s="1">
        <f t="shared" si="1"/>
        <v>558.32799999999997</v>
      </c>
      <c r="Q29" s="1">
        <f t="shared" si="2"/>
        <v>665.00800000000004</v>
      </c>
      <c r="R29" s="14" t="str">
        <f t="shared" si="6"/>
        <v>2028Q3</v>
      </c>
      <c r="S29" s="61">
        <v>6565.8148870431951</v>
      </c>
      <c r="T29" s="61">
        <v>2781.5341189639253</v>
      </c>
      <c r="U29" s="61">
        <v>10350.095655122466</v>
      </c>
      <c r="V29" s="1">
        <f t="shared" si="3"/>
        <v>2781.5340000000001</v>
      </c>
      <c r="W29" s="1">
        <f t="shared" si="4"/>
        <v>6565.8149999999996</v>
      </c>
      <c r="X29" s="1">
        <f t="shared" si="5"/>
        <v>10350.096</v>
      </c>
    </row>
    <row r="30" spans="1:24" ht="15.5" thickTop="1" thickBot="1" x14ac:dyDescent="0.4">
      <c r="A30" s="5" t="str">
        <f t="shared" si="7"/>
        <v>2028Q3</v>
      </c>
      <c r="B30" s="2">
        <f t="shared" si="10"/>
        <v>451.64800000000002</v>
      </c>
      <c r="C30" s="3">
        <f t="shared" si="10"/>
        <v>558.32799999999997</v>
      </c>
      <c r="D30" s="2">
        <f t="shared" si="10"/>
        <v>665.00800000000004</v>
      </c>
      <c r="E30" s="2">
        <f t="shared" si="11"/>
        <v>2781.5340000000001</v>
      </c>
      <c r="F30" s="3">
        <f t="shared" si="11"/>
        <v>6565.8149999999996</v>
      </c>
      <c r="G30" s="2">
        <f t="shared" si="11"/>
        <v>10350.096</v>
      </c>
      <c r="K30" s="14" t="s">
        <v>101</v>
      </c>
      <c r="L30" s="46">
        <v>560.90739402922816</v>
      </c>
      <c r="M30" s="46">
        <v>453.88913132723303</v>
      </c>
      <c r="N30" s="46">
        <v>667.92565673122328</v>
      </c>
      <c r="O30" s="1">
        <f t="shared" si="0"/>
        <v>453.88900000000001</v>
      </c>
      <c r="P30" s="1">
        <f t="shared" si="1"/>
        <v>560.90700000000004</v>
      </c>
      <c r="Q30" s="1">
        <f t="shared" si="2"/>
        <v>667.92600000000004</v>
      </c>
      <c r="R30" s="14" t="str">
        <f t="shared" si="6"/>
        <v>2028Q4</v>
      </c>
      <c r="S30" s="61">
        <v>6527.6886874630663</v>
      </c>
      <c r="T30" s="61">
        <v>2672.9192823603125</v>
      </c>
      <c r="U30" s="61">
        <v>10382.458092565819</v>
      </c>
      <c r="V30" s="1">
        <f t="shared" si="3"/>
        <v>2672.9189999999999</v>
      </c>
      <c r="W30" s="1">
        <f t="shared" si="4"/>
        <v>6527.6890000000003</v>
      </c>
      <c r="X30" s="1">
        <f t="shared" si="5"/>
        <v>10382.458000000001</v>
      </c>
    </row>
    <row r="31" spans="1:24" ht="15.5" thickTop="1" thickBot="1" x14ac:dyDescent="0.4">
      <c r="A31" s="5" t="str">
        <f t="shared" si="7"/>
        <v>2028Q4</v>
      </c>
      <c r="B31" s="2">
        <f t="shared" si="10"/>
        <v>453.88900000000001</v>
      </c>
      <c r="C31" s="3">
        <f t="shared" si="10"/>
        <v>560.90700000000004</v>
      </c>
      <c r="D31" s="2">
        <f t="shared" si="10"/>
        <v>667.92600000000004</v>
      </c>
      <c r="E31" s="2">
        <f t="shared" si="11"/>
        <v>2672.9189999999999</v>
      </c>
      <c r="F31" s="3">
        <f t="shared" si="11"/>
        <v>6527.6890000000003</v>
      </c>
      <c r="G31" s="2">
        <f t="shared" si="11"/>
        <v>10382.458000000001</v>
      </c>
      <c r="K31" s="14" t="s">
        <v>102</v>
      </c>
      <c r="L31" s="46">
        <v>524.05848380416421</v>
      </c>
      <c r="M31" s="46">
        <v>416.73632074405617</v>
      </c>
      <c r="N31" s="46">
        <v>631.38064686427219</v>
      </c>
      <c r="O31" s="1">
        <f t="shared" si="0"/>
        <v>416.73599999999999</v>
      </c>
      <c r="P31" s="1">
        <f t="shared" si="1"/>
        <v>524.05799999999999</v>
      </c>
      <c r="Q31" s="1">
        <f t="shared" si="2"/>
        <v>631.38099999999997</v>
      </c>
      <c r="R31" s="14" t="str">
        <f t="shared" si="6"/>
        <v>2029Q1</v>
      </c>
      <c r="S31" s="61">
        <v>6575.0159883357555</v>
      </c>
      <c r="T31" s="61">
        <v>2651.0239647228332</v>
      </c>
      <c r="U31" s="61">
        <v>10499.008011948679</v>
      </c>
      <c r="V31" s="1">
        <f t="shared" si="3"/>
        <v>2651.0239999999999</v>
      </c>
      <c r="W31" s="1">
        <f t="shared" si="4"/>
        <v>6575.0159999999996</v>
      </c>
      <c r="X31" s="1">
        <f t="shared" si="5"/>
        <v>10499.008</v>
      </c>
    </row>
    <row r="32" spans="1:24" ht="15.5" thickTop="1" thickBot="1" x14ac:dyDescent="0.4">
      <c r="A32" s="5" t="str">
        <f t="shared" si="7"/>
        <v>2029Q1</v>
      </c>
      <c r="B32" s="2">
        <f t="shared" si="10"/>
        <v>416.73599999999999</v>
      </c>
      <c r="C32" s="3">
        <f t="shared" si="10"/>
        <v>524.05799999999999</v>
      </c>
      <c r="D32" s="2">
        <f t="shared" si="10"/>
        <v>631.38099999999997</v>
      </c>
      <c r="E32" s="2">
        <f t="shared" si="11"/>
        <v>2651.0239999999999</v>
      </c>
      <c r="F32" s="3">
        <f t="shared" si="11"/>
        <v>6575.0159999999996</v>
      </c>
      <c r="G32" s="2">
        <f t="shared" si="11"/>
        <v>10499.008</v>
      </c>
      <c r="K32" s="14" t="s">
        <v>103</v>
      </c>
      <c r="L32" s="46">
        <v>558.89917947696688</v>
      </c>
      <c r="M32" s="46">
        <v>451.30410472218495</v>
      </c>
      <c r="N32" s="46">
        <v>666.49425423174876</v>
      </c>
      <c r="O32" s="1">
        <f t="shared" si="0"/>
        <v>451.30399999999997</v>
      </c>
      <c r="P32" s="1">
        <f t="shared" si="1"/>
        <v>558.899</v>
      </c>
      <c r="Q32" s="1">
        <f t="shared" si="2"/>
        <v>666.49400000000003</v>
      </c>
      <c r="R32" s="14" t="str">
        <f t="shared" si="6"/>
        <v>2029Q2</v>
      </c>
      <c r="S32" s="61">
        <v>6740.1098101588286</v>
      </c>
      <c r="T32" s="61">
        <v>2748.0953266881779</v>
      </c>
      <c r="U32" s="61">
        <v>10732.12429362948</v>
      </c>
      <c r="V32" s="1">
        <f t="shared" si="3"/>
        <v>2748.0949999999998</v>
      </c>
      <c r="W32" s="1">
        <f t="shared" si="4"/>
        <v>6740.11</v>
      </c>
      <c r="X32" s="1">
        <f t="shared" si="5"/>
        <v>10732.124</v>
      </c>
    </row>
    <row r="33" spans="1:24" ht="15.5" thickTop="1" thickBot="1" x14ac:dyDescent="0.4">
      <c r="A33" s="5" t="str">
        <f t="shared" si="7"/>
        <v>2029Q2</v>
      </c>
      <c r="B33" s="2">
        <f t="shared" si="10"/>
        <v>451.30399999999997</v>
      </c>
      <c r="C33" s="3">
        <f t="shared" si="10"/>
        <v>558.899</v>
      </c>
      <c r="D33" s="2">
        <f t="shared" si="10"/>
        <v>666.49400000000003</v>
      </c>
      <c r="E33" s="2">
        <f t="shared" si="11"/>
        <v>2748.0949999999998</v>
      </c>
      <c r="F33" s="3">
        <f t="shared" si="11"/>
        <v>6740.11</v>
      </c>
      <c r="G33" s="2">
        <f t="shared" si="11"/>
        <v>10732.124</v>
      </c>
      <c r="K33" s="14" t="s">
        <v>107</v>
      </c>
      <c r="L33" s="46">
        <v>561.44034607990113</v>
      </c>
      <c r="M33" s="46">
        <v>453.60011978603671</v>
      </c>
      <c r="N33" s="46">
        <v>669.28057237376561</v>
      </c>
      <c r="O33" s="1">
        <f t="shared" si="0"/>
        <v>453.6</v>
      </c>
      <c r="P33" s="1">
        <f t="shared" si="1"/>
        <v>561.44000000000005</v>
      </c>
      <c r="Q33" s="1">
        <f t="shared" si="2"/>
        <v>669.28099999999995</v>
      </c>
      <c r="R33" s="14" t="str">
        <f t="shared" si="6"/>
        <v>2029Q3</v>
      </c>
      <c r="S33" s="61">
        <v>6707.7076615230062</v>
      </c>
      <c r="T33" s="61">
        <v>2648.8105365516117</v>
      </c>
      <c r="U33" s="61">
        <v>10766.604786494401</v>
      </c>
      <c r="V33" s="1">
        <f t="shared" si="3"/>
        <v>2648.8110000000001</v>
      </c>
      <c r="W33" s="1">
        <f t="shared" si="4"/>
        <v>6707.7079999999996</v>
      </c>
      <c r="X33" s="1">
        <f t="shared" si="5"/>
        <v>10766.605</v>
      </c>
    </row>
    <row r="34" spans="1:24" ht="15.5" thickTop="1" thickBot="1" x14ac:dyDescent="0.4">
      <c r="A34" s="5" t="str">
        <f t="shared" si="7"/>
        <v>2029Q3</v>
      </c>
      <c r="B34" s="2">
        <f t="shared" si="10"/>
        <v>453.6</v>
      </c>
      <c r="C34" s="3">
        <f t="shared" si="10"/>
        <v>561.44000000000005</v>
      </c>
      <c r="D34" s="2">
        <f t="shared" si="10"/>
        <v>669.28099999999995</v>
      </c>
      <c r="E34" s="2">
        <f t="shared" si="11"/>
        <v>2648.8110000000001</v>
      </c>
      <c r="F34" s="3">
        <f t="shared" si="11"/>
        <v>6707.7079999999996</v>
      </c>
      <c r="G34" s="2">
        <f t="shared" si="11"/>
        <v>10766.605</v>
      </c>
      <c r="K34" s="14" t="s">
        <v>108</v>
      </c>
      <c r="L34" s="46">
        <v>564.16947313069011</v>
      </c>
      <c r="M34" s="46">
        <v>456.10897676590258</v>
      </c>
      <c r="N34" s="46">
        <v>672.22996949547758</v>
      </c>
      <c r="O34" s="1">
        <f t="shared" si="0"/>
        <v>456.10899999999998</v>
      </c>
      <c r="P34" s="1">
        <f t="shared" si="1"/>
        <v>564.16899999999998</v>
      </c>
      <c r="Q34" s="1">
        <f t="shared" si="2"/>
        <v>672.23</v>
      </c>
      <c r="R34" s="14" t="str">
        <f t="shared" si="6"/>
        <v>2029Q4</v>
      </c>
      <c r="S34" s="61">
        <v>6669.5814619428784</v>
      </c>
      <c r="T34" s="61">
        <v>2544.8860664060544</v>
      </c>
      <c r="U34" s="61">
        <v>10794.276857479701</v>
      </c>
      <c r="V34" s="1">
        <f t="shared" si="3"/>
        <v>2544.886</v>
      </c>
      <c r="W34" s="1">
        <f t="shared" si="4"/>
        <v>6669.5810000000001</v>
      </c>
      <c r="X34" s="1">
        <f t="shared" si="5"/>
        <v>10794.277</v>
      </c>
    </row>
    <row r="35" spans="1:24" ht="13" thickTop="1" thickBot="1" x14ac:dyDescent="0.35">
      <c r="A35" s="5" t="str">
        <f t="shared" si="7"/>
        <v>2029Q4</v>
      </c>
      <c r="B35" s="2">
        <f t="shared" si="10"/>
        <v>456.10899999999998</v>
      </c>
      <c r="C35" s="3">
        <f t="shared" si="10"/>
        <v>564.16899999999998</v>
      </c>
      <c r="D35" s="2">
        <f t="shared" si="10"/>
        <v>672.23</v>
      </c>
      <c r="E35" s="2">
        <f t="shared" si="11"/>
        <v>2544.886</v>
      </c>
      <c r="F35" s="3">
        <f t="shared" si="11"/>
        <v>6669.5810000000001</v>
      </c>
      <c r="G35" s="2">
        <f t="shared" si="11"/>
        <v>10794.277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548.19231249999996</v>
      </c>
      <c r="F38" s="1">
        <f>AVERAGE(F4:F35)</f>
        <v>6176.8797500000001</v>
      </c>
    </row>
    <row r="40" spans="1:24" ht="12.5" thickBot="1" x14ac:dyDescent="0.35"/>
    <row r="41" spans="1:24" ht="15.5" thickTop="1" thickBot="1" x14ac:dyDescent="0.4">
      <c r="A41" s="30" t="s">
        <v>49</v>
      </c>
      <c r="B41" s="31"/>
      <c r="C41" s="31"/>
      <c r="D41" s="31"/>
      <c r="E41" s="31"/>
      <c r="F41" s="31"/>
      <c r="G41" s="31"/>
      <c r="K41" s="30" t="s">
        <v>26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520.40800000000002</v>
      </c>
      <c r="D44" s="6"/>
      <c r="E44" s="6"/>
      <c r="F44" s="9">
        <f>ROUND(F4-((G4-F4)*(0.5/2)),3)</f>
        <v>5434.54</v>
      </c>
      <c r="G44" s="6"/>
      <c r="K44" s="7" t="str">
        <f>A4</f>
        <v>2022Q1</v>
      </c>
      <c r="L44" s="6"/>
      <c r="M44" s="9">
        <f>ROUND(C4-((D4-C4)*(1/2)),3)</f>
        <v>512.48299999999995</v>
      </c>
      <c r="N44" s="6"/>
      <c r="O44" s="6"/>
      <c r="P44" s="9">
        <f>ROUND(F4-((G4-F4)*(1/2)),3)</f>
        <v>5278.41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549.31200000000001</v>
      </c>
      <c r="D45" s="6"/>
      <c r="E45" s="6"/>
      <c r="F45" s="9">
        <f t="shared" ref="F45:F75" si="14">ROUND(F5-((G5-F5)*(0.5/2)),3)</f>
        <v>5514.9830000000002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537.82799999999997</v>
      </c>
      <c r="N45" s="6"/>
      <c r="O45" s="6"/>
      <c r="P45" s="9">
        <f t="shared" ref="P45:P75" si="17">ROUND(F5-((G5-F5)*(1/2)),3)</f>
        <v>5280.3829999999998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547.149</v>
      </c>
      <c r="D46" s="6"/>
      <c r="E46" s="6"/>
      <c r="F46" s="9">
        <f t="shared" si="14"/>
        <v>5419.0450000000001</v>
      </c>
      <c r="G46" s="6"/>
      <c r="K46" s="7" t="str">
        <f t="shared" si="15"/>
        <v>2022Q3</v>
      </c>
      <c r="L46" s="6"/>
      <c r="M46" s="9">
        <f t="shared" si="16"/>
        <v>533.21699999999998</v>
      </c>
      <c r="N46" s="6"/>
      <c r="O46" s="6"/>
      <c r="P46" s="9">
        <f t="shared" si="17"/>
        <v>5122.8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545.85400000000004</v>
      </c>
      <c r="D47" s="6"/>
      <c r="E47" s="6"/>
      <c r="F47" s="9">
        <f t="shared" si="14"/>
        <v>5328.549</v>
      </c>
      <c r="G47" s="6"/>
      <c r="K47" s="7" t="str">
        <f t="shared" si="15"/>
        <v>2022Q4</v>
      </c>
      <c r="L47" s="6"/>
      <c r="M47" s="9">
        <f t="shared" si="16"/>
        <v>530.03899999999999</v>
      </c>
      <c r="N47" s="6"/>
      <c r="O47" s="6"/>
      <c r="P47" s="9">
        <f t="shared" si="17"/>
        <v>4980.5129999999999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505.59199999999998</v>
      </c>
      <c r="D48" s="6"/>
      <c r="E48" s="6"/>
      <c r="F48" s="9">
        <f t="shared" si="14"/>
        <v>5330.4229999999998</v>
      </c>
      <c r="G48" s="6"/>
      <c r="K48" s="7" t="str">
        <f t="shared" si="15"/>
        <v>2023Q1</v>
      </c>
      <c r="L48" s="6"/>
      <c r="M48" s="9">
        <f t="shared" si="16"/>
        <v>488.25599999999997</v>
      </c>
      <c r="N48" s="6"/>
      <c r="O48" s="6"/>
      <c r="P48" s="9">
        <f t="shared" si="17"/>
        <v>4937.1080000000002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537.375</v>
      </c>
      <c r="D49" s="6"/>
      <c r="E49" s="6"/>
      <c r="F49" s="9">
        <f t="shared" si="14"/>
        <v>5454.8140000000003</v>
      </c>
      <c r="G49" s="6"/>
      <c r="K49" s="7" t="str">
        <f t="shared" si="15"/>
        <v>2023Q2</v>
      </c>
      <c r="L49" s="6"/>
      <c r="M49" s="9">
        <f t="shared" si="16"/>
        <v>518.77599999999995</v>
      </c>
      <c r="N49" s="6"/>
      <c r="O49" s="6"/>
      <c r="P49" s="9">
        <f t="shared" si="17"/>
        <v>5020.8519999999999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537.14700000000005</v>
      </c>
      <c r="D50" s="6"/>
      <c r="E50" s="6"/>
      <c r="F50" s="9">
        <f t="shared" si="14"/>
        <v>5385.2219999999998</v>
      </c>
      <c r="G50" s="6"/>
      <c r="K50" s="7" t="str">
        <f t="shared" si="15"/>
        <v>2023Q3</v>
      </c>
      <c r="L50" s="6"/>
      <c r="M50" s="9">
        <f t="shared" si="16"/>
        <v>517.47900000000004</v>
      </c>
      <c r="N50" s="6"/>
      <c r="O50" s="6"/>
      <c r="P50" s="9">
        <f t="shared" si="17"/>
        <v>4914.085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537.346</v>
      </c>
      <c r="D51" s="6"/>
      <c r="E51" s="6"/>
      <c r="F51" s="9">
        <f t="shared" si="14"/>
        <v>5312.6369999999997</v>
      </c>
      <c r="G51" s="6"/>
      <c r="K51" s="7" t="str">
        <f t="shared" si="15"/>
        <v>2023Q4</v>
      </c>
      <c r="L51" s="6"/>
      <c r="M51" s="9">
        <f t="shared" si="16"/>
        <v>516.76300000000003</v>
      </c>
      <c r="N51" s="6"/>
      <c r="O51" s="6"/>
      <c r="P51" s="9">
        <f t="shared" si="17"/>
        <v>4807.0469999999996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498.31599999999997</v>
      </c>
      <c r="D52" s="6"/>
      <c r="E52" s="6"/>
      <c r="F52" s="9">
        <f t="shared" si="14"/>
        <v>5327.7110000000002</v>
      </c>
      <c r="G52" s="6"/>
      <c r="K52" s="7" t="str">
        <f t="shared" si="15"/>
        <v>2024Q1</v>
      </c>
      <c r="L52" s="6"/>
      <c r="M52" s="9">
        <f t="shared" si="16"/>
        <v>476.94299999999998</v>
      </c>
      <c r="N52" s="6"/>
      <c r="O52" s="6"/>
      <c r="P52" s="9">
        <f t="shared" si="17"/>
        <v>4789.8680000000004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531.149</v>
      </c>
      <c r="D53" s="6"/>
      <c r="E53" s="6"/>
      <c r="F53" s="9">
        <f t="shared" si="14"/>
        <v>5462.3779999999997</v>
      </c>
      <c r="G53" s="6"/>
      <c r="K53" s="7" t="str">
        <f t="shared" si="15"/>
        <v>2024Q2</v>
      </c>
      <c r="L53" s="6"/>
      <c r="M53" s="9">
        <f t="shared" si="16"/>
        <v>509.089</v>
      </c>
      <c r="N53" s="6"/>
      <c r="O53" s="6"/>
      <c r="P53" s="9">
        <f t="shared" si="17"/>
        <v>4894.1099999999997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531.83699999999999</v>
      </c>
      <c r="D54" s="6"/>
      <c r="E54" s="6"/>
      <c r="F54" s="9">
        <f t="shared" si="14"/>
        <v>5401.0990000000002</v>
      </c>
      <c r="G54" s="6"/>
      <c r="K54" s="7" t="str">
        <f t="shared" si="15"/>
        <v>2024Q3</v>
      </c>
      <c r="L54" s="6"/>
      <c r="M54" s="9">
        <f t="shared" si="16"/>
        <v>509.17599999999999</v>
      </c>
      <c r="N54" s="6"/>
      <c r="O54" s="6"/>
      <c r="P54" s="9">
        <f t="shared" si="17"/>
        <v>4803.9539999999997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532.85</v>
      </c>
      <c r="D55" s="6"/>
      <c r="E55" s="6"/>
      <c r="F55" s="9">
        <f t="shared" si="14"/>
        <v>5335.4290000000001</v>
      </c>
      <c r="G55" s="6"/>
      <c r="K55" s="7" t="str">
        <f t="shared" si="15"/>
        <v>2024Q4</v>
      </c>
      <c r="L55" s="6"/>
      <c r="M55" s="9">
        <f t="shared" si="16"/>
        <v>509.661</v>
      </c>
      <c r="N55" s="6"/>
      <c r="O55" s="6"/>
      <c r="P55" s="9">
        <f t="shared" si="17"/>
        <v>4710.74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494.55099999999999</v>
      </c>
      <c r="D56" s="6"/>
      <c r="E56" s="6"/>
      <c r="F56" s="9">
        <f t="shared" si="14"/>
        <v>5356.3760000000002</v>
      </c>
      <c r="G56" s="6"/>
      <c r="K56" s="7" t="str">
        <f t="shared" si="15"/>
        <v>2025Q1</v>
      </c>
      <c r="L56" s="6"/>
      <c r="M56" s="9">
        <f t="shared" si="16"/>
        <v>470.89699999999999</v>
      </c>
      <c r="N56" s="6"/>
      <c r="O56" s="6"/>
      <c r="P56" s="9">
        <f t="shared" si="17"/>
        <v>4705.3069999999998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528.04499999999996</v>
      </c>
      <c r="D57" s="6"/>
      <c r="E57" s="6"/>
      <c r="F57" s="9">
        <f t="shared" si="14"/>
        <v>5496.1180000000004</v>
      </c>
      <c r="G57" s="6"/>
      <c r="K57" s="7" t="str">
        <f t="shared" si="15"/>
        <v>2025Q2</v>
      </c>
      <c r="L57" s="6"/>
      <c r="M57" s="9">
        <f t="shared" si="16"/>
        <v>503.97899999999998</v>
      </c>
      <c r="N57" s="6"/>
      <c r="O57" s="6"/>
      <c r="P57" s="9">
        <f t="shared" si="17"/>
        <v>4819.6980000000003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529.33500000000004</v>
      </c>
      <c r="D58" s="6"/>
      <c r="E58" s="6"/>
      <c r="F58" s="9">
        <f t="shared" si="14"/>
        <v>5439.2809999999999</v>
      </c>
      <c r="G58" s="6"/>
      <c r="K58" s="7" t="str">
        <f t="shared" si="15"/>
        <v>2025Q3</v>
      </c>
      <c r="L58" s="6"/>
      <c r="M58" s="9">
        <f t="shared" si="16"/>
        <v>504.904</v>
      </c>
      <c r="N58" s="6"/>
      <c r="O58" s="6"/>
      <c r="P58" s="9">
        <f t="shared" si="17"/>
        <v>4738.4250000000002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530.89800000000002</v>
      </c>
      <c r="D59" s="6"/>
      <c r="E59" s="6"/>
      <c r="F59" s="9">
        <f t="shared" si="14"/>
        <v>5377.5420000000004</v>
      </c>
      <c r="G59" s="6"/>
      <c r="K59" s="7" t="str">
        <f t="shared" si="15"/>
        <v>2025Q4</v>
      </c>
      <c r="L59" s="6"/>
      <c r="M59" s="9">
        <f t="shared" si="16"/>
        <v>506.14400000000001</v>
      </c>
      <c r="N59" s="6"/>
      <c r="O59" s="6"/>
      <c r="P59" s="9">
        <f t="shared" si="17"/>
        <v>4653.0749999999998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493.10399999999998</v>
      </c>
      <c r="D60" s="6"/>
      <c r="E60" s="6"/>
      <c r="F60" s="9">
        <f t="shared" si="14"/>
        <v>5402.0050000000001</v>
      </c>
      <c r="G60" s="6"/>
      <c r="K60" s="7" t="str">
        <f t="shared" si="15"/>
        <v>2026Q1</v>
      </c>
      <c r="L60" s="6"/>
      <c r="M60" s="9">
        <f t="shared" si="16"/>
        <v>468.06299999999999</v>
      </c>
      <c r="N60" s="6"/>
      <c r="O60" s="6"/>
      <c r="P60" s="9">
        <f t="shared" si="17"/>
        <v>4654.6710000000003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527.06500000000005</v>
      </c>
      <c r="D61" s="6"/>
      <c r="E61" s="6"/>
      <c r="F61" s="9">
        <f t="shared" si="14"/>
        <v>5544.9110000000001</v>
      </c>
      <c r="G61" s="6"/>
      <c r="K61" s="7" t="str">
        <f t="shared" si="15"/>
        <v>2026Q2</v>
      </c>
      <c r="L61" s="6"/>
      <c r="M61" s="9">
        <f t="shared" si="16"/>
        <v>501.767</v>
      </c>
      <c r="N61" s="6"/>
      <c r="O61" s="6"/>
      <c r="P61" s="9">
        <f t="shared" si="17"/>
        <v>4775.3900000000003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528.78499999999997</v>
      </c>
      <c r="D62" s="6"/>
      <c r="E62" s="6"/>
      <c r="F62" s="9">
        <f t="shared" si="14"/>
        <v>5490.9440000000004</v>
      </c>
      <c r="G62" s="6"/>
      <c r="K62" s="7" t="str">
        <f t="shared" si="15"/>
        <v>2026Q3</v>
      </c>
      <c r="L62" s="6"/>
      <c r="M62" s="9">
        <f t="shared" si="16"/>
        <v>503.25900000000001</v>
      </c>
      <c r="N62" s="6"/>
      <c r="O62" s="6"/>
      <c r="P62" s="9">
        <f t="shared" si="17"/>
        <v>4699.8590000000004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530.74900000000002</v>
      </c>
      <c r="D63" s="6"/>
      <c r="E63" s="6"/>
      <c r="F63" s="9">
        <f t="shared" si="14"/>
        <v>5431.826</v>
      </c>
      <c r="G63" s="6"/>
      <c r="K63" s="7" t="str">
        <f t="shared" si="15"/>
        <v>2026Q4</v>
      </c>
      <c r="L63" s="6"/>
      <c r="M63" s="9">
        <f t="shared" si="16"/>
        <v>505.01900000000001</v>
      </c>
      <c r="N63" s="6"/>
      <c r="O63" s="6"/>
      <c r="P63" s="9">
        <f t="shared" si="17"/>
        <v>4619.7479999999996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493.327</v>
      </c>
      <c r="D64" s="6"/>
      <c r="E64" s="6"/>
      <c r="F64" s="9">
        <f t="shared" si="14"/>
        <v>5458.6890000000003</v>
      </c>
      <c r="G64" s="6"/>
      <c r="K64" s="7" t="str">
        <f t="shared" si="15"/>
        <v>2027Q1</v>
      </c>
      <c r="L64" s="6"/>
      <c r="M64" s="9">
        <f t="shared" si="16"/>
        <v>467.41399999999999</v>
      </c>
      <c r="N64" s="6"/>
      <c r="O64" s="6"/>
      <c r="P64" s="9">
        <f t="shared" si="17"/>
        <v>4626.1490000000003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527.63300000000004</v>
      </c>
      <c r="D65" s="6"/>
      <c r="E65" s="6"/>
      <c r="F65" s="9">
        <f t="shared" si="14"/>
        <v>5603.8109999999997</v>
      </c>
      <c r="G65" s="6"/>
      <c r="K65" s="7" t="str">
        <f t="shared" si="15"/>
        <v>2027Q2</v>
      </c>
      <c r="L65" s="6"/>
      <c r="M65" s="9">
        <f t="shared" si="16"/>
        <v>501.55599999999998</v>
      </c>
      <c r="N65" s="6"/>
      <c r="O65" s="6"/>
      <c r="P65" s="9">
        <f t="shared" si="17"/>
        <v>4751.2979999999998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529.67700000000002</v>
      </c>
      <c r="D66" s="6"/>
      <c r="E66" s="6"/>
      <c r="F66" s="9">
        <f t="shared" si="14"/>
        <v>5551.8940000000002</v>
      </c>
      <c r="G66" s="6"/>
      <c r="K66" s="7" t="str">
        <f t="shared" si="15"/>
        <v>2027Q3</v>
      </c>
      <c r="L66" s="6"/>
      <c r="M66" s="9">
        <f t="shared" si="16"/>
        <v>503.45499999999998</v>
      </c>
      <c r="N66" s="6"/>
      <c r="O66" s="6"/>
      <c r="P66" s="9">
        <f t="shared" si="17"/>
        <v>4679.8670000000002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531.94100000000003</v>
      </c>
      <c r="D67" s="6"/>
      <c r="E67" s="6"/>
      <c r="F67" s="9">
        <f t="shared" si="14"/>
        <v>5494.6809999999996</v>
      </c>
      <c r="G67" s="6"/>
      <c r="K67" s="7" t="str">
        <f t="shared" si="15"/>
        <v>2027Q4</v>
      </c>
      <c r="L67" s="6"/>
      <c r="M67" s="9">
        <f t="shared" si="16"/>
        <v>505.58800000000002</v>
      </c>
      <c r="N67" s="6"/>
      <c r="O67" s="6"/>
      <c r="P67" s="9">
        <f t="shared" si="17"/>
        <v>4603.5659999999998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494.8</v>
      </c>
      <c r="D68" s="6"/>
      <c r="E68" s="6"/>
      <c r="F68" s="9">
        <f t="shared" si="14"/>
        <v>5523.3209999999999</v>
      </c>
      <c r="G68" s="6"/>
      <c r="K68" s="7" t="str">
        <f t="shared" si="15"/>
        <v>2028Q1</v>
      </c>
      <c r="L68" s="6"/>
      <c r="M68" s="9">
        <f t="shared" si="16"/>
        <v>468.32900000000001</v>
      </c>
      <c r="N68" s="6"/>
      <c r="O68" s="6"/>
      <c r="P68" s="9">
        <f t="shared" si="17"/>
        <v>4613.518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529.36800000000005</v>
      </c>
      <c r="D69" s="6"/>
      <c r="E69" s="6"/>
      <c r="F69" s="9">
        <f t="shared" si="14"/>
        <v>5670.1040000000003</v>
      </c>
      <c r="G69" s="6"/>
      <c r="K69" s="7" t="str">
        <f t="shared" si="15"/>
        <v>2028Q2</v>
      </c>
      <c r="L69" s="6"/>
      <c r="M69" s="9">
        <f t="shared" si="16"/>
        <v>502.79300000000001</v>
      </c>
      <c r="N69" s="6"/>
      <c r="O69" s="6"/>
      <c r="P69" s="9">
        <f t="shared" si="17"/>
        <v>4741.99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531.65800000000002</v>
      </c>
      <c r="D70" s="6"/>
      <c r="E70" s="6"/>
      <c r="F70" s="9">
        <f t="shared" si="14"/>
        <v>5619.7449999999999</v>
      </c>
      <c r="G70" s="6"/>
      <c r="K70" s="7" t="str">
        <f t="shared" si="15"/>
        <v>2028Q3</v>
      </c>
      <c r="L70" s="6"/>
      <c r="M70" s="9">
        <f t="shared" si="16"/>
        <v>504.988</v>
      </c>
      <c r="N70" s="6"/>
      <c r="O70" s="6"/>
      <c r="P70" s="9">
        <f t="shared" si="17"/>
        <v>4673.6750000000002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534.15200000000004</v>
      </c>
      <c r="D71" s="6"/>
      <c r="E71" s="6"/>
      <c r="F71" s="9">
        <f t="shared" si="14"/>
        <v>5563.9970000000003</v>
      </c>
      <c r="G71" s="6"/>
      <c r="K71" s="7" t="str">
        <f t="shared" si="15"/>
        <v>2028Q4</v>
      </c>
      <c r="L71" s="6"/>
      <c r="M71" s="9">
        <f t="shared" si="16"/>
        <v>507.39800000000002</v>
      </c>
      <c r="N71" s="6"/>
      <c r="O71" s="6"/>
      <c r="P71" s="9">
        <f t="shared" si="17"/>
        <v>4600.3050000000003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497.22699999999998</v>
      </c>
      <c r="D72" s="6"/>
      <c r="E72" s="6"/>
      <c r="F72" s="9">
        <f t="shared" si="14"/>
        <v>5594.018</v>
      </c>
      <c r="G72" s="6"/>
      <c r="K72" s="7" t="str">
        <f t="shared" si="15"/>
        <v>2029Q1</v>
      </c>
      <c r="L72" s="6"/>
      <c r="M72" s="9">
        <f t="shared" si="16"/>
        <v>470.39699999999999</v>
      </c>
      <c r="N72" s="6"/>
      <c r="O72" s="6"/>
      <c r="P72" s="9">
        <f t="shared" si="17"/>
        <v>4613.0200000000004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532</v>
      </c>
      <c r="D73" s="6"/>
      <c r="E73" s="6"/>
      <c r="F73" s="9">
        <f t="shared" si="14"/>
        <v>5742.107</v>
      </c>
      <c r="G73" s="6"/>
      <c r="K73" s="7" t="str">
        <f t="shared" si="15"/>
        <v>2029Q2</v>
      </c>
      <c r="L73" s="6"/>
      <c r="M73" s="9">
        <f t="shared" si="16"/>
        <v>505.10199999999998</v>
      </c>
      <c r="N73" s="6"/>
      <c r="O73" s="6"/>
      <c r="P73" s="9">
        <f t="shared" si="17"/>
        <v>4744.1030000000001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534.48</v>
      </c>
      <c r="D74" s="6"/>
      <c r="E74" s="6"/>
      <c r="F74" s="9">
        <f t="shared" si="14"/>
        <v>5692.9840000000004</v>
      </c>
      <c r="G74" s="6"/>
      <c r="K74" s="7" t="str">
        <f t="shared" si="15"/>
        <v>2029Q3</v>
      </c>
      <c r="L74" s="6"/>
      <c r="M74" s="9">
        <f t="shared" si="16"/>
        <v>507.52</v>
      </c>
      <c r="N74" s="6"/>
      <c r="O74" s="6"/>
      <c r="P74" s="9">
        <f t="shared" si="17"/>
        <v>4678.26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537.154</v>
      </c>
      <c r="D75" s="6"/>
      <c r="E75" s="6"/>
      <c r="F75" s="9">
        <f t="shared" si="14"/>
        <v>5638.4070000000002</v>
      </c>
      <c r="G75" s="6"/>
      <c r="K75" s="7" t="str">
        <f t="shared" si="15"/>
        <v>2029Q4</v>
      </c>
      <c r="L75" s="6"/>
      <c r="M75" s="9">
        <f t="shared" si="16"/>
        <v>510.13900000000001</v>
      </c>
      <c r="N75" s="6"/>
      <c r="O75" s="6"/>
      <c r="P75" s="9">
        <f t="shared" si="17"/>
        <v>4607.2330000000002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81640625" style="1" customWidth="1"/>
    <col min="4" max="5" width="12.1796875" style="1" bestFit="1" customWidth="1"/>
    <col min="6" max="6" width="20" style="1" customWidth="1"/>
    <col min="7" max="7" width="12.1796875" style="1" bestFit="1" customWidth="1"/>
    <col min="8" max="12" width="9.1796875" style="1"/>
    <col min="13" max="13" width="19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4" t="s">
        <v>11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3" t="s">
        <v>40</v>
      </c>
      <c r="C2" s="33"/>
      <c r="D2" s="33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5">
        <v>204.42989135317805</v>
      </c>
      <c r="M3" s="45">
        <v>190.56893626946174</v>
      </c>
      <c r="N3" s="45">
        <v>218.29084643689436</v>
      </c>
      <c r="O3" s="1">
        <f t="shared" ref="O3:O34" si="0">ROUND(M3,3)</f>
        <v>190.56899999999999</v>
      </c>
      <c r="P3" s="1">
        <f t="shared" ref="P3:P34" si="1">ROUND(L3,3)</f>
        <v>204.43</v>
      </c>
      <c r="Q3" s="1">
        <f t="shared" ref="Q3:Q34" si="2">ROUND(N3,3)</f>
        <v>218.291</v>
      </c>
      <c r="R3" s="14" t="str">
        <f>K3</f>
        <v>2022Q1</v>
      </c>
      <c r="S3" s="60">
        <v>1297.8884614071665</v>
      </c>
      <c r="T3" s="60">
        <v>1075.7189018465172</v>
      </c>
      <c r="U3" s="60">
        <v>1520.0580209678158</v>
      </c>
      <c r="V3" s="1">
        <f t="shared" ref="V3:V34" si="3">ROUND(T3,3)</f>
        <v>1075.7190000000001</v>
      </c>
      <c r="W3" s="1">
        <f t="shared" ref="W3:W34" si="4">ROUND(S3,3)</f>
        <v>1297.8879999999999</v>
      </c>
      <c r="X3" s="1">
        <f t="shared" ref="X3:X34" si="5">ROUND(U3,3)</f>
        <v>1520.058</v>
      </c>
    </row>
    <row r="4" spans="1:30" ht="15.5" thickTop="1" thickBot="1" x14ac:dyDescent="0.4">
      <c r="A4" s="5" t="str">
        <f>K3</f>
        <v>2022Q1</v>
      </c>
      <c r="B4" s="2">
        <f>O3</f>
        <v>190.56899999999999</v>
      </c>
      <c r="C4" s="3">
        <f>P3</f>
        <v>204.43</v>
      </c>
      <c r="D4" s="2">
        <f>Q3</f>
        <v>218.291</v>
      </c>
      <c r="E4" s="2">
        <f>V3</f>
        <v>1075.7190000000001</v>
      </c>
      <c r="F4" s="3">
        <f>W3</f>
        <v>1297.8879999999999</v>
      </c>
      <c r="G4" s="2">
        <f>X3</f>
        <v>1520.058</v>
      </c>
      <c r="K4" s="14" t="s">
        <v>68</v>
      </c>
      <c r="L4" s="45">
        <v>221.70004406523068</v>
      </c>
      <c r="M4" s="45">
        <v>205.78966671167004</v>
      </c>
      <c r="N4" s="45">
        <v>237.61042141879133</v>
      </c>
      <c r="O4" s="1">
        <f t="shared" si="0"/>
        <v>205.79</v>
      </c>
      <c r="P4" s="1">
        <f t="shared" si="1"/>
        <v>221.7</v>
      </c>
      <c r="Q4" s="1">
        <f t="shared" si="2"/>
        <v>237.61</v>
      </c>
      <c r="R4" s="14" t="str">
        <f t="shared" ref="R4:R34" si="6">K4</f>
        <v>2022Q2</v>
      </c>
      <c r="S4" s="60">
        <v>1315.836095768371</v>
      </c>
      <c r="T4" s="60">
        <v>1052.5026162638137</v>
      </c>
      <c r="U4" s="60">
        <v>1579.1695752729283</v>
      </c>
      <c r="V4" s="1">
        <f t="shared" si="3"/>
        <v>1052.5029999999999</v>
      </c>
      <c r="W4" s="1">
        <f t="shared" si="4"/>
        <v>1315.836</v>
      </c>
      <c r="X4" s="1">
        <f t="shared" si="5"/>
        <v>1579.17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205.79</v>
      </c>
      <c r="C5" s="3">
        <f t="shared" si="8"/>
        <v>221.7</v>
      </c>
      <c r="D5" s="2">
        <f t="shared" si="8"/>
        <v>237.61</v>
      </c>
      <c r="E5" s="2">
        <f t="shared" ref="E5:G20" si="9">V4</f>
        <v>1052.5029999999999</v>
      </c>
      <c r="F5" s="3">
        <f t="shared" si="9"/>
        <v>1315.836</v>
      </c>
      <c r="G5" s="2">
        <f t="shared" si="9"/>
        <v>1579.17</v>
      </c>
      <c r="I5" s="1">
        <f>SUM(F5:F8)</f>
        <v>5290.65</v>
      </c>
      <c r="K5" s="14" t="s">
        <v>69</v>
      </c>
      <c r="L5" s="45">
        <v>214.28925645473271</v>
      </c>
      <c r="M5" s="45">
        <v>197.01750945831583</v>
      </c>
      <c r="N5" s="45">
        <v>231.56100345114959</v>
      </c>
      <c r="O5" s="1">
        <f t="shared" si="0"/>
        <v>197.018</v>
      </c>
      <c r="P5" s="1">
        <f t="shared" si="1"/>
        <v>214.28899999999999</v>
      </c>
      <c r="Q5" s="1">
        <f t="shared" si="2"/>
        <v>231.56100000000001</v>
      </c>
      <c r="R5" s="14" t="str">
        <f t="shared" si="6"/>
        <v>2022Q3</v>
      </c>
      <c r="S5" s="60">
        <v>1301.2795495333464</v>
      </c>
      <c r="T5" s="60">
        <v>1005.0446422229763</v>
      </c>
      <c r="U5" s="60">
        <v>1597.5144568437165</v>
      </c>
      <c r="V5" s="1">
        <f t="shared" si="3"/>
        <v>1005.045</v>
      </c>
      <c r="W5" s="1">
        <f t="shared" si="4"/>
        <v>1301.28</v>
      </c>
      <c r="X5" s="1">
        <f t="shared" si="5"/>
        <v>1597.5139999999999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197.018</v>
      </c>
      <c r="C6" s="3">
        <f t="shared" si="8"/>
        <v>214.28899999999999</v>
      </c>
      <c r="D6" s="2">
        <f t="shared" si="8"/>
        <v>231.56100000000001</v>
      </c>
      <c r="E6" s="2">
        <f t="shared" si="9"/>
        <v>1005.045</v>
      </c>
      <c r="F6" s="3">
        <f t="shared" si="9"/>
        <v>1301.28</v>
      </c>
      <c r="G6" s="2">
        <f t="shared" si="9"/>
        <v>1597.5139999999999</v>
      </c>
      <c r="I6" s="1">
        <f>SUM(F9:F12)</f>
        <v>5502.4279999999999</v>
      </c>
      <c r="K6" s="14" t="s">
        <v>70</v>
      </c>
      <c r="L6" s="45">
        <v>216.60797549302026</v>
      </c>
      <c r="M6" s="45">
        <v>198.39374447817016</v>
      </c>
      <c r="N6" s="45">
        <v>234.82220650787036</v>
      </c>
      <c r="O6" s="1">
        <f t="shared" si="0"/>
        <v>198.39400000000001</v>
      </c>
      <c r="P6" s="1">
        <f t="shared" si="1"/>
        <v>216.608</v>
      </c>
      <c r="Q6" s="1">
        <f t="shared" si="2"/>
        <v>234.822</v>
      </c>
      <c r="R6" s="14" t="str">
        <f t="shared" si="6"/>
        <v>2022Q4</v>
      </c>
      <c r="S6" s="60">
        <v>1329.9410277329969</v>
      </c>
      <c r="T6" s="60">
        <v>1004.2764835845481</v>
      </c>
      <c r="U6" s="60">
        <v>1655.6055718814455</v>
      </c>
      <c r="V6" s="1">
        <f t="shared" si="3"/>
        <v>1004.276</v>
      </c>
      <c r="W6" s="1">
        <f t="shared" si="4"/>
        <v>1329.941</v>
      </c>
      <c r="X6" s="1">
        <f t="shared" si="5"/>
        <v>1655.606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198.39400000000001</v>
      </c>
      <c r="C7" s="3">
        <f t="shared" si="8"/>
        <v>216.608</v>
      </c>
      <c r="D7" s="2">
        <f t="shared" si="8"/>
        <v>234.822</v>
      </c>
      <c r="E7" s="2">
        <f t="shared" si="9"/>
        <v>1004.276</v>
      </c>
      <c r="F7" s="3">
        <f t="shared" si="9"/>
        <v>1329.941</v>
      </c>
      <c r="G7" s="2">
        <f t="shared" si="9"/>
        <v>1655.606</v>
      </c>
      <c r="I7" s="1">
        <f>SUM(F13:F16)</f>
        <v>5714.7659999999996</v>
      </c>
      <c r="K7" s="14" t="s">
        <v>71</v>
      </c>
      <c r="L7" s="45">
        <v>204.87149666786351</v>
      </c>
      <c r="M7" s="45">
        <v>185.98976053385627</v>
      </c>
      <c r="N7" s="45">
        <v>223.75323280187075</v>
      </c>
      <c r="O7" s="1">
        <f t="shared" si="0"/>
        <v>185.99</v>
      </c>
      <c r="P7" s="1">
        <f t="shared" si="1"/>
        <v>204.87100000000001</v>
      </c>
      <c r="Q7" s="1">
        <f t="shared" si="2"/>
        <v>223.75299999999999</v>
      </c>
      <c r="R7" s="14" t="str">
        <f t="shared" si="6"/>
        <v>2023Q1</v>
      </c>
      <c r="S7" s="60">
        <v>1343.5929444407645</v>
      </c>
      <c r="T7" s="60">
        <v>990.95706564693023</v>
      </c>
      <c r="U7" s="60">
        <v>1696.2288232345988</v>
      </c>
      <c r="V7" s="1">
        <f t="shared" si="3"/>
        <v>990.95699999999999</v>
      </c>
      <c r="W7" s="1">
        <f t="shared" si="4"/>
        <v>1343.5930000000001</v>
      </c>
      <c r="X7" s="1">
        <f t="shared" si="5"/>
        <v>1696.229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185.99</v>
      </c>
      <c r="C8" s="3">
        <f t="shared" si="8"/>
        <v>204.87100000000001</v>
      </c>
      <c r="D8" s="2">
        <f t="shared" si="8"/>
        <v>223.75299999999999</v>
      </c>
      <c r="E8" s="2">
        <f t="shared" si="9"/>
        <v>990.95699999999999</v>
      </c>
      <c r="F8" s="3">
        <f t="shared" si="9"/>
        <v>1343.5930000000001</v>
      </c>
      <c r="G8" s="2">
        <f t="shared" si="9"/>
        <v>1696.229</v>
      </c>
      <c r="I8" s="1">
        <f>SUM(F17:F20)</f>
        <v>5927.1029999999992</v>
      </c>
      <c r="K8" s="14" t="s">
        <v>72</v>
      </c>
      <c r="L8" s="45">
        <v>222.96008754690354</v>
      </c>
      <c r="M8" s="45">
        <v>203.59896962798337</v>
      </c>
      <c r="N8" s="45">
        <v>242.32120546582371</v>
      </c>
      <c r="O8" s="1">
        <f t="shared" si="0"/>
        <v>203.59899999999999</v>
      </c>
      <c r="P8" s="1">
        <f t="shared" si="1"/>
        <v>222.96</v>
      </c>
      <c r="Q8" s="1">
        <f t="shared" si="2"/>
        <v>242.321</v>
      </c>
      <c r="R8" s="14" t="str">
        <f t="shared" si="6"/>
        <v>2023Q2</v>
      </c>
      <c r="S8" s="60">
        <v>1368.4012896023526</v>
      </c>
      <c r="T8" s="60">
        <v>990.71597656687595</v>
      </c>
      <c r="U8" s="60">
        <v>1746.0866026378292</v>
      </c>
      <c r="V8" s="1">
        <f t="shared" si="3"/>
        <v>990.71600000000001</v>
      </c>
      <c r="W8" s="1">
        <f t="shared" si="4"/>
        <v>1368.4010000000001</v>
      </c>
      <c r="X8" s="1">
        <f t="shared" si="5"/>
        <v>1746.087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203.59899999999999</v>
      </c>
      <c r="C9" s="3">
        <f t="shared" si="8"/>
        <v>222.96</v>
      </c>
      <c r="D9" s="2">
        <f t="shared" si="8"/>
        <v>242.321</v>
      </c>
      <c r="E9" s="2">
        <f t="shared" si="9"/>
        <v>990.71600000000001</v>
      </c>
      <c r="F9" s="3">
        <f t="shared" si="9"/>
        <v>1368.4010000000001</v>
      </c>
      <c r="G9" s="2">
        <f t="shared" si="9"/>
        <v>1746.087</v>
      </c>
      <c r="I9" s="1">
        <f>SUM(F21:F24)</f>
        <v>6139.4400000000005</v>
      </c>
      <c r="K9" s="14" t="s">
        <v>73</v>
      </c>
      <c r="L9" s="45">
        <v>216.25352444697543</v>
      </c>
      <c r="M9" s="45">
        <v>196.5449960842121</v>
      </c>
      <c r="N9" s="45">
        <v>235.96205280973876</v>
      </c>
      <c r="O9" s="1">
        <f t="shared" si="0"/>
        <v>196.54499999999999</v>
      </c>
      <c r="P9" s="1">
        <f t="shared" si="1"/>
        <v>216.25399999999999</v>
      </c>
      <c r="Q9" s="1">
        <f t="shared" si="2"/>
        <v>235.96199999999999</v>
      </c>
      <c r="R9" s="14" t="str">
        <f t="shared" si="6"/>
        <v>2023Q3</v>
      </c>
      <c r="S9" s="60">
        <v>1354.327315565539</v>
      </c>
      <c r="T9" s="60">
        <v>953.15367395883595</v>
      </c>
      <c r="U9" s="60">
        <v>1755.5009571722419</v>
      </c>
      <c r="V9" s="1">
        <f t="shared" si="3"/>
        <v>953.154</v>
      </c>
      <c r="W9" s="1">
        <f t="shared" si="4"/>
        <v>1354.327</v>
      </c>
      <c r="X9" s="1">
        <f t="shared" si="5"/>
        <v>1755.501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196.54499999999999</v>
      </c>
      <c r="C10" s="3">
        <f t="shared" si="8"/>
        <v>216.25399999999999</v>
      </c>
      <c r="D10" s="2">
        <f t="shared" si="8"/>
        <v>235.96199999999999</v>
      </c>
      <c r="E10" s="2">
        <f t="shared" si="9"/>
        <v>953.154</v>
      </c>
      <c r="F10" s="3">
        <f t="shared" si="9"/>
        <v>1354.327</v>
      </c>
      <c r="G10" s="2">
        <f t="shared" si="9"/>
        <v>1755.501</v>
      </c>
      <c r="I10" s="1">
        <f>SUM(F25:F28)</f>
        <v>6351.7759999999998</v>
      </c>
      <c r="K10" s="14" t="s">
        <v>74</v>
      </c>
      <c r="L10" s="45">
        <v>219.17819294032432</v>
      </c>
      <c r="M10" s="45">
        <v>199.21634627544776</v>
      </c>
      <c r="N10" s="45">
        <v>239.14003960520088</v>
      </c>
      <c r="O10" s="1">
        <f t="shared" si="0"/>
        <v>199.21600000000001</v>
      </c>
      <c r="P10" s="1">
        <f t="shared" si="1"/>
        <v>219.178</v>
      </c>
      <c r="Q10" s="1">
        <f t="shared" si="2"/>
        <v>239.14</v>
      </c>
      <c r="R10" s="14" t="str">
        <f t="shared" si="6"/>
        <v>2023Q4</v>
      </c>
      <c r="S10" s="60">
        <v>1383.0227371761948</v>
      </c>
      <c r="T10" s="60">
        <v>959.66191812200771</v>
      </c>
      <c r="U10" s="60">
        <v>1806.3835562303818</v>
      </c>
      <c r="V10" s="1">
        <f t="shared" si="3"/>
        <v>959.66200000000003</v>
      </c>
      <c r="W10" s="1">
        <f t="shared" si="4"/>
        <v>1383.0229999999999</v>
      </c>
      <c r="X10" s="1">
        <f t="shared" si="5"/>
        <v>1806.384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199.21600000000001</v>
      </c>
      <c r="C11" s="3">
        <f t="shared" si="8"/>
        <v>219.178</v>
      </c>
      <c r="D11" s="2">
        <f t="shared" si="8"/>
        <v>239.14</v>
      </c>
      <c r="E11" s="2">
        <f t="shared" si="9"/>
        <v>959.66200000000003</v>
      </c>
      <c r="F11" s="3">
        <f t="shared" si="9"/>
        <v>1383.0229999999999</v>
      </c>
      <c r="G11" s="2">
        <f t="shared" si="9"/>
        <v>1806.384</v>
      </c>
      <c r="I11" s="1">
        <f>SUM(F29:F32)</f>
        <v>6564.1139999999996</v>
      </c>
      <c r="K11" s="14" t="s">
        <v>75</v>
      </c>
      <c r="L11" s="45">
        <v>207.96310287198884</v>
      </c>
      <c r="M11" s="45">
        <v>187.81575809556568</v>
      </c>
      <c r="N11" s="45">
        <v>228.11044764841199</v>
      </c>
      <c r="O11" s="1">
        <f t="shared" si="0"/>
        <v>187.816</v>
      </c>
      <c r="P11" s="1">
        <f t="shared" si="1"/>
        <v>207.96299999999999</v>
      </c>
      <c r="Q11" s="1">
        <f t="shared" si="2"/>
        <v>228.11</v>
      </c>
      <c r="R11" s="14" t="str">
        <f t="shared" si="6"/>
        <v>2024Q1</v>
      </c>
      <c r="S11" s="60">
        <v>1396.6770414130308</v>
      </c>
      <c r="T11" s="60">
        <v>952.23528447035483</v>
      </c>
      <c r="U11" s="60">
        <v>1841.1187983557068</v>
      </c>
      <c r="V11" s="1">
        <f t="shared" si="3"/>
        <v>952.23500000000001</v>
      </c>
      <c r="W11" s="1">
        <f t="shared" si="4"/>
        <v>1396.6769999999999</v>
      </c>
      <c r="X11" s="1">
        <f t="shared" si="5"/>
        <v>1841.1189999999999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187.816</v>
      </c>
      <c r="C12" s="3">
        <f t="shared" si="8"/>
        <v>207.96299999999999</v>
      </c>
      <c r="D12" s="2">
        <f t="shared" si="8"/>
        <v>228.11</v>
      </c>
      <c r="E12" s="2">
        <f t="shared" si="9"/>
        <v>952.23500000000001</v>
      </c>
      <c r="F12" s="3">
        <f t="shared" si="9"/>
        <v>1396.6769999999999</v>
      </c>
      <c r="G12" s="2">
        <f t="shared" si="9"/>
        <v>1841.1189999999999</v>
      </c>
      <c r="K12" s="14" t="s">
        <v>76</v>
      </c>
      <c r="L12" s="45">
        <v>226.50032231809661</v>
      </c>
      <c r="M12" s="45">
        <v>206.21673267558569</v>
      </c>
      <c r="N12" s="45">
        <v>246.78391196060753</v>
      </c>
      <c r="O12" s="1">
        <f t="shared" si="0"/>
        <v>206.21700000000001</v>
      </c>
      <c r="P12" s="1">
        <f t="shared" si="1"/>
        <v>226.5</v>
      </c>
      <c r="Q12" s="1">
        <f t="shared" si="2"/>
        <v>246.78399999999999</v>
      </c>
      <c r="R12" s="14" t="str">
        <f t="shared" si="6"/>
        <v>2024Q2</v>
      </c>
      <c r="S12" s="60">
        <v>1421.485554509864</v>
      </c>
      <c r="T12" s="60">
        <v>956.91847915340145</v>
      </c>
      <c r="U12" s="60">
        <v>1886.0526298663265</v>
      </c>
      <c r="V12" s="1">
        <f t="shared" si="3"/>
        <v>956.91800000000001</v>
      </c>
      <c r="W12" s="1">
        <f t="shared" si="4"/>
        <v>1421.4860000000001</v>
      </c>
      <c r="X12" s="1">
        <f t="shared" si="5"/>
        <v>1886.0530000000001</v>
      </c>
    </row>
    <row r="13" spans="1:30" ht="15.5" thickTop="1" thickBot="1" x14ac:dyDescent="0.4">
      <c r="A13" s="5" t="str">
        <f t="shared" si="7"/>
        <v>2024Q2</v>
      </c>
      <c r="B13" s="2">
        <f t="shared" si="8"/>
        <v>206.21700000000001</v>
      </c>
      <c r="C13" s="3">
        <f t="shared" si="8"/>
        <v>226.5</v>
      </c>
      <c r="D13" s="2">
        <f t="shared" si="8"/>
        <v>246.78399999999999</v>
      </c>
      <c r="E13" s="2">
        <f t="shared" si="9"/>
        <v>956.91800000000001</v>
      </c>
      <c r="F13" s="3">
        <f t="shared" si="9"/>
        <v>1421.4860000000001</v>
      </c>
      <c r="G13" s="2">
        <f t="shared" si="9"/>
        <v>1886.0530000000001</v>
      </c>
      <c r="K13" s="14" t="s">
        <v>77</v>
      </c>
      <c r="L13" s="45">
        <v>220.17978133421167</v>
      </c>
      <c r="M13" s="45">
        <v>199.79590637440685</v>
      </c>
      <c r="N13" s="45">
        <v>240.56365629401648</v>
      </c>
      <c r="O13" s="1">
        <f t="shared" si="0"/>
        <v>199.79599999999999</v>
      </c>
      <c r="P13" s="1">
        <f t="shared" si="1"/>
        <v>220.18</v>
      </c>
      <c r="Q13" s="1">
        <f t="shared" si="2"/>
        <v>240.56399999999999</v>
      </c>
      <c r="R13" s="14" t="str">
        <f t="shared" si="6"/>
        <v>2024Q3</v>
      </c>
      <c r="S13" s="60">
        <v>1407.4115922853659</v>
      </c>
      <c r="T13" s="60">
        <v>923.55556029310026</v>
      </c>
      <c r="U13" s="60">
        <v>1891.2676242776315</v>
      </c>
      <c r="V13" s="1">
        <f t="shared" si="3"/>
        <v>923.55600000000004</v>
      </c>
      <c r="W13" s="1">
        <f t="shared" si="4"/>
        <v>1407.412</v>
      </c>
      <c r="X13" s="1">
        <f t="shared" si="5"/>
        <v>1891.268</v>
      </c>
    </row>
    <row r="14" spans="1:30" ht="15.5" thickTop="1" thickBot="1" x14ac:dyDescent="0.4">
      <c r="A14" s="5" t="str">
        <f t="shared" si="7"/>
        <v>2024Q3</v>
      </c>
      <c r="B14" s="2">
        <f t="shared" si="8"/>
        <v>199.79599999999999</v>
      </c>
      <c r="C14" s="3">
        <f t="shared" si="8"/>
        <v>220.18</v>
      </c>
      <c r="D14" s="2">
        <f t="shared" si="8"/>
        <v>240.56399999999999</v>
      </c>
      <c r="E14" s="2">
        <f t="shared" si="9"/>
        <v>923.55600000000004</v>
      </c>
      <c r="F14" s="3">
        <f t="shared" si="9"/>
        <v>1407.412</v>
      </c>
      <c r="G14" s="2">
        <f t="shared" si="9"/>
        <v>1891.268</v>
      </c>
      <c r="K14" s="14" t="s">
        <v>82</v>
      </c>
      <c r="L14" s="45">
        <v>223.43660226949794</v>
      </c>
      <c r="M14" s="45">
        <v>202.9787954962826</v>
      </c>
      <c r="N14" s="45">
        <v>243.89440904271328</v>
      </c>
      <c r="O14" s="1">
        <f t="shared" si="0"/>
        <v>202.97900000000001</v>
      </c>
      <c r="P14" s="1">
        <f t="shared" si="1"/>
        <v>223.43700000000001</v>
      </c>
      <c r="Q14" s="1">
        <f t="shared" si="2"/>
        <v>243.89400000000001</v>
      </c>
      <c r="R14" s="14" t="str">
        <f t="shared" si="6"/>
        <v>2024Q4</v>
      </c>
      <c r="S14" s="60">
        <v>1436.1070147268824</v>
      </c>
      <c r="T14" s="60">
        <v>933.70204671275258</v>
      </c>
      <c r="U14" s="60">
        <v>1938.5119827410122</v>
      </c>
      <c r="V14" s="1">
        <f t="shared" si="3"/>
        <v>933.702</v>
      </c>
      <c r="W14" s="1">
        <f t="shared" si="4"/>
        <v>1436.107</v>
      </c>
      <c r="X14" s="1">
        <f t="shared" si="5"/>
        <v>1938.5119999999999</v>
      </c>
    </row>
    <row r="15" spans="1:30" ht="15.5" thickTop="1" thickBot="1" x14ac:dyDescent="0.4">
      <c r="A15" s="5" t="str">
        <f t="shared" si="7"/>
        <v>2024Q4</v>
      </c>
      <c r="B15" s="2">
        <f t="shared" si="8"/>
        <v>202.97900000000001</v>
      </c>
      <c r="C15" s="3">
        <f t="shared" si="8"/>
        <v>223.43700000000001</v>
      </c>
      <c r="D15" s="2">
        <f t="shared" si="8"/>
        <v>243.89400000000001</v>
      </c>
      <c r="E15" s="2">
        <f t="shared" si="9"/>
        <v>933.702</v>
      </c>
      <c r="F15" s="3">
        <f t="shared" si="9"/>
        <v>1436.107</v>
      </c>
      <c r="G15" s="2">
        <f t="shared" si="9"/>
        <v>1938.5119999999999</v>
      </c>
      <c r="K15" s="14" t="s">
        <v>79</v>
      </c>
      <c r="L15" s="45">
        <v>212.50731252217992</v>
      </c>
      <c r="M15" s="45">
        <v>191.99494031174851</v>
      </c>
      <c r="N15" s="45">
        <v>233.01968473261132</v>
      </c>
      <c r="O15" s="1">
        <f t="shared" si="0"/>
        <v>191.995</v>
      </c>
      <c r="P15" s="1">
        <f t="shared" si="1"/>
        <v>212.50700000000001</v>
      </c>
      <c r="Q15" s="1">
        <f t="shared" si="2"/>
        <v>233.02</v>
      </c>
      <c r="R15" s="14" t="str">
        <f t="shared" si="6"/>
        <v>2025Q1</v>
      </c>
      <c r="S15" s="60">
        <v>1449.7613190221598</v>
      </c>
      <c r="T15" s="60">
        <v>929.46828228684774</v>
      </c>
      <c r="U15" s="60">
        <v>1970.0543557574717</v>
      </c>
      <c r="V15" s="1">
        <f t="shared" si="3"/>
        <v>929.46799999999996</v>
      </c>
      <c r="W15" s="1">
        <f t="shared" si="4"/>
        <v>1449.761</v>
      </c>
      <c r="X15" s="1">
        <f t="shared" si="5"/>
        <v>1970.0540000000001</v>
      </c>
    </row>
    <row r="16" spans="1:30" ht="15.5" thickTop="1" thickBot="1" x14ac:dyDescent="0.4">
      <c r="A16" s="5" t="str">
        <f t="shared" si="7"/>
        <v>2025Q1</v>
      </c>
      <c r="B16" s="2">
        <f t="shared" si="8"/>
        <v>191.995</v>
      </c>
      <c r="C16" s="3">
        <f t="shared" si="8"/>
        <v>212.50700000000001</v>
      </c>
      <c r="D16" s="2">
        <f t="shared" si="8"/>
        <v>233.02</v>
      </c>
      <c r="E16" s="2">
        <f t="shared" si="9"/>
        <v>929.46799999999996</v>
      </c>
      <c r="F16" s="3">
        <f t="shared" si="9"/>
        <v>1449.761</v>
      </c>
      <c r="G16" s="2">
        <f t="shared" si="9"/>
        <v>1970.0540000000001</v>
      </c>
      <c r="K16" s="14" t="s">
        <v>80</v>
      </c>
      <c r="L16" s="45">
        <v>231.29044864141903</v>
      </c>
      <c r="M16" s="45">
        <v>210.73777099053999</v>
      </c>
      <c r="N16" s="45">
        <v>251.84312629229808</v>
      </c>
      <c r="O16" s="1">
        <f t="shared" si="0"/>
        <v>210.738</v>
      </c>
      <c r="P16" s="1">
        <f t="shared" si="1"/>
        <v>231.29</v>
      </c>
      <c r="Q16" s="1">
        <f t="shared" si="2"/>
        <v>251.84299999999999</v>
      </c>
      <c r="R16" s="14" t="str">
        <f t="shared" si="6"/>
        <v>2025Q2</v>
      </c>
      <c r="S16" s="60">
        <v>1474.5698321231034</v>
      </c>
      <c r="T16" s="60">
        <v>936.98361925559857</v>
      </c>
      <c r="U16" s="60">
        <v>2012.1560449906083</v>
      </c>
      <c r="V16" s="1">
        <f t="shared" si="3"/>
        <v>936.98400000000004</v>
      </c>
      <c r="W16" s="1">
        <f t="shared" si="4"/>
        <v>1474.57</v>
      </c>
      <c r="X16" s="1">
        <f t="shared" si="5"/>
        <v>2012.1559999999999</v>
      </c>
    </row>
    <row r="17" spans="1:24" ht="15.5" thickTop="1" thickBot="1" x14ac:dyDescent="0.4">
      <c r="A17" s="5" t="str">
        <f t="shared" si="7"/>
        <v>2025Q2</v>
      </c>
      <c r="B17" s="2">
        <f t="shared" si="8"/>
        <v>210.738</v>
      </c>
      <c r="C17" s="3">
        <f t="shared" si="8"/>
        <v>231.29</v>
      </c>
      <c r="D17" s="2">
        <f t="shared" si="8"/>
        <v>251.84299999999999</v>
      </c>
      <c r="E17" s="2">
        <f t="shared" si="9"/>
        <v>936.98400000000004</v>
      </c>
      <c r="F17" s="3">
        <f t="shared" si="9"/>
        <v>1474.57</v>
      </c>
      <c r="G17" s="2">
        <f t="shared" si="9"/>
        <v>2012.1559999999999</v>
      </c>
      <c r="K17" s="14" t="s">
        <v>81</v>
      </c>
      <c r="L17" s="45">
        <v>225.18150647557837</v>
      </c>
      <c r="M17" s="45">
        <v>204.59903861823273</v>
      </c>
      <c r="N17" s="45">
        <v>245.76397433292402</v>
      </c>
      <c r="O17" s="1">
        <f t="shared" si="0"/>
        <v>204.59899999999999</v>
      </c>
      <c r="P17" s="1">
        <f t="shared" si="1"/>
        <v>225.18199999999999</v>
      </c>
      <c r="Q17" s="1">
        <f t="shared" si="2"/>
        <v>245.76400000000001</v>
      </c>
      <c r="R17" s="14" t="str">
        <f t="shared" si="6"/>
        <v>2025Q3</v>
      </c>
      <c r="S17" s="60">
        <v>1460.4958698988946</v>
      </c>
      <c r="T17" s="60">
        <v>906.15569594863871</v>
      </c>
      <c r="U17" s="60">
        <v>2014.8360438491504</v>
      </c>
      <c r="V17" s="1">
        <f t="shared" si="3"/>
        <v>906.15599999999995</v>
      </c>
      <c r="W17" s="1">
        <f t="shared" si="4"/>
        <v>1460.4960000000001</v>
      </c>
      <c r="X17" s="1">
        <f t="shared" si="5"/>
        <v>2014.836</v>
      </c>
    </row>
    <row r="18" spans="1:24" ht="15.5" thickTop="1" thickBot="1" x14ac:dyDescent="0.4">
      <c r="A18" s="5" t="str">
        <f t="shared" si="7"/>
        <v>2025Q3</v>
      </c>
      <c r="B18" s="2">
        <f t="shared" si="8"/>
        <v>204.59899999999999</v>
      </c>
      <c r="C18" s="3">
        <f t="shared" si="8"/>
        <v>225.18199999999999</v>
      </c>
      <c r="D18" s="2">
        <f t="shared" si="8"/>
        <v>245.76400000000001</v>
      </c>
      <c r="E18" s="2">
        <f t="shared" si="9"/>
        <v>906.15599999999995</v>
      </c>
      <c r="F18" s="3">
        <f t="shared" si="9"/>
        <v>1460.4960000000001</v>
      </c>
      <c r="G18" s="2">
        <f t="shared" si="9"/>
        <v>2014.836</v>
      </c>
      <c r="K18" s="14" t="s">
        <v>78</v>
      </c>
      <c r="L18" s="45">
        <v>228.62039745608618</v>
      </c>
      <c r="M18" s="45">
        <v>208.01590148562445</v>
      </c>
      <c r="N18" s="45">
        <v>249.22489342654791</v>
      </c>
      <c r="O18" s="1">
        <f t="shared" si="0"/>
        <v>208.01599999999999</v>
      </c>
      <c r="P18" s="1">
        <f t="shared" si="1"/>
        <v>228.62</v>
      </c>
      <c r="Q18" s="1">
        <f t="shared" si="2"/>
        <v>249.22499999999999</v>
      </c>
      <c r="R18" s="14" t="str">
        <f t="shared" si="6"/>
        <v>2025Q4</v>
      </c>
      <c r="S18" s="60">
        <v>1489.1912923404316</v>
      </c>
      <c r="T18" s="60">
        <v>918.58887327337789</v>
      </c>
      <c r="U18" s="60">
        <v>2059.7937114074853</v>
      </c>
      <c r="V18" s="1">
        <f t="shared" si="3"/>
        <v>918.58900000000006</v>
      </c>
      <c r="W18" s="1">
        <f t="shared" si="4"/>
        <v>1489.191</v>
      </c>
      <c r="X18" s="1">
        <f t="shared" si="5"/>
        <v>2059.7939999999999</v>
      </c>
    </row>
    <row r="19" spans="1:24" ht="15.5" thickTop="1" thickBot="1" x14ac:dyDescent="0.4">
      <c r="A19" s="5" t="str">
        <f t="shared" si="7"/>
        <v>2025Q4</v>
      </c>
      <c r="B19" s="2">
        <f t="shared" si="8"/>
        <v>208.01599999999999</v>
      </c>
      <c r="C19" s="3">
        <f t="shared" si="8"/>
        <v>228.62</v>
      </c>
      <c r="D19" s="2">
        <f t="shared" si="8"/>
        <v>249.22499999999999</v>
      </c>
      <c r="E19" s="2">
        <f t="shared" si="9"/>
        <v>918.58900000000006</v>
      </c>
      <c r="F19" s="3">
        <f t="shared" si="9"/>
        <v>1489.191</v>
      </c>
      <c r="G19" s="2">
        <f t="shared" si="9"/>
        <v>2059.7939999999999</v>
      </c>
      <c r="K19" s="14" t="s">
        <v>90</v>
      </c>
      <c r="L19" s="45">
        <v>217.84776974343052</v>
      </c>
      <c r="M19" s="45">
        <v>197.22697991499794</v>
      </c>
      <c r="N19" s="45">
        <v>238.4685595718631</v>
      </c>
      <c r="O19" s="1">
        <f t="shared" si="0"/>
        <v>197.227</v>
      </c>
      <c r="P19" s="1">
        <f t="shared" si="1"/>
        <v>217.84800000000001</v>
      </c>
      <c r="Q19" s="1">
        <f t="shared" si="2"/>
        <v>238.46899999999999</v>
      </c>
      <c r="R19" s="14" t="str">
        <f t="shared" si="6"/>
        <v>2026Q1</v>
      </c>
      <c r="S19" s="60">
        <v>1502.8455966357103</v>
      </c>
      <c r="T19" s="60">
        <v>916.43173865216374</v>
      </c>
      <c r="U19" s="60">
        <v>2089.2594546192568</v>
      </c>
      <c r="V19" s="1">
        <f t="shared" si="3"/>
        <v>916.43200000000002</v>
      </c>
      <c r="W19" s="1">
        <f t="shared" si="4"/>
        <v>1502.846</v>
      </c>
      <c r="X19" s="1">
        <f t="shared" si="5"/>
        <v>2089.259</v>
      </c>
    </row>
    <row r="20" spans="1:24" ht="15.5" thickTop="1" thickBot="1" x14ac:dyDescent="0.4">
      <c r="A20" s="5" t="str">
        <f t="shared" si="7"/>
        <v>2026Q1</v>
      </c>
      <c r="B20" s="2">
        <f t="shared" si="8"/>
        <v>197.227</v>
      </c>
      <c r="C20" s="3">
        <f t="shared" si="8"/>
        <v>217.84800000000001</v>
      </c>
      <c r="D20" s="2">
        <f t="shared" si="8"/>
        <v>238.46899999999999</v>
      </c>
      <c r="E20" s="2">
        <f t="shared" si="9"/>
        <v>916.43200000000002</v>
      </c>
      <c r="F20" s="3">
        <f t="shared" si="9"/>
        <v>1502.846</v>
      </c>
      <c r="G20" s="2">
        <f t="shared" si="9"/>
        <v>2089.259</v>
      </c>
      <c r="K20" s="14" t="s">
        <v>91</v>
      </c>
      <c r="L20" s="45">
        <v>236.76570559359013</v>
      </c>
      <c r="M20" s="45">
        <v>216.13286052390501</v>
      </c>
      <c r="N20" s="45">
        <v>257.39855066327527</v>
      </c>
      <c r="O20" s="1">
        <f t="shared" si="0"/>
        <v>216.13300000000001</v>
      </c>
      <c r="P20" s="1">
        <f t="shared" si="1"/>
        <v>236.76599999999999</v>
      </c>
      <c r="Q20" s="1">
        <f t="shared" si="2"/>
        <v>257.399</v>
      </c>
      <c r="R20" s="14" t="str">
        <f t="shared" si="6"/>
        <v>2026Q2</v>
      </c>
      <c r="S20" s="60">
        <v>1527.6541097366544</v>
      </c>
      <c r="T20" s="60">
        <v>925.84408570488347</v>
      </c>
      <c r="U20" s="60">
        <v>2129.4641337684257</v>
      </c>
      <c r="V20" s="1">
        <f t="shared" si="3"/>
        <v>925.84400000000005</v>
      </c>
      <c r="W20" s="1">
        <f t="shared" si="4"/>
        <v>1527.654</v>
      </c>
      <c r="X20" s="1">
        <f t="shared" si="5"/>
        <v>2129.4639999999999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216.13300000000001</v>
      </c>
      <c r="C21" s="3">
        <f t="shared" si="10"/>
        <v>236.76599999999999</v>
      </c>
      <c r="D21" s="2">
        <f t="shared" si="10"/>
        <v>257.399</v>
      </c>
      <c r="E21" s="2">
        <f t="shared" ref="E21:G35" si="11">V20</f>
        <v>925.84400000000005</v>
      </c>
      <c r="F21" s="3">
        <f t="shared" si="11"/>
        <v>1527.654</v>
      </c>
      <c r="G21" s="2">
        <f t="shared" si="11"/>
        <v>2129.4639999999999</v>
      </c>
      <c r="K21" s="14" t="s">
        <v>92</v>
      </c>
      <c r="L21" s="45">
        <v>230.77275175571546</v>
      </c>
      <c r="M21" s="45">
        <v>210.13098584781466</v>
      </c>
      <c r="N21" s="45">
        <v>251.41451766361627</v>
      </c>
      <c r="O21" s="1">
        <f t="shared" si="0"/>
        <v>210.131</v>
      </c>
      <c r="P21" s="1">
        <f t="shared" si="1"/>
        <v>230.773</v>
      </c>
      <c r="Q21" s="1">
        <f t="shared" si="2"/>
        <v>251.41499999999999</v>
      </c>
      <c r="R21" s="14" t="str">
        <f t="shared" si="6"/>
        <v>2026Q3</v>
      </c>
      <c r="S21" s="60">
        <v>1513.5801475124454</v>
      </c>
      <c r="T21" s="60">
        <v>896.7581333016243</v>
      </c>
      <c r="U21" s="60">
        <v>2130.4021617232661</v>
      </c>
      <c r="V21" s="1">
        <f t="shared" si="3"/>
        <v>896.75800000000004</v>
      </c>
      <c r="W21" s="1">
        <f t="shared" si="4"/>
        <v>1513.58</v>
      </c>
      <c r="X21" s="1">
        <f t="shared" si="5"/>
        <v>2130.402</v>
      </c>
    </row>
    <row r="22" spans="1:24" ht="15.5" thickTop="1" thickBot="1" x14ac:dyDescent="0.4">
      <c r="A22" s="5" t="str">
        <f t="shared" si="7"/>
        <v>2026Q3</v>
      </c>
      <c r="B22" s="2">
        <f t="shared" si="10"/>
        <v>210.131</v>
      </c>
      <c r="C22" s="3">
        <f t="shared" si="10"/>
        <v>230.773</v>
      </c>
      <c r="D22" s="2">
        <f t="shared" si="10"/>
        <v>251.41499999999999</v>
      </c>
      <c r="E22" s="2">
        <f t="shared" si="11"/>
        <v>896.75800000000004</v>
      </c>
      <c r="F22" s="3">
        <f t="shared" si="11"/>
        <v>1513.58</v>
      </c>
      <c r="G22" s="2">
        <f t="shared" si="11"/>
        <v>2130.402</v>
      </c>
      <c r="K22" s="14" t="s">
        <v>93</v>
      </c>
      <c r="L22" s="45">
        <v>234.3114448065426</v>
      </c>
      <c r="M22" s="45">
        <v>213.66307663467515</v>
      </c>
      <c r="N22" s="45">
        <v>254.95981297841004</v>
      </c>
      <c r="O22" s="1">
        <f t="shared" si="0"/>
        <v>213.66300000000001</v>
      </c>
      <c r="P22" s="1">
        <f t="shared" si="1"/>
        <v>234.31100000000001</v>
      </c>
      <c r="Q22" s="1">
        <f t="shared" si="2"/>
        <v>254.96</v>
      </c>
      <c r="R22" s="14" t="str">
        <f t="shared" si="6"/>
        <v>2026Q4</v>
      </c>
      <c r="S22" s="60">
        <v>1542.2755699539823</v>
      </c>
      <c r="T22" s="60">
        <v>910.79834201534334</v>
      </c>
      <c r="U22" s="60">
        <v>2173.7527978926214</v>
      </c>
      <c r="V22" s="1">
        <f t="shared" si="3"/>
        <v>910.798</v>
      </c>
      <c r="W22" s="1">
        <f t="shared" si="4"/>
        <v>1542.2760000000001</v>
      </c>
      <c r="X22" s="1">
        <f t="shared" si="5"/>
        <v>2173.7530000000002</v>
      </c>
    </row>
    <row r="23" spans="1:24" ht="15.5" thickTop="1" thickBot="1" x14ac:dyDescent="0.4">
      <c r="A23" s="5" t="str">
        <f t="shared" si="7"/>
        <v>2026Q4</v>
      </c>
      <c r="B23" s="2">
        <f t="shared" si="10"/>
        <v>213.66300000000001</v>
      </c>
      <c r="C23" s="3">
        <f t="shared" si="10"/>
        <v>234.31100000000001</v>
      </c>
      <c r="D23" s="2">
        <f t="shared" si="10"/>
        <v>254.96</v>
      </c>
      <c r="E23" s="2">
        <f t="shared" si="11"/>
        <v>910.798</v>
      </c>
      <c r="F23" s="3">
        <f t="shared" si="11"/>
        <v>1542.2760000000001</v>
      </c>
      <c r="G23" s="2">
        <f t="shared" si="11"/>
        <v>2173.7530000000002</v>
      </c>
      <c r="K23" s="14" t="s">
        <v>94</v>
      </c>
      <c r="L23" s="45">
        <v>223.62469171088236</v>
      </c>
      <c r="M23" s="45">
        <v>202.97143676132035</v>
      </c>
      <c r="N23" s="45">
        <v>244.27794666044437</v>
      </c>
      <c r="O23" s="1">
        <f t="shared" si="0"/>
        <v>202.971</v>
      </c>
      <c r="P23" s="1">
        <f t="shared" si="1"/>
        <v>223.625</v>
      </c>
      <c r="Q23" s="1">
        <f t="shared" si="2"/>
        <v>244.27799999999999</v>
      </c>
      <c r="R23" s="14" t="str">
        <f t="shared" si="6"/>
        <v>2027Q1</v>
      </c>
      <c r="S23" s="60">
        <v>1555.929874249261</v>
      </c>
      <c r="T23" s="60">
        <v>910.12991946833881</v>
      </c>
      <c r="U23" s="60">
        <v>2201.7298290301833</v>
      </c>
      <c r="V23" s="1">
        <f t="shared" si="3"/>
        <v>910.13</v>
      </c>
      <c r="W23" s="1">
        <f t="shared" si="4"/>
        <v>1555.93</v>
      </c>
      <c r="X23" s="1">
        <f t="shared" si="5"/>
        <v>2201.73</v>
      </c>
    </row>
    <row r="24" spans="1:24" ht="15.5" thickTop="1" thickBot="1" x14ac:dyDescent="0.4">
      <c r="A24" s="5" t="str">
        <f t="shared" si="7"/>
        <v>2027Q1</v>
      </c>
      <c r="B24" s="2">
        <f t="shared" si="10"/>
        <v>202.971</v>
      </c>
      <c r="C24" s="3">
        <f t="shared" si="10"/>
        <v>223.625</v>
      </c>
      <c r="D24" s="2">
        <f t="shared" si="10"/>
        <v>244.27799999999999</v>
      </c>
      <c r="E24" s="2">
        <f t="shared" si="11"/>
        <v>910.13</v>
      </c>
      <c r="F24" s="3">
        <f t="shared" si="11"/>
        <v>1555.93</v>
      </c>
      <c r="G24" s="2">
        <f t="shared" si="11"/>
        <v>2201.73</v>
      </c>
      <c r="K24" s="14" t="s">
        <v>95</v>
      </c>
      <c r="L24" s="45">
        <v>242.61651831120895</v>
      </c>
      <c r="M24" s="45">
        <v>221.9596460685851</v>
      </c>
      <c r="N24" s="45">
        <v>263.27339055383283</v>
      </c>
      <c r="O24" s="1">
        <f t="shared" si="0"/>
        <v>221.96</v>
      </c>
      <c r="P24" s="1">
        <f t="shared" si="1"/>
        <v>242.61699999999999</v>
      </c>
      <c r="Q24" s="1">
        <f t="shared" si="2"/>
        <v>263.27300000000002</v>
      </c>
      <c r="R24" s="14" t="str">
        <f t="shared" si="6"/>
        <v>2027Q2</v>
      </c>
      <c r="S24" s="60">
        <v>1580.7383873502049</v>
      </c>
      <c r="T24" s="60">
        <v>920.92654008993122</v>
      </c>
      <c r="U24" s="60">
        <v>2240.550234610479</v>
      </c>
      <c r="V24" s="1">
        <f t="shared" si="3"/>
        <v>920.92700000000002</v>
      </c>
      <c r="W24" s="1">
        <f t="shared" si="4"/>
        <v>1580.7380000000001</v>
      </c>
      <c r="X24" s="1">
        <f t="shared" si="5"/>
        <v>2240.5500000000002</v>
      </c>
    </row>
    <row r="25" spans="1:24" ht="15.5" thickTop="1" thickBot="1" x14ac:dyDescent="0.4">
      <c r="A25" s="5" t="str">
        <f t="shared" si="7"/>
        <v>2027Q2</v>
      </c>
      <c r="B25" s="2">
        <f t="shared" si="10"/>
        <v>221.96</v>
      </c>
      <c r="C25" s="3">
        <f t="shared" si="10"/>
        <v>242.61699999999999</v>
      </c>
      <c r="D25" s="2">
        <f t="shared" si="10"/>
        <v>263.27300000000002</v>
      </c>
      <c r="E25" s="2">
        <f t="shared" si="11"/>
        <v>920.92700000000002</v>
      </c>
      <c r="F25" s="3">
        <f t="shared" si="11"/>
        <v>1580.7380000000001</v>
      </c>
      <c r="G25" s="2">
        <f t="shared" si="11"/>
        <v>2240.5500000000002</v>
      </c>
      <c r="K25" s="14" t="s">
        <v>96</v>
      </c>
      <c r="L25" s="45">
        <v>236.68714371422374</v>
      </c>
      <c r="M25" s="45">
        <v>216.0275937338215</v>
      </c>
      <c r="N25" s="45">
        <v>257.34669369462597</v>
      </c>
      <c r="O25" s="1">
        <f t="shared" si="0"/>
        <v>216.02799999999999</v>
      </c>
      <c r="P25" s="1">
        <f t="shared" si="1"/>
        <v>236.68700000000001</v>
      </c>
      <c r="Q25" s="1">
        <f t="shared" si="2"/>
        <v>257.34699999999998</v>
      </c>
      <c r="R25" s="14" t="str">
        <f t="shared" si="6"/>
        <v>2027Q3</v>
      </c>
      <c r="S25" s="60">
        <v>1566.6644251259961</v>
      </c>
      <c r="T25" s="60">
        <v>893.13212005445121</v>
      </c>
      <c r="U25" s="60">
        <v>2240.1967301975405</v>
      </c>
      <c r="V25" s="1">
        <f t="shared" si="3"/>
        <v>893.13199999999995</v>
      </c>
      <c r="W25" s="1">
        <f t="shared" si="4"/>
        <v>1566.664</v>
      </c>
      <c r="X25" s="1">
        <f t="shared" si="5"/>
        <v>2240.1970000000001</v>
      </c>
    </row>
    <row r="26" spans="1:24" ht="15.5" thickTop="1" thickBot="1" x14ac:dyDescent="0.4">
      <c r="A26" s="5" t="str">
        <f t="shared" si="7"/>
        <v>2027Q3</v>
      </c>
      <c r="B26" s="2">
        <f t="shared" si="10"/>
        <v>216.02799999999999</v>
      </c>
      <c r="C26" s="3">
        <f t="shared" si="10"/>
        <v>236.68700000000001</v>
      </c>
      <c r="D26" s="2">
        <f t="shared" si="10"/>
        <v>257.34699999999998</v>
      </c>
      <c r="E26" s="2">
        <f t="shared" si="11"/>
        <v>893.13199999999995</v>
      </c>
      <c r="F26" s="3">
        <f t="shared" si="11"/>
        <v>1566.664</v>
      </c>
      <c r="G26" s="2">
        <f t="shared" si="11"/>
        <v>2240.1970000000001</v>
      </c>
      <c r="K26" s="14" t="s">
        <v>97</v>
      </c>
      <c r="L26" s="45">
        <v>240.28054347547044</v>
      </c>
      <c r="M26" s="45">
        <v>219.61901119411357</v>
      </c>
      <c r="N26" s="45">
        <v>260.94207575682736</v>
      </c>
      <c r="O26" s="1">
        <f t="shared" si="0"/>
        <v>219.619</v>
      </c>
      <c r="P26" s="1">
        <f t="shared" si="1"/>
        <v>240.28100000000001</v>
      </c>
      <c r="Q26" s="1">
        <f t="shared" si="2"/>
        <v>260.94200000000001</v>
      </c>
      <c r="R26" s="14" t="str">
        <f t="shared" si="6"/>
        <v>2027Q4</v>
      </c>
      <c r="S26" s="60">
        <v>1595.3598475675331</v>
      </c>
      <c r="T26" s="60">
        <v>908.38105738186641</v>
      </c>
      <c r="U26" s="60">
        <v>2282.3386377531997</v>
      </c>
      <c r="V26" s="1">
        <f t="shared" si="3"/>
        <v>908.38099999999997</v>
      </c>
      <c r="W26" s="1">
        <f t="shared" si="4"/>
        <v>1595.36</v>
      </c>
      <c r="X26" s="1">
        <f t="shared" si="5"/>
        <v>2282.3389999999999</v>
      </c>
    </row>
    <row r="27" spans="1:24" ht="15.5" thickTop="1" thickBot="1" x14ac:dyDescent="0.4">
      <c r="A27" s="5" t="str">
        <f t="shared" si="7"/>
        <v>2027Q4</v>
      </c>
      <c r="B27" s="2">
        <f t="shared" si="10"/>
        <v>219.619</v>
      </c>
      <c r="C27" s="3">
        <f t="shared" si="10"/>
        <v>240.28100000000001</v>
      </c>
      <c r="D27" s="2">
        <f t="shared" si="10"/>
        <v>260.94200000000001</v>
      </c>
      <c r="E27" s="2">
        <f t="shared" si="11"/>
        <v>908.38099999999997</v>
      </c>
      <c r="F27" s="3">
        <f t="shared" si="11"/>
        <v>1595.36</v>
      </c>
      <c r="G27" s="2">
        <f t="shared" si="11"/>
        <v>2282.3389999999999</v>
      </c>
      <c r="K27" s="14" t="s">
        <v>98</v>
      </c>
      <c r="L27" s="45">
        <v>229.6408627280023</v>
      </c>
      <c r="M27" s="45">
        <v>208.97786292722094</v>
      </c>
      <c r="N27" s="45">
        <v>250.30386252878367</v>
      </c>
      <c r="O27" s="1">
        <f t="shared" si="0"/>
        <v>208.97800000000001</v>
      </c>
      <c r="P27" s="1">
        <f t="shared" si="1"/>
        <v>229.64099999999999</v>
      </c>
      <c r="Q27" s="1">
        <f t="shared" si="2"/>
        <v>250.304</v>
      </c>
      <c r="R27" s="14" t="str">
        <f t="shared" si="6"/>
        <v>2028Q1</v>
      </c>
      <c r="S27" s="60">
        <v>1609.0141518628118</v>
      </c>
      <c r="T27" s="60">
        <v>908.84706440801324</v>
      </c>
      <c r="U27" s="60">
        <v>2309.1812393176101</v>
      </c>
      <c r="V27" s="1">
        <f t="shared" si="3"/>
        <v>908.84699999999998</v>
      </c>
      <c r="W27" s="1">
        <f t="shared" si="4"/>
        <v>1609.0139999999999</v>
      </c>
      <c r="X27" s="1">
        <f t="shared" si="5"/>
        <v>2309.181</v>
      </c>
    </row>
    <row r="28" spans="1:24" ht="15.5" thickTop="1" thickBot="1" x14ac:dyDescent="0.4">
      <c r="A28" s="5" t="str">
        <f t="shared" si="7"/>
        <v>2028Q1</v>
      </c>
      <c r="B28" s="2">
        <f t="shared" si="10"/>
        <v>208.97800000000001</v>
      </c>
      <c r="C28" s="3">
        <f t="shared" si="10"/>
        <v>229.64099999999999</v>
      </c>
      <c r="D28" s="2">
        <f t="shared" si="10"/>
        <v>250.304</v>
      </c>
      <c r="E28" s="2">
        <f t="shared" si="11"/>
        <v>908.84699999999998</v>
      </c>
      <c r="F28" s="3">
        <f t="shared" si="11"/>
        <v>1609.0139999999999</v>
      </c>
      <c r="G28" s="2">
        <f t="shared" si="11"/>
        <v>2309.181</v>
      </c>
      <c r="K28" s="14" t="s">
        <v>99</v>
      </c>
      <c r="L28" s="45">
        <v>248.67319269523443</v>
      </c>
      <c r="M28" s="45">
        <v>228.00910644995753</v>
      </c>
      <c r="N28" s="45">
        <v>269.33727894051134</v>
      </c>
      <c r="O28" s="1">
        <f t="shared" si="0"/>
        <v>228.00899999999999</v>
      </c>
      <c r="P28" s="1">
        <f t="shared" si="1"/>
        <v>248.673</v>
      </c>
      <c r="Q28" s="1">
        <f t="shared" si="2"/>
        <v>269.33699999999999</v>
      </c>
      <c r="R28" s="14" t="str">
        <f t="shared" si="6"/>
        <v>2028Q2</v>
      </c>
      <c r="S28" s="60">
        <v>1633.8226649637559</v>
      </c>
      <c r="T28" s="60">
        <v>920.71114314903366</v>
      </c>
      <c r="U28" s="60">
        <v>2346.9341867784783</v>
      </c>
      <c r="V28" s="1">
        <f t="shared" si="3"/>
        <v>920.71100000000001</v>
      </c>
      <c r="W28" s="1">
        <f t="shared" si="4"/>
        <v>1633.8230000000001</v>
      </c>
      <c r="X28" s="1">
        <f t="shared" si="5"/>
        <v>2346.9340000000002</v>
      </c>
    </row>
    <row r="29" spans="1:24" ht="15.5" thickTop="1" thickBot="1" x14ac:dyDescent="0.4">
      <c r="A29" s="5" t="str">
        <f t="shared" si="7"/>
        <v>2028Q2</v>
      </c>
      <c r="B29" s="2">
        <f t="shared" si="10"/>
        <v>228.00899999999999</v>
      </c>
      <c r="C29" s="3">
        <f t="shared" si="10"/>
        <v>248.673</v>
      </c>
      <c r="D29" s="2">
        <f t="shared" si="10"/>
        <v>269.33699999999999</v>
      </c>
      <c r="E29" s="2">
        <f t="shared" si="11"/>
        <v>920.71100000000001</v>
      </c>
      <c r="F29" s="3">
        <f t="shared" si="11"/>
        <v>1633.8230000000001</v>
      </c>
      <c r="G29" s="2">
        <f t="shared" si="11"/>
        <v>2346.9340000000002</v>
      </c>
      <c r="K29" s="14" t="s">
        <v>100</v>
      </c>
      <c r="L29" s="45">
        <v>242.77866919010438</v>
      </c>
      <c r="M29" s="45">
        <v>222.11377860754428</v>
      </c>
      <c r="N29" s="45">
        <v>263.44355977266446</v>
      </c>
      <c r="O29" s="1">
        <f t="shared" si="0"/>
        <v>222.114</v>
      </c>
      <c r="P29" s="1">
        <f t="shared" si="1"/>
        <v>242.779</v>
      </c>
      <c r="Q29" s="1">
        <f t="shared" si="2"/>
        <v>263.44400000000002</v>
      </c>
      <c r="R29" s="14" t="str">
        <f t="shared" si="6"/>
        <v>2028Q3</v>
      </c>
      <c r="S29" s="60">
        <v>1619.7487027395468</v>
      </c>
      <c r="T29" s="60">
        <v>893.92356213412347</v>
      </c>
      <c r="U29" s="60">
        <v>2345.5738433449696</v>
      </c>
      <c r="V29" s="1">
        <f t="shared" si="3"/>
        <v>893.92399999999998</v>
      </c>
      <c r="W29" s="1">
        <f t="shared" si="4"/>
        <v>1619.749</v>
      </c>
      <c r="X29" s="1">
        <f t="shared" si="5"/>
        <v>2345.5740000000001</v>
      </c>
    </row>
    <row r="30" spans="1:24" ht="15.5" thickTop="1" thickBot="1" x14ac:dyDescent="0.4">
      <c r="A30" s="5" t="str">
        <f t="shared" si="7"/>
        <v>2028Q3</v>
      </c>
      <c r="B30" s="2">
        <f t="shared" si="10"/>
        <v>222.114</v>
      </c>
      <c r="C30" s="3">
        <f t="shared" si="10"/>
        <v>242.779</v>
      </c>
      <c r="D30" s="2">
        <f t="shared" si="10"/>
        <v>263.44400000000002</v>
      </c>
      <c r="E30" s="2">
        <f t="shared" si="11"/>
        <v>893.92399999999998</v>
      </c>
      <c r="F30" s="3">
        <f t="shared" si="11"/>
        <v>1619.749</v>
      </c>
      <c r="G30" s="2">
        <f t="shared" si="11"/>
        <v>2345.5740000000001</v>
      </c>
      <c r="K30" s="14" t="s">
        <v>101</v>
      </c>
      <c r="L30" s="45">
        <v>246.40205654735351</v>
      </c>
      <c r="M30" s="45">
        <v>225.73657047542028</v>
      </c>
      <c r="N30" s="45">
        <v>267.06754261928677</v>
      </c>
      <c r="O30" s="1">
        <f t="shared" si="0"/>
        <v>225.73699999999999</v>
      </c>
      <c r="P30" s="1">
        <f t="shared" si="1"/>
        <v>246.40199999999999</v>
      </c>
      <c r="Q30" s="1">
        <f t="shared" si="2"/>
        <v>267.06799999999998</v>
      </c>
      <c r="R30" s="14" t="str">
        <f t="shared" si="6"/>
        <v>2028Q4</v>
      </c>
      <c r="S30" s="60">
        <v>1648.4441251810838</v>
      </c>
      <c r="T30" s="60">
        <v>910.12425755943002</v>
      </c>
      <c r="U30" s="60">
        <v>2386.7639928027374</v>
      </c>
      <c r="V30" s="1">
        <f t="shared" si="3"/>
        <v>910.12400000000002</v>
      </c>
      <c r="W30" s="1">
        <f t="shared" si="4"/>
        <v>1648.444</v>
      </c>
      <c r="X30" s="1">
        <f t="shared" si="5"/>
        <v>2386.7640000000001</v>
      </c>
    </row>
    <row r="31" spans="1:24" ht="15.5" thickTop="1" thickBot="1" x14ac:dyDescent="0.4">
      <c r="A31" s="5" t="str">
        <f t="shared" si="7"/>
        <v>2028Q4</v>
      </c>
      <c r="B31" s="2">
        <f t="shared" si="10"/>
        <v>225.73699999999999</v>
      </c>
      <c r="C31" s="3">
        <f t="shared" si="10"/>
        <v>246.40199999999999</v>
      </c>
      <c r="D31" s="2">
        <f t="shared" si="10"/>
        <v>267.06799999999998</v>
      </c>
      <c r="E31" s="2">
        <f t="shared" si="11"/>
        <v>910.12400000000002</v>
      </c>
      <c r="F31" s="3">
        <f t="shared" si="11"/>
        <v>1648.444</v>
      </c>
      <c r="G31" s="2">
        <f t="shared" si="11"/>
        <v>2386.7640000000001</v>
      </c>
      <c r="K31" s="14" t="s">
        <v>102</v>
      </c>
      <c r="L31" s="45">
        <v>235.78817860450732</v>
      </c>
      <c r="M31" s="45">
        <v>215.12225165942334</v>
      </c>
      <c r="N31" s="45">
        <v>256.4541055495913</v>
      </c>
      <c r="O31" s="1">
        <f t="shared" si="0"/>
        <v>215.12200000000001</v>
      </c>
      <c r="P31" s="1">
        <f t="shared" si="1"/>
        <v>235.78800000000001</v>
      </c>
      <c r="Q31" s="1">
        <f t="shared" si="2"/>
        <v>256.45400000000001</v>
      </c>
      <c r="R31" s="14" t="str">
        <f t="shared" si="6"/>
        <v>2029Q1</v>
      </c>
      <c r="S31" s="60">
        <v>1662.0984294763625</v>
      </c>
      <c r="T31" s="60">
        <v>911.49179540307534</v>
      </c>
      <c r="U31" s="60">
        <v>2412.7050635496494</v>
      </c>
      <c r="V31" s="1">
        <f t="shared" si="3"/>
        <v>911.49199999999996</v>
      </c>
      <c r="W31" s="1">
        <f t="shared" si="4"/>
        <v>1662.098</v>
      </c>
      <c r="X31" s="1">
        <f t="shared" si="5"/>
        <v>2412.7049999999999</v>
      </c>
    </row>
    <row r="32" spans="1:24" ht="15.5" thickTop="1" thickBot="1" x14ac:dyDescent="0.4">
      <c r="A32" s="5" t="str">
        <f t="shared" si="7"/>
        <v>2029Q1</v>
      </c>
      <c r="B32" s="2">
        <f t="shared" si="10"/>
        <v>215.12200000000001</v>
      </c>
      <c r="C32" s="3">
        <f t="shared" si="10"/>
        <v>235.78800000000001</v>
      </c>
      <c r="D32" s="2">
        <f t="shared" si="10"/>
        <v>256.45400000000001</v>
      </c>
      <c r="E32" s="2">
        <f t="shared" si="11"/>
        <v>911.49199999999996</v>
      </c>
      <c r="F32" s="3">
        <f t="shared" si="11"/>
        <v>1662.098</v>
      </c>
      <c r="G32" s="2">
        <f t="shared" si="11"/>
        <v>2412.7049999999999</v>
      </c>
      <c r="K32" s="14" t="s">
        <v>103</v>
      </c>
      <c r="L32" s="45">
        <v>254.84271057573827</v>
      </c>
      <c r="M32" s="45">
        <v>234.17645722617195</v>
      </c>
      <c r="N32" s="45">
        <v>275.50896392530456</v>
      </c>
      <c r="O32" s="1">
        <f t="shared" si="0"/>
        <v>234.17599999999999</v>
      </c>
      <c r="P32" s="1">
        <f t="shared" si="1"/>
        <v>254.84299999999999</v>
      </c>
      <c r="Q32" s="1">
        <f t="shared" si="2"/>
        <v>275.50900000000001</v>
      </c>
      <c r="R32" s="14" t="str">
        <f t="shared" si="6"/>
        <v>2029Q2</v>
      </c>
      <c r="S32" s="60">
        <v>1686.9069425773064</v>
      </c>
      <c r="T32" s="60">
        <v>924.21145202763535</v>
      </c>
      <c r="U32" s="60">
        <v>2449.6024331269778</v>
      </c>
      <c r="V32" s="1">
        <f t="shared" si="3"/>
        <v>924.21100000000001</v>
      </c>
      <c r="W32" s="1">
        <f t="shared" si="4"/>
        <v>1686.9069999999999</v>
      </c>
      <c r="X32" s="1">
        <f t="shared" si="5"/>
        <v>2449.6019999999999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234.17599999999999</v>
      </c>
      <c r="C33" s="3">
        <f t="shared" si="10"/>
        <v>254.84299999999999</v>
      </c>
      <c r="D33" s="2">
        <f t="shared" si="10"/>
        <v>275.50900000000001</v>
      </c>
      <c r="E33" s="2">
        <f t="shared" si="11"/>
        <v>924.21100000000001</v>
      </c>
      <c r="F33" s="3">
        <f t="shared" si="11"/>
        <v>1686.9069999999999</v>
      </c>
      <c r="G33" s="2">
        <f t="shared" si="11"/>
        <v>2449.6019999999999</v>
      </c>
      <c r="K33" s="14" t="s">
        <v>107</v>
      </c>
      <c r="L33" s="45">
        <v>248.96729076839554</v>
      </c>
      <c r="M33" s="45">
        <v>228.30079576111103</v>
      </c>
      <c r="N33" s="45">
        <v>269.63378577568005</v>
      </c>
      <c r="O33" s="1">
        <f t="shared" si="0"/>
        <v>228.30099999999999</v>
      </c>
      <c r="P33" s="1">
        <f t="shared" si="1"/>
        <v>248.96700000000001</v>
      </c>
      <c r="Q33" s="1">
        <f t="shared" si="2"/>
        <v>269.63400000000001</v>
      </c>
      <c r="R33" s="14" t="str">
        <f t="shared" si="6"/>
        <v>2029Q3</v>
      </c>
      <c r="S33" s="60">
        <v>1672.8329803530976</v>
      </c>
      <c r="T33" s="60">
        <v>898.23727710218429</v>
      </c>
      <c r="U33" s="60">
        <v>2447.4286836040105</v>
      </c>
      <c r="V33" s="1">
        <f t="shared" si="3"/>
        <v>898.23699999999997</v>
      </c>
      <c r="W33" s="1">
        <f t="shared" si="4"/>
        <v>1672.8330000000001</v>
      </c>
      <c r="X33" s="1">
        <f t="shared" si="5"/>
        <v>2447.4290000000001</v>
      </c>
    </row>
    <row r="34" spans="1:24" ht="15.5" thickTop="1" thickBot="1" x14ac:dyDescent="0.4">
      <c r="A34" s="5" t="str">
        <f t="shared" si="7"/>
        <v>2029Q3</v>
      </c>
      <c r="B34" s="2">
        <f t="shared" si="10"/>
        <v>228.30099999999999</v>
      </c>
      <c r="C34" s="3">
        <f t="shared" si="10"/>
        <v>248.96700000000001</v>
      </c>
      <c r="D34" s="2">
        <f t="shared" si="10"/>
        <v>269.63400000000001</v>
      </c>
      <c r="E34" s="2">
        <f t="shared" si="11"/>
        <v>898.23699999999997</v>
      </c>
      <c r="F34" s="3">
        <f t="shared" si="11"/>
        <v>1672.8330000000001</v>
      </c>
      <c r="G34" s="2">
        <f t="shared" si="11"/>
        <v>2447.4290000000001</v>
      </c>
      <c r="K34" s="14" t="s">
        <v>108</v>
      </c>
      <c r="L34" s="45">
        <v>252.60711588816235</v>
      </c>
      <c r="M34" s="45">
        <v>231.94044196586805</v>
      </c>
      <c r="N34" s="45">
        <v>273.27378981045672</v>
      </c>
      <c r="O34" s="1">
        <f t="shared" si="0"/>
        <v>231.94</v>
      </c>
      <c r="P34" s="1">
        <f t="shared" si="1"/>
        <v>252.607</v>
      </c>
      <c r="Q34" s="1">
        <f t="shared" si="2"/>
        <v>273.274</v>
      </c>
      <c r="R34" s="14" t="str">
        <f t="shared" si="6"/>
        <v>2029Q4</v>
      </c>
      <c r="S34" s="60">
        <v>1701.5284027946345</v>
      </c>
      <c r="T34" s="60">
        <v>915.21256568797253</v>
      </c>
      <c r="U34" s="60">
        <v>2487.8442399012965</v>
      </c>
      <c r="V34" s="1">
        <f t="shared" si="3"/>
        <v>915.21299999999997</v>
      </c>
      <c r="W34" s="1">
        <f t="shared" si="4"/>
        <v>1701.528</v>
      </c>
      <c r="X34" s="1">
        <f t="shared" si="5"/>
        <v>2487.8440000000001</v>
      </c>
    </row>
    <row r="35" spans="1:24" ht="13" thickTop="1" thickBot="1" x14ac:dyDescent="0.35">
      <c r="A35" s="5" t="str">
        <f t="shared" si="7"/>
        <v>2029Q4</v>
      </c>
      <c r="B35" s="2">
        <f t="shared" si="10"/>
        <v>231.94</v>
      </c>
      <c r="C35" s="3">
        <f t="shared" si="10"/>
        <v>252.607</v>
      </c>
      <c r="D35" s="2">
        <f t="shared" si="10"/>
        <v>273.274</v>
      </c>
      <c r="E35" s="2">
        <f t="shared" si="11"/>
        <v>915.21299999999997</v>
      </c>
      <c r="F35" s="3">
        <f t="shared" si="11"/>
        <v>1701.528</v>
      </c>
      <c r="G35" s="2">
        <f t="shared" si="11"/>
        <v>2487.8440000000001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228.70553124999992</v>
      </c>
      <c r="F38" s="1">
        <f>AVERAGE(F4:F35)</f>
        <v>1495.2947812499999</v>
      </c>
    </row>
    <row r="40" spans="1:24" ht="12.5" thickBot="1" x14ac:dyDescent="0.35"/>
    <row r="41" spans="1:24" ht="15.5" thickTop="1" thickBot="1" x14ac:dyDescent="0.4">
      <c r="A41" s="30" t="s">
        <v>50</v>
      </c>
      <c r="B41" s="31"/>
      <c r="C41" s="31"/>
      <c r="D41" s="31"/>
      <c r="E41" s="31"/>
      <c r="F41" s="31"/>
      <c r="G41" s="31"/>
      <c r="K41" s="30" t="s">
        <v>27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200.965</v>
      </c>
      <c r="D44" s="6"/>
      <c r="E44" s="6"/>
      <c r="F44" s="9">
        <f>ROUND(F4-((G4-F4)*(0.5/2)),3)</f>
        <v>1242.346</v>
      </c>
      <c r="G44" s="6"/>
      <c r="K44" s="7" t="str">
        <f>A4</f>
        <v>2022Q1</v>
      </c>
      <c r="L44" s="6"/>
      <c r="M44" s="9">
        <f>ROUND(C4-((D4-C4)*(1/2)),3)</f>
        <v>197.5</v>
      </c>
      <c r="N44" s="6"/>
      <c r="O44" s="6"/>
      <c r="P44" s="9">
        <f>ROUND(F4-((G4-F4)*(1/2)),3)</f>
        <v>1186.8030000000001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217.72300000000001</v>
      </c>
      <c r="D45" s="6"/>
      <c r="E45" s="6"/>
      <c r="F45" s="9">
        <f t="shared" ref="F45:F75" si="14">ROUND(F5-((G5-F5)*(0.5/2)),3)</f>
        <v>1250.0029999999999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213.745</v>
      </c>
      <c r="N45" s="6"/>
      <c r="O45" s="6"/>
      <c r="P45" s="9">
        <f t="shared" ref="P45:P75" si="17">ROUND(F5-((G5-F5)*(1/2)),3)</f>
        <v>1184.1690000000001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209.971</v>
      </c>
      <c r="D46" s="6"/>
      <c r="E46" s="6"/>
      <c r="F46" s="9">
        <f t="shared" si="14"/>
        <v>1227.222</v>
      </c>
      <c r="G46" s="6"/>
      <c r="K46" s="7" t="str">
        <f t="shared" si="15"/>
        <v>2022Q3</v>
      </c>
      <c r="L46" s="6"/>
      <c r="M46" s="9">
        <f t="shared" si="16"/>
        <v>205.65299999999999</v>
      </c>
      <c r="N46" s="6"/>
      <c r="O46" s="6"/>
      <c r="P46" s="9">
        <f t="shared" si="17"/>
        <v>1153.163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212.05500000000001</v>
      </c>
      <c r="D47" s="6"/>
      <c r="E47" s="6"/>
      <c r="F47" s="9">
        <f t="shared" si="14"/>
        <v>1248.5250000000001</v>
      </c>
      <c r="G47" s="6"/>
      <c r="K47" s="7" t="str">
        <f t="shared" si="15"/>
        <v>2022Q4</v>
      </c>
      <c r="L47" s="6"/>
      <c r="M47" s="9">
        <f t="shared" si="16"/>
        <v>207.501</v>
      </c>
      <c r="N47" s="6"/>
      <c r="O47" s="6"/>
      <c r="P47" s="9">
        <f t="shared" si="17"/>
        <v>1167.1089999999999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200.15100000000001</v>
      </c>
      <c r="D48" s="6"/>
      <c r="E48" s="6"/>
      <c r="F48" s="9">
        <f t="shared" si="14"/>
        <v>1255.434</v>
      </c>
      <c r="G48" s="6"/>
      <c r="K48" s="7" t="str">
        <f t="shared" si="15"/>
        <v>2023Q1</v>
      </c>
      <c r="L48" s="6"/>
      <c r="M48" s="9">
        <f t="shared" si="16"/>
        <v>195.43</v>
      </c>
      <c r="N48" s="6"/>
      <c r="O48" s="6"/>
      <c r="P48" s="9">
        <f t="shared" si="17"/>
        <v>1167.2750000000001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218.12</v>
      </c>
      <c r="D49" s="6"/>
      <c r="E49" s="6"/>
      <c r="F49" s="9">
        <f t="shared" si="14"/>
        <v>1273.98</v>
      </c>
      <c r="G49" s="6"/>
      <c r="K49" s="7" t="str">
        <f t="shared" si="15"/>
        <v>2023Q2</v>
      </c>
      <c r="L49" s="6"/>
      <c r="M49" s="9">
        <f t="shared" si="16"/>
        <v>213.28</v>
      </c>
      <c r="N49" s="6"/>
      <c r="O49" s="6"/>
      <c r="P49" s="9">
        <f t="shared" si="17"/>
        <v>1179.558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211.327</v>
      </c>
      <c r="D50" s="6"/>
      <c r="E50" s="6"/>
      <c r="F50" s="9">
        <f t="shared" si="14"/>
        <v>1254.0340000000001</v>
      </c>
      <c r="G50" s="6"/>
      <c r="K50" s="7" t="str">
        <f t="shared" si="15"/>
        <v>2023Q3</v>
      </c>
      <c r="L50" s="6"/>
      <c r="M50" s="9">
        <f t="shared" si="16"/>
        <v>206.4</v>
      </c>
      <c r="N50" s="6"/>
      <c r="O50" s="6"/>
      <c r="P50" s="9">
        <f t="shared" si="17"/>
        <v>1153.74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214.18799999999999</v>
      </c>
      <c r="D51" s="6"/>
      <c r="E51" s="6"/>
      <c r="F51" s="9">
        <f t="shared" si="14"/>
        <v>1277.183</v>
      </c>
      <c r="G51" s="6"/>
      <c r="K51" s="7" t="str">
        <f t="shared" si="15"/>
        <v>2023Q4</v>
      </c>
      <c r="L51" s="6"/>
      <c r="M51" s="9">
        <f t="shared" si="16"/>
        <v>209.197</v>
      </c>
      <c r="N51" s="6"/>
      <c r="O51" s="6"/>
      <c r="P51" s="9">
        <f t="shared" si="17"/>
        <v>1171.3430000000001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202.92599999999999</v>
      </c>
      <c r="D52" s="6"/>
      <c r="E52" s="6"/>
      <c r="F52" s="9">
        <f t="shared" si="14"/>
        <v>1285.567</v>
      </c>
      <c r="G52" s="6"/>
      <c r="K52" s="7" t="str">
        <f t="shared" si="15"/>
        <v>2024Q1</v>
      </c>
      <c r="L52" s="6"/>
      <c r="M52" s="9">
        <f t="shared" si="16"/>
        <v>197.89</v>
      </c>
      <c r="N52" s="6"/>
      <c r="O52" s="6"/>
      <c r="P52" s="9">
        <f t="shared" si="17"/>
        <v>1174.4559999999999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221.429</v>
      </c>
      <c r="D53" s="6"/>
      <c r="E53" s="6"/>
      <c r="F53" s="9">
        <f t="shared" si="14"/>
        <v>1305.3440000000001</v>
      </c>
      <c r="G53" s="6"/>
      <c r="K53" s="7" t="str">
        <f t="shared" si="15"/>
        <v>2024Q2</v>
      </c>
      <c r="L53" s="6"/>
      <c r="M53" s="9">
        <f t="shared" si="16"/>
        <v>216.358</v>
      </c>
      <c r="N53" s="6"/>
      <c r="O53" s="6"/>
      <c r="P53" s="9">
        <f t="shared" si="17"/>
        <v>1189.203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215.084</v>
      </c>
      <c r="D54" s="6"/>
      <c r="E54" s="6"/>
      <c r="F54" s="9">
        <f t="shared" si="14"/>
        <v>1286.4480000000001</v>
      </c>
      <c r="G54" s="6"/>
      <c r="K54" s="7" t="str">
        <f t="shared" si="15"/>
        <v>2024Q3</v>
      </c>
      <c r="L54" s="6"/>
      <c r="M54" s="9">
        <f t="shared" si="16"/>
        <v>209.988</v>
      </c>
      <c r="N54" s="6"/>
      <c r="O54" s="6"/>
      <c r="P54" s="9">
        <f t="shared" si="17"/>
        <v>1165.4839999999999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218.32300000000001</v>
      </c>
      <c r="D55" s="6"/>
      <c r="E55" s="6"/>
      <c r="F55" s="9">
        <f t="shared" si="14"/>
        <v>1310.5060000000001</v>
      </c>
      <c r="G55" s="6"/>
      <c r="K55" s="7" t="str">
        <f t="shared" si="15"/>
        <v>2024Q4</v>
      </c>
      <c r="L55" s="6"/>
      <c r="M55" s="9">
        <f t="shared" si="16"/>
        <v>213.209</v>
      </c>
      <c r="N55" s="6"/>
      <c r="O55" s="6"/>
      <c r="P55" s="9">
        <f t="shared" si="17"/>
        <v>1184.905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207.37899999999999</v>
      </c>
      <c r="D56" s="6"/>
      <c r="E56" s="6"/>
      <c r="F56" s="9">
        <f t="shared" si="14"/>
        <v>1319.6880000000001</v>
      </c>
      <c r="G56" s="6"/>
      <c r="K56" s="7" t="str">
        <f t="shared" si="15"/>
        <v>2025Q1</v>
      </c>
      <c r="L56" s="6"/>
      <c r="M56" s="9">
        <f t="shared" si="16"/>
        <v>202.251</v>
      </c>
      <c r="N56" s="6"/>
      <c r="O56" s="6"/>
      <c r="P56" s="9">
        <f t="shared" si="17"/>
        <v>1189.615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226.15199999999999</v>
      </c>
      <c r="D57" s="6"/>
      <c r="E57" s="6"/>
      <c r="F57" s="9">
        <f t="shared" si="14"/>
        <v>1340.174</v>
      </c>
      <c r="G57" s="6"/>
      <c r="K57" s="7" t="str">
        <f t="shared" si="15"/>
        <v>2025Q2</v>
      </c>
      <c r="L57" s="6"/>
      <c r="M57" s="9">
        <f t="shared" si="16"/>
        <v>221.01400000000001</v>
      </c>
      <c r="N57" s="6"/>
      <c r="O57" s="6"/>
      <c r="P57" s="9">
        <f t="shared" si="17"/>
        <v>1205.777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220.03700000000001</v>
      </c>
      <c r="D58" s="6"/>
      <c r="E58" s="6"/>
      <c r="F58" s="9">
        <f t="shared" si="14"/>
        <v>1321.9110000000001</v>
      </c>
      <c r="G58" s="6"/>
      <c r="K58" s="7" t="str">
        <f t="shared" si="15"/>
        <v>2025Q3</v>
      </c>
      <c r="L58" s="6"/>
      <c r="M58" s="9">
        <f t="shared" si="16"/>
        <v>214.89099999999999</v>
      </c>
      <c r="N58" s="6"/>
      <c r="O58" s="6"/>
      <c r="P58" s="9">
        <f t="shared" si="17"/>
        <v>1183.326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223.46899999999999</v>
      </c>
      <c r="D59" s="6"/>
      <c r="E59" s="6"/>
      <c r="F59" s="9">
        <f t="shared" si="14"/>
        <v>1346.54</v>
      </c>
      <c r="G59" s="6"/>
      <c r="K59" s="7" t="str">
        <f t="shared" si="15"/>
        <v>2025Q4</v>
      </c>
      <c r="L59" s="6"/>
      <c r="M59" s="9">
        <f t="shared" si="16"/>
        <v>218.31800000000001</v>
      </c>
      <c r="N59" s="6"/>
      <c r="O59" s="6"/>
      <c r="P59" s="9">
        <f t="shared" si="17"/>
        <v>1203.8900000000001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212.69300000000001</v>
      </c>
      <c r="D60" s="6"/>
      <c r="E60" s="6"/>
      <c r="F60" s="9">
        <f t="shared" si="14"/>
        <v>1356.2429999999999</v>
      </c>
      <c r="G60" s="6"/>
      <c r="K60" s="7" t="str">
        <f t="shared" si="15"/>
        <v>2026Q1</v>
      </c>
      <c r="L60" s="6"/>
      <c r="M60" s="9">
        <f t="shared" si="16"/>
        <v>207.53800000000001</v>
      </c>
      <c r="N60" s="6"/>
      <c r="O60" s="6"/>
      <c r="P60" s="9">
        <f t="shared" si="17"/>
        <v>1209.6400000000001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231.608</v>
      </c>
      <c r="D61" s="6"/>
      <c r="E61" s="6"/>
      <c r="F61" s="9">
        <f t="shared" si="14"/>
        <v>1377.202</v>
      </c>
      <c r="G61" s="6"/>
      <c r="K61" s="7" t="str">
        <f t="shared" si="15"/>
        <v>2026Q2</v>
      </c>
      <c r="L61" s="6"/>
      <c r="M61" s="9">
        <f t="shared" si="16"/>
        <v>226.45</v>
      </c>
      <c r="N61" s="6"/>
      <c r="O61" s="6"/>
      <c r="P61" s="9">
        <f t="shared" si="17"/>
        <v>1226.749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225.613</v>
      </c>
      <c r="D62" s="6"/>
      <c r="E62" s="6"/>
      <c r="F62" s="9">
        <f t="shared" si="14"/>
        <v>1359.375</v>
      </c>
      <c r="G62" s="6"/>
      <c r="K62" s="7" t="str">
        <f t="shared" si="15"/>
        <v>2026Q3</v>
      </c>
      <c r="L62" s="6"/>
      <c r="M62" s="9">
        <f t="shared" si="16"/>
        <v>220.452</v>
      </c>
      <c r="N62" s="6"/>
      <c r="O62" s="6"/>
      <c r="P62" s="9">
        <f t="shared" si="17"/>
        <v>1205.1690000000001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229.149</v>
      </c>
      <c r="D63" s="6"/>
      <c r="E63" s="6"/>
      <c r="F63" s="9">
        <f t="shared" si="14"/>
        <v>1384.4069999999999</v>
      </c>
      <c r="G63" s="6"/>
      <c r="K63" s="7" t="str">
        <f t="shared" si="15"/>
        <v>2026Q4</v>
      </c>
      <c r="L63" s="6"/>
      <c r="M63" s="9">
        <f t="shared" si="16"/>
        <v>223.98699999999999</v>
      </c>
      <c r="N63" s="6"/>
      <c r="O63" s="6"/>
      <c r="P63" s="9">
        <f t="shared" si="17"/>
        <v>1226.538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218.46199999999999</v>
      </c>
      <c r="D64" s="6"/>
      <c r="E64" s="6"/>
      <c r="F64" s="9">
        <f t="shared" si="14"/>
        <v>1394.48</v>
      </c>
      <c r="G64" s="6"/>
      <c r="K64" s="7" t="str">
        <f t="shared" si="15"/>
        <v>2027Q1</v>
      </c>
      <c r="L64" s="6"/>
      <c r="M64" s="9">
        <f t="shared" si="16"/>
        <v>213.29900000000001</v>
      </c>
      <c r="N64" s="6"/>
      <c r="O64" s="6"/>
      <c r="P64" s="9">
        <f t="shared" si="17"/>
        <v>1233.03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237.453</v>
      </c>
      <c r="D65" s="6"/>
      <c r="E65" s="6"/>
      <c r="F65" s="9">
        <f t="shared" si="14"/>
        <v>1415.7850000000001</v>
      </c>
      <c r="G65" s="6"/>
      <c r="K65" s="7" t="str">
        <f t="shared" si="15"/>
        <v>2027Q2</v>
      </c>
      <c r="L65" s="6"/>
      <c r="M65" s="9">
        <f t="shared" si="16"/>
        <v>232.28899999999999</v>
      </c>
      <c r="N65" s="6"/>
      <c r="O65" s="6"/>
      <c r="P65" s="9">
        <f t="shared" si="17"/>
        <v>1250.8320000000001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231.52199999999999</v>
      </c>
      <c r="D66" s="6"/>
      <c r="E66" s="6"/>
      <c r="F66" s="9">
        <f t="shared" si="14"/>
        <v>1398.2809999999999</v>
      </c>
      <c r="G66" s="6"/>
      <c r="K66" s="7" t="str">
        <f t="shared" si="15"/>
        <v>2027Q3</v>
      </c>
      <c r="L66" s="6"/>
      <c r="M66" s="9">
        <f t="shared" si="16"/>
        <v>226.357</v>
      </c>
      <c r="N66" s="6"/>
      <c r="O66" s="6"/>
      <c r="P66" s="9">
        <f t="shared" si="17"/>
        <v>1229.8979999999999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235.11600000000001</v>
      </c>
      <c r="D67" s="6"/>
      <c r="E67" s="6"/>
      <c r="F67" s="9">
        <f t="shared" si="14"/>
        <v>1423.615</v>
      </c>
      <c r="G67" s="6"/>
      <c r="K67" s="7" t="str">
        <f t="shared" si="15"/>
        <v>2027Q4</v>
      </c>
      <c r="L67" s="6"/>
      <c r="M67" s="9">
        <f t="shared" si="16"/>
        <v>229.95099999999999</v>
      </c>
      <c r="N67" s="6"/>
      <c r="O67" s="6"/>
      <c r="P67" s="9">
        <f t="shared" si="17"/>
        <v>1251.8710000000001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224.47499999999999</v>
      </c>
      <c r="D68" s="6"/>
      <c r="E68" s="6"/>
      <c r="F68" s="9">
        <f t="shared" si="14"/>
        <v>1433.972</v>
      </c>
      <c r="G68" s="6"/>
      <c r="K68" s="7" t="str">
        <f t="shared" si="15"/>
        <v>2028Q1</v>
      </c>
      <c r="L68" s="6"/>
      <c r="M68" s="9">
        <f t="shared" si="16"/>
        <v>219.31</v>
      </c>
      <c r="N68" s="6"/>
      <c r="O68" s="6"/>
      <c r="P68" s="9">
        <f t="shared" si="17"/>
        <v>1258.931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243.50700000000001</v>
      </c>
      <c r="D69" s="6"/>
      <c r="E69" s="6"/>
      <c r="F69" s="9">
        <f t="shared" si="14"/>
        <v>1455.5450000000001</v>
      </c>
      <c r="G69" s="6"/>
      <c r="K69" s="7" t="str">
        <f t="shared" si="15"/>
        <v>2028Q2</v>
      </c>
      <c r="L69" s="6"/>
      <c r="M69" s="9">
        <f t="shared" si="16"/>
        <v>238.34100000000001</v>
      </c>
      <c r="N69" s="6"/>
      <c r="O69" s="6"/>
      <c r="P69" s="9">
        <f t="shared" si="17"/>
        <v>1277.268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237.613</v>
      </c>
      <c r="D70" s="6"/>
      <c r="E70" s="6"/>
      <c r="F70" s="9">
        <f t="shared" si="14"/>
        <v>1438.2929999999999</v>
      </c>
      <c r="G70" s="6"/>
      <c r="K70" s="7" t="str">
        <f t="shared" si="15"/>
        <v>2028Q3</v>
      </c>
      <c r="L70" s="6"/>
      <c r="M70" s="9">
        <f t="shared" si="16"/>
        <v>232.447</v>
      </c>
      <c r="N70" s="6"/>
      <c r="O70" s="6"/>
      <c r="P70" s="9">
        <f t="shared" si="17"/>
        <v>1256.837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241.23599999999999</v>
      </c>
      <c r="D71" s="6"/>
      <c r="E71" s="6"/>
      <c r="F71" s="9">
        <f t="shared" si="14"/>
        <v>1463.864</v>
      </c>
      <c r="G71" s="6"/>
      <c r="K71" s="7" t="str">
        <f t="shared" si="15"/>
        <v>2028Q4</v>
      </c>
      <c r="L71" s="6"/>
      <c r="M71" s="9">
        <f t="shared" si="16"/>
        <v>236.06899999999999</v>
      </c>
      <c r="N71" s="6"/>
      <c r="O71" s="6"/>
      <c r="P71" s="9">
        <f t="shared" si="17"/>
        <v>1279.2840000000001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230.62200000000001</v>
      </c>
      <c r="D72" s="6"/>
      <c r="E72" s="6"/>
      <c r="F72" s="9">
        <f t="shared" si="14"/>
        <v>1474.4459999999999</v>
      </c>
      <c r="G72" s="6"/>
      <c r="K72" s="7" t="str">
        <f t="shared" si="15"/>
        <v>2029Q1</v>
      </c>
      <c r="L72" s="6"/>
      <c r="M72" s="9">
        <f t="shared" si="16"/>
        <v>225.45500000000001</v>
      </c>
      <c r="N72" s="6"/>
      <c r="O72" s="6"/>
      <c r="P72" s="9">
        <f t="shared" si="17"/>
        <v>1286.7950000000001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249.67699999999999</v>
      </c>
      <c r="D73" s="6"/>
      <c r="E73" s="6"/>
      <c r="F73" s="9">
        <f t="shared" si="14"/>
        <v>1496.2329999999999</v>
      </c>
      <c r="G73" s="6"/>
      <c r="K73" s="7" t="str">
        <f t="shared" si="15"/>
        <v>2029Q2</v>
      </c>
      <c r="L73" s="6"/>
      <c r="M73" s="9">
        <f t="shared" si="16"/>
        <v>244.51</v>
      </c>
      <c r="N73" s="6"/>
      <c r="O73" s="6"/>
      <c r="P73" s="9">
        <f t="shared" si="17"/>
        <v>1305.56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243.8</v>
      </c>
      <c r="D74" s="6"/>
      <c r="E74" s="6"/>
      <c r="F74" s="9">
        <f t="shared" si="14"/>
        <v>1479.184</v>
      </c>
      <c r="G74" s="6"/>
      <c r="K74" s="7" t="str">
        <f t="shared" si="15"/>
        <v>2029Q3</v>
      </c>
      <c r="L74" s="6"/>
      <c r="M74" s="9">
        <f t="shared" si="16"/>
        <v>238.63399999999999</v>
      </c>
      <c r="N74" s="6"/>
      <c r="O74" s="6"/>
      <c r="P74" s="9">
        <f t="shared" si="17"/>
        <v>1285.5350000000001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247.44</v>
      </c>
      <c r="D75" s="6"/>
      <c r="E75" s="6"/>
      <c r="F75" s="9">
        <f t="shared" si="14"/>
        <v>1504.9490000000001</v>
      </c>
      <c r="G75" s="6"/>
      <c r="K75" s="7" t="str">
        <f t="shared" si="15"/>
        <v>2029Q4</v>
      </c>
      <c r="L75" s="6"/>
      <c r="M75" s="9">
        <f t="shared" si="16"/>
        <v>242.274</v>
      </c>
      <c r="N75" s="6"/>
      <c r="O75" s="6"/>
      <c r="P75" s="9">
        <f t="shared" si="17"/>
        <v>1308.3699999999999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76"/>
  <sheetViews>
    <sheetView zoomScale="85" zoomScaleNormal="85" workbookViewId="0">
      <selection activeCell="S3" sqref="S3:U34"/>
    </sheetView>
  </sheetViews>
  <sheetFormatPr defaultColWidth="9.1796875" defaultRowHeight="12" x14ac:dyDescent="0.3"/>
  <cols>
    <col min="1" max="1" width="7.1796875" style="1" bestFit="1" customWidth="1"/>
    <col min="2" max="2" width="11" style="1" bestFit="1" customWidth="1"/>
    <col min="3" max="3" width="18.81640625" style="1" customWidth="1"/>
    <col min="4" max="4" width="11.1796875" style="1" bestFit="1" customWidth="1"/>
    <col min="5" max="5" width="11" style="1" bestFit="1" customWidth="1"/>
    <col min="6" max="6" width="18.81640625" style="1" customWidth="1"/>
    <col min="7" max="7" width="11.1796875" style="1" bestFit="1" customWidth="1"/>
    <col min="8" max="12" width="9.1796875" style="1"/>
    <col min="13" max="13" width="19.453125" style="1" customWidth="1"/>
    <col min="14" max="15" width="9.1796875" style="1"/>
    <col min="16" max="16" width="18.81640625" style="1" customWidth="1"/>
    <col min="17" max="16384" width="9.1796875" style="1"/>
  </cols>
  <sheetData>
    <row r="1" spans="1:30" ht="13" thickTop="1" thickBot="1" x14ac:dyDescent="0.35">
      <c r="A1" s="33" t="s">
        <v>5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0">
        <v>49.938724943736524</v>
      </c>
      <c r="M3" s="40">
        <v>46.130103361606452</v>
      </c>
      <c r="N3" s="40">
        <v>53.747346525866597</v>
      </c>
      <c r="O3" s="1">
        <f t="shared" ref="O3:O14" si="0">ROUND(M3,3)</f>
        <v>46.13</v>
      </c>
      <c r="P3" s="1">
        <f t="shared" ref="P3:P14" si="1">ROUND(L3,3)</f>
        <v>49.939</v>
      </c>
      <c r="Q3" s="1">
        <f t="shared" ref="Q3:Q14" si="2">ROUND(N3,3)</f>
        <v>53.747</v>
      </c>
      <c r="R3" s="14" t="str">
        <f>K3</f>
        <v>2022Q1</v>
      </c>
      <c r="S3" s="53">
        <v>295.12966899768657</v>
      </c>
      <c r="T3" s="53">
        <v>257.33183386087734</v>
      </c>
      <c r="U3" s="53">
        <v>332.92750413449579</v>
      </c>
      <c r="V3" s="1">
        <f t="shared" ref="V3:V34" si="3">ROUND(T3,3)</f>
        <v>257.33199999999999</v>
      </c>
      <c r="W3" s="1">
        <f t="shared" ref="W3:W34" si="4">ROUND(S3,3)</f>
        <v>295.13</v>
      </c>
      <c r="X3" s="1">
        <f t="shared" ref="X3:X34" si="5">ROUND(U3,3)</f>
        <v>332.928</v>
      </c>
    </row>
    <row r="4" spans="1:30" ht="15.5" thickTop="1" thickBot="1" x14ac:dyDescent="0.4">
      <c r="A4" s="5" t="str">
        <f>K3</f>
        <v>2022Q1</v>
      </c>
      <c r="B4" s="2">
        <f>O3</f>
        <v>46.13</v>
      </c>
      <c r="C4" s="3">
        <f>P3</f>
        <v>49.939</v>
      </c>
      <c r="D4" s="2">
        <f>Q3</f>
        <v>53.747</v>
      </c>
      <c r="E4" s="2">
        <f>V3</f>
        <v>257.33199999999999</v>
      </c>
      <c r="F4" s="3">
        <f>W3</f>
        <v>295.13</v>
      </c>
      <c r="G4" s="2">
        <f>X3</f>
        <v>332.928</v>
      </c>
      <c r="K4" s="14" t="s">
        <v>68</v>
      </c>
      <c r="L4" s="40">
        <v>53.657991361227317</v>
      </c>
      <c r="M4" s="40">
        <v>48.554716288712065</v>
      </c>
      <c r="N4" s="40">
        <v>58.76126643374257</v>
      </c>
      <c r="O4" s="1">
        <f t="shared" si="0"/>
        <v>48.555</v>
      </c>
      <c r="P4" s="1">
        <f t="shared" si="1"/>
        <v>53.658000000000001</v>
      </c>
      <c r="Q4" s="1">
        <f t="shared" si="2"/>
        <v>58.761000000000003</v>
      </c>
      <c r="R4" s="14" t="str">
        <f t="shared" ref="R4:R34" si="6">K4</f>
        <v>2022Q2</v>
      </c>
      <c r="S4" s="53">
        <v>298.05439578702743</v>
      </c>
      <c r="T4" s="53">
        <v>236.99642176282421</v>
      </c>
      <c r="U4" s="53">
        <v>359.11236981123062</v>
      </c>
      <c r="V4" s="1">
        <f t="shared" si="3"/>
        <v>236.99600000000001</v>
      </c>
      <c r="W4" s="1">
        <f t="shared" si="4"/>
        <v>298.05399999999997</v>
      </c>
      <c r="X4" s="1">
        <f t="shared" si="5"/>
        <v>359.11200000000002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48.555</v>
      </c>
      <c r="C5" s="3">
        <f t="shared" si="8"/>
        <v>53.658000000000001</v>
      </c>
      <c r="D5" s="2">
        <f t="shared" si="8"/>
        <v>58.761000000000003</v>
      </c>
      <c r="E5" s="2">
        <f t="shared" ref="E5:G20" si="9">V4</f>
        <v>236.99600000000001</v>
      </c>
      <c r="F5" s="3">
        <f t="shared" si="9"/>
        <v>298.05399999999997</v>
      </c>
      <c r="G5" s="2">
        <f t="shared" si="9"/>
        <v>359.11200000000002</v>
      </c>
      <c r="I5" s="1">
        <f>SUM(F5:F8)</f>
        <v>1209.04</v>
      </c>
      <c r="K5" s="14" t="s">
        <v>69</v>
      </c>
      <c r="L5" s="40">
        <v>53.749301078832829</v>
      </c>
      <c r="M5" s="40">
        <v>47.918716318137847</v>
      </c>
      <c r="N5" s="40">
        <v>59.579885839527812</v>
      </c>
      <c r="O5" s="1">
        <f t="shared" si="0"/>
        <v>47.918999999999997</v>
      </c>
      <c r="P5" s="1">
        <f t="shared" si="1"/>
        <v>53.749000000000002</v>
      </c>
      <c r="Q5" s="1">
        <f t="shared" si="2"/>
        <v>59.58</v>
      </c>
      <c r="R5" s="14" t="str">
        <f t="shared" si="6"/>
        <v>2022Q3</v>
      </c>
      <c r="S5" s="53">
        <v>300.79635222645271</v>
      </c>
      <c r="T5" s="53">
        <v>219.53226216871036</v>
      </c>
      <c r="U5" s="53">
        <v>382.06044228419506</v>
      </c>
      <c r="V5" s="1">
        <f t="shared" si="3"/>
        <v>219.53200000000001</v>
      </c>
      <c r="W5" s="1">
        <f t="shared" si="4"/>
        <v>300.79599999999999</v>
      </c>
      <c r="X5" s="1">
        <f t="shared" si="5"/>
        <v>382.06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47.918999999999997</v>
      </c>
      <c r="C6" s="3">
        <f t="shared" si="8"/>
        <v>53.749000000000002</v>
      </c>
      <c r="D6" s="2">
        <f t="shared" si="8"/>
        <v>59.58</v>
      </c>
      <c r="E6" s="2">
        <f t="shared" si="9"/>
        <v>219.53200000000001</v>
      </c>
      <c r="F6" s="3">
        <f t="shared" si="9"/>
        <v>300.79599999999999</v>
      </c>
      <c r="G6" s="2">
        <f t="shared" si="9"/>
        <v>382.06</v>
      </c>
      <c r="I6" s="1">
        <f>SUM(F9:F12)</f>
        <v>1259.7829999999999</v>
      </c>
      <c r="K6" s="14" t="s">
        <v>70</v>
      </c>
      <c r="L6" s="40">
        <v>54.025839255894979</v>
      </c>
      <c r="M6" s="40">
        <v>47.742786879368232</v>
      </c>
      <c r="N6" s="40">
        <v>60.308891632421727</v>
      </c>
      <c r="O6" s="1">
        <f t="shared" si="0"/>
        <v>47.743000000000002</v>
      </c>
      <c r="P6" s="1">
        <f t="shared" si="1"/>
        <v>54.026000000000003</v>
      </c>
      <c r="Q6" s="1">
        <f t="shared" si="2"/>
        <v>60.308999999999997</v>
      </c>
      <c r="R6" s="14" t="str">
        <f t="shared" si="6"/>
        <v>2022Q4</v>
      </c>
      <c r="S6" s="53">
        <v>304.17233564008529</v>
      </c>
      <c r="T6" s="53">
        <v>205.02721828410358</v>
      </c>
      <c r="U6" s="53">
        <v>403.317452996067</v>
      </c>
      <c r="V6" s="1">
        <f t="shared" si="3"/>
        <v>205.02699999999999</v>
      </c>
      <c r="W6" s="1">
        <f t="shared" si="4"/>
        <v>304.17200000000003</v>
      </c>
      <c r="X6" s="1">
        <f t="shared" si="5"/>
        <v>403.31700000000001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47.743000000000002</v>
      </c>
      <c r="C7" s="3">
        <f t="shared" si="8"/>
        <v>54.026000000000003</v>
      </c>
      <c r="D7" s="2">
        <f t="shared" si="8"/>
        <v>60.308999999999997</v>
      </c>
      <c r="E7" s="2">
        <f t="shared" si="9"/>
        <v>205.02699999999999</v>
      </c>
      <c r="F7" s="3">
        <f t="shared" si="9"/>
        <v>304.17200000000003</v>
      </c>
      <c r="G7" s="2">
        <f t="shared" si="9"/>
        <v>403.31700000000001</v>
      </c>
      <c r="I7" s="1">
        <f>SUM(F13:F16)</f>
        <v>1313.1210000000001</v>
      </c>
      <c r="K7" s="14" t="s">
        <v>71</v>
      </c>
      <c r="L7" s="40">
        <v>48.96774950090915</v>
      </c>
      <c r="M7" s="40">
        <v>42.39093567782583</v>
      </c>
      <c r="N7" s="40">
        <v>55.54456332399247</v>
      </c>
      <c r="O7" s="1">
        <f t="shared" si="0"/>
        <v>42.390999999999998</v>
      </c>
      <c r="P7" s="1">
        <f t="shared" si="1"/>
        <v>48.968000000000004</v>
      </c>
      <c r="Q7" s="1">
        <f t="shared" si="2"/>
        <v>55.545000000000002</v>
      </c>
      <c r="R7" s="14" t="str">
        <f t="shared" si="6"/>
        <v>2023Q1</v>
      </c>
      <c r="S7" s="53">
        <v>306.0176146108883</v>
      </c>
      <c r="T7" s="53">
        <v>190.86525948575562</v>
      </c>
      <c r="U7" s="53">
        <v>421.16996973602102</v>
      </c>
      <c r="V7" s="1">
        <f t="shared" si="3"/>
        <v>190.86500000000001</v>
      </c>
      <c r="W7" s="1">
        <f t="shared" si="4"/>
        <v>306.01799999999997</v>
      </c>
      <c r="X7" s="1">
        <f t="shared" si="5"/>
        <v>421.17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42.390999999999998</v>
      </c>
      <c r="C8" s="3">
        <f t="shared" si="8"/>
        <v>48.968000000000004</v>
      </c>
      <c r="D8" s="2">
        <f t="shared" si="8"/>
        <v>55.545000000000002</v>
      </c>
      <c r="E8" s="2">
        <f t="shared" si="9"/>
        <v>190.86500000000001</v>
      </c>
      <c r="F8" s="3">
        <f t="shared" si="9"/>
        <v>306.01799999999997</v>
      </c>
      <c r="G8" s="2">
        <f t="shared" si="9"/>
        <v>421.17</v>
      </c>
      <c r="I8" s="1">
        <f>SUM(F17:F20)</f>
        <v>1366.712</v>
      </c>
      <c r="K8" s="14" t="s">
        <v>72</v>
      </c>
      <c r="L8" s="40">
        <v>53.070506787471992</v>
      </c>
      <c r="M8" s="40">
        <v>46.29863577800063</v>
      </c>
      <c r="N8" s="40">
        <v>59.842377796943353</v>
      </c>
      <c r="O8" s="1">
        <f t="shared" si="0"/>
        <v>46.298999999999999</v>
      </c>
      <c r="P8" s="1">
        <f t="shared" si="1"/>
        <v>53.070999999999998</v>
      </c>
      <c r="Q8" s="1">
        <f t="shared" si="2"/>
        <v>59.841999999999999</v>
      </c>
      <c r="R8" s="14" t="str">
        <f t="shared" si="6"/>
        <v>2023Q2</v>
      </c>
      <c r="S8" s="53">
        <v>310.05270698009127</v>
      </c>
      <c r="T8" s="53">
        <v>180.40960399761533</v>
      </c>
      <c r="U8" s="53">
        <v>439.69580996256718</v>
      </c>
      <c r="V8" s="1">
        <f t="shared" si="3"/>
        <v>180.41</v>
      </c>
      <c r="W8" s="1">
        <f t="shared" si="4"/>
        <v>310.053</v>
      </c>
      <c r="X8" s="1">
        <f t="shared" si="5"/>
        <v>439.69600000000003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46.298999999999999</v>
      </c>
      <c r="C9" s="3">
        <f t="shared" si="8"/>
        <v>53.070999999999998</v>
      </c>
      <c r="D9" s="2">
        <f t="shared" si="8"/>
        <v>59.841999999999999</v>
      </c>
      <c r="E9" s="2">
        <f t="shared" si="9"/>
        <v>180.41</v>
      </c>
      <c r="F9" s="3">
        <f t="shared" si="9"/>
        <v>310.053</v>
      </c>
      <c r="G9" s="2">
        <f t="shared" si="9"/>
        <v>439.69600000000003</v>
      </c>
      <c r="I9" s="1">
        <f>SUM(F21:F24)</f>
        <v>1420.327</v>
      </c>
      <c r="K9" s="14" t="s">
        <v>73</v>
      </c>
      <c r="L9" s="40">
        <v>53.48019199125789</v>
      </c>
      <c r="M9" s="40">
        <v>46.57708797496597</v>
      </c>
      <c r="N9" s="40">
        <v>60.383296007549809</v>
      </c>
      <c r="O9" s="1">
        <f t="shared" si="0"/>
        <v>46.576999999999998</v>
      </c>
      <c r="P9" s="1">
        <f t="shared" si="1"/>
        <v>53.48</v>
      </c>
      <c r="Q9" s="1">
        <f t="shared" si="2"/>
        <v>60.383000000000003</v>
      </c>
      <c r="R9" s="14" t="str">
        <f t="shared" si="6"/>
        <v>2023Q3</v>
      </c>
      <c r="S9" s="53">
        <v>313.4151385545174</v>
      </c>
      <c r="T9" s="53">
        <v>170.51372456988702</v>
      </c>
      <c r="U9" s="53">
        <v>456.31655253914778</v>
      </c>
      <c r="V9" s="1">
        <f t="shared" si="3"/>
        <v>170.51400000000001</v>
      </c>
      <c r="W9" s="1">
        <f t="shared" si="4"/>
        <v>313.41500000000002</v>
      </c>
      <c r="X9" s="1">
        <f t="shared" si="5"/>
        <v>456.31700000000001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46.576999999999998</v>
      </c>
      <c r="C10" s="3">
        <f t="shared" si="8"/>
        <v>53.48</v>
      </c>
      <c r="D10" s="2">
        <f t="shared" si="8"/>
        <v>60.383000000000003</v>
      </c>
      <c r="E10" s="2">
        <f t="shared" si="9"/>
        <v>170.51400000000001</v>
      </c>
      <c r="F10" s="3">
        <f t="shared" si="9"/>
        <v>313.41500000000002</v>
      </c>
      <c r="G10" s="2">
        <f t="shared" si="9"/>
        <v>456.31700000000001</v>
      </c>
      <c r="I10" s="1">
        <f>SUM(F25:F28)</f>
        <v>1473.9460000000001</v>
      </c>
      <c r="K10" s="14" t="s">
        <v>74</v>
      </c>
      <c r="L10" s="40">
        <v>54.021046631566932</v>
      </c>
      <c r="M10" s="40">
        <v>47.028925560358125</v>
      </c>
      <c r="N10" s="40">
        <v>61.013167702775739</v>
      </c>
      <c r="O10" s="1">
        <f t="shared" si="0"/>
        <v>47.029000000000003</v>
      </c>
      <c r="P10" s="1">
        <f t="shared" si="1"/>
        <v>54.021000000000001</v>
      </c>
      <c r="Q10" s="1">
        <f t="shared" si="2"/>
        <v>61.012999999999998</v>
      </c>
      <c r="R10" s="14" t="str">
        <f t="shared" si="6"/>
        <v>2023Q4</v>
      </c>
      <c r="S10" s="53">
        <v>317.13784506560245</v>
      </c>
      <c r="T10" s="53">
        <v>161.98772601629156</v>
      </c>
      <c r="U10" s="53">
        <v>472.28796411491334</v>
      </c>
      <c r="V10" s="1">
        <f t="shared" si="3"/>
        <v>161.988</v>
      </c>
      <c r="W10" s="1">
        <f t="shared" si="4"/>
        <v>317.13799999999998</v>
      </c>
      <c r="X10" s="1">
        <f t="shared" si="5"/>
        <v>472.28800000000001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47.029000000000003</v>
      </c>
      <c r="C11" s="3">
        <f t="shared" si="8"/>
        <v>54.021000000000001</v>
      </c>
      <c r="D11" s="2">
        <f t="shared" si="8"/>
        <v>61.012999999999998</v>
      </c>
      <c r="E11" s="2">
        <f t="shared" si="9"/>
        <v>161.988</v>
      </c>
      <c r="F11" s="3">
        <f t="shared" si="9"/>
        <v>317.13799999999998</v>
      </c>
      <c r="G11" s="2">
        <f t="shared" si="9"/>
        <v>472.28800000000001</v>
      </c>
      <c r="I11" s="1">
        <f>SUM(F29:F32)</f>
        <v>1527.566</v>
      </c>
      <c r="K11" s="14" t="s">
        <v>75</v>
      </c>
      <c r="L11" s="40">
        <v>49.18239334633418</v>
      </c>
      <c r="M11" s="40">
        <v>42.129572365703389</v>
      </c>
      <c r="N11" s="40">
        <v>56.235214326964972</v>
      </c>
      <c r="O11" s="1">
        <f t="shared" si="0"/>
        <v>42.13</v>
      </c>
      <c r="P11" s="1">
        <f t="shared" si="1"/>
        <v>49.182000000000002</v>
      </c>
      <c r="Q11" s="1">
        <f t="shared" si="2"/>
        <v>56.234999999999999</v>
      </c>
      <c r="R11" s="14" t="str">
        <f t="shared" si="6"/>
        <v>2024Q1</v>
      </c>
      <c r="S11" s="53">
        <v>319.17687379288338</v>
      </c>
      <c r="T11" s="53">
        <v>152.6139367384159</v>
      </c>
      <c r="U11" s="53">
        <v>485.7398108473509</v>
      </c>
      <c r="V11" s="1">
        <f t="shared" si="3"/>
        <v>152.614</v>
      </c>
      <c r="W11" s="1">
        <f t="shared" si="4"/>
        <v>319.17700000000002</v>
      </c>
      <c r="X11" s="1">
        <f t="shared" si="5"/>
        <v>485.74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42.13</v>
      </c>
      <c r="C12" s="3">
        <f t="shared" si="8"/>
        <v>49.182000000000002</v>
      </c>
      <c r="D12" s="2">
        <f t="shared" si="8"/>
        <v>56.234999999999999</v>
      </c>
      <c r="E12" s="2">
        <f t="shared" si="9"/>
        <v>152.614</v>
      </c>
      <c r="F12" s="3">
        <f t="shared" si="9"/>
        <v>319.17700000000002</v>
      </c>
      <c r="G12" s="2">
        <f t="shared" si="9"/>
        <v>485.74</v>
      </c>
      <c r="K12" s="14" t="s">
        <v>76</v>
      </c>
      <c r="L12" s="40">
        <v>53.467327572109127</v>
      </c>
      <c r="M12" s="40">
        <v>46.372972241760614</v>
      </c>
      <c r="N12" s="40">
        <v>60.56168290245764</v>
      </c>
      <c r="O12" s="1">
        <f t="shared" si="0"/>
        <v>46.372999999999998</v>
      </c>
      <c r="P12" s="1">
        <f t="shared" si="1"/>
        <v>53.466999999999999</v>
      </c>
      <c r="Q12" s="1">
        <f t="shared" si="2"/>
        <v>60.561999999999998</v>
      </c>
      <c r="R12" s="14" t="str">
        <f t="shared" si="6"/>
        <v>2024Q2</v>
      </c>
      <c r="S12" s="53">
        <v>323.32023402312888</v>
      </c>
      <c r="T12" s="53">
        <v>146.04481673043259</v>
      </c>
      <c r="U12" s="53">
        <v>500.59565131582519</v>
      </c>
      <c r="V12" s="1">
        <f t="shared" si="3"/>
        <v>146.04499999999999</v>
      </c>
      <c r="W12" s="1">
        <f t="shared" si="4"/>
        <v>323.32</v>
      </c>
      <c r="X12" s="1">
        <f t="shared" si="5"/>
        <v>500.596</v>
      </c>
    </row>
    <row r="13" spans="1:30" ht="15.5" thickTop="1" thickBot="1" x14ac:dyDescent="0.4">
      <c r="A13" s="5" t="str">
        <f t="shared" si="7"/>
        <v>2024Q2</v>
      </c>
      <c r="B13" s="2">
        <f t="shared" si="8"/>
        <v>46.372999999999998</v>
      </c>
      <c r="C13" s="3">
        <f t="shared" si="8"/>
        <v>53.466999999999999</v>
      </c>
      <c r="D13" s="2">
        <f t="shared" si="8"/>
        <v>60.561999999999998</v>
      </c>
      <c r="E13" s="2">
        <f t="shared" si="9"/>
        <v>146.04499999999999</v>
      </c>
      <c r="F13" s="3">
        <f t="shared" si="9"/>
        <v>323.32</v>
      </c>
      <c r="G13" s="2">
        <f t="shared" si="9"/>
        <v>500.596</v>
      </c>
      <c r="K13" s="14" t="s">
        <v>77</v>
      </c>
      <c r="L13" s="40">
        <v>54.028256720067326</v>
      </c>
      <c r="M13" s="40">
        <v>46.905415329026937</v>
      </c>
      <c r="N13" s="40">
        <v>61.151098111107714</v>
      </c>
      <c r="O13" s="1">
        <f t="shared" si="0"/>
        <v>46.905000000000001</v>
      </c>
      <c r="P13" s="1">
        <f t="shared" si="1"/>
        <v>54.027999999999999</v>
      </c>
      <c r="Q13" s="1">
        <f t="shared" si="2"/>
        <v>61.151000000000003</v>
      </c>
      <c r="R13" s="14" t="str">
        <f t="shared" si="6"/>
        <v>2024Q3</v>
      </c>
      <c r="S13" s="53">
        <v>326.74316595609918</v>
      </c>
      <c r="T13" s="53">
        <v>139.34923249079975</v>
      </c>
      <c r="U13" s="53">
        <v>514.1370994213986</v>
      </c>
      <c r="V13" s="1">
        <f t="shared" si="3"/>
        <v>139.34899999999999</v>
      </c>
      <c r="W13" s="1">
        <f t="shared" si="4"/>
        <v>326.74299999999999</v>
      </c>
      <c r="X13" s="1">
        <f t="shared" si="5"/>
        <v>514.13699999999994</v>
      </c>
    </row>
    <row r="14" spans="1:30" ht="15.5" thickTop="1" thickBot="1" x14ac:dyDescent="0.4">
      <c r="A14" s="5" t="str">
        <f t="shared" si="7"/>
        <v>2024Q3</v>
      </c>
      <c r="B14" s="2">
        <f t="shared" si="8"/>
        <v>46.905000000000001</v>
      </c>
      <c r="C14" s="3">
        <f t="shared" si="8"/>
        <v>54.027999999999999</v>
      </c>
      <c r="D14" s="2">
        <f t="shared" si="8"/>
        <v>61.151000000000003</v>
      </c>
      <c r="E14" s="2">
        <f t="shared" si="9"/>
        <v>139.34899999999999</v>
      </c>
      <c r="F14" s="3">
        <f t="shared" si="9"/>
        <v>326.74299999999999</v>
      </c>
      <c r="G14" s="2">
        <f t="shared" si="9"/>
        <v>514.13699999999994</v>
      </c>
      <c r="K14" s="14" t="s">
        <v>82</v>
      </c>
      <c r="L14" s="40">
        <v>54.694674621828213</v>
      </c>
      <c r="M14" s="40">
        <v>47.552265694052863</v>
      </c>
      <c r="N14" s="40">
        <v>61.837083549603562</v>
      </c>
      <c r="O14" s="1">
        <f t="shared" si="0"/>
        <v>47.552</v>
      </c>
      <c r="P14" s="1">
        <f t="shared" si="1"/>
        <v>54.695</v>
      </c>
      <c r="Q14" s="1">
        <f t="shared" si="2"/>
        <v>61.837000000000003</v>
      </c>
      <c r="R14" s="14" t="str">
        <f t="shared" si="6"/>
        <v>2024Q4</v>
      </c>
      <c r="S14" s="53">
        <v>330.49968022277028</v>
      </c>
      <c r="T14" s="53">
        <v>133.4969839065609</v>
      </c>
      <c r="U14" s="53">
        <v>527.50237653897966</v>
      </c>
      <c r="V14" s="1">
        <f t="shared" si="3"/>
        <v>133.49700000000001</v>
      </c>
      <c r="W14" s="1">
        <f t="shared" si="4"/>
        <v>330.5</v>
      </c>
      <c r="X14" s="1">
        <f t="shared" si="5"/>
        <v>527.50199999999995</v>
      </c>
    </row>
    <row r="15" spans="1:30" ht="15.5" thickTop="1" thickBot="1" x14ac:dyDescent="0.4">
      <c r="A15" s="5" t="str">
        <f t="shared" si="7"/>
        <v>2024Q4</v>
      </c>
      <c r="B15" s="2">
        <f t="shared" si="8"/>
        <v>47.552</v>
      </c>
      <c r="C15" s="3">
        <f t="shared" si="8"/>
        <v>54.695</v>
      </c>
      <c r="D15" s="2">
        <f t="shared" si="8"/>
        <v>61.837000000000003</v>
      </c>
      <c r="E15" s="2">
        <f t="shared" si="9"/>
        <v>133.49700000000001</v>
      </c>
      <c r="F15" s="3">
        <f t="shared" si="9"/>
        <v>330.5</v>
      </c>
      <c r="G15" s="2">
        <f t="shared" si="9"/>
        <v>527.50199999999995</v>
      </c>
      <c r="K15" s="14" t="s">
        <v>79</v>
      </c>
      <c r="L15" s="40">
        <v>49.960264403732523</v>
      </c>
      <c r="M15" s="40">
        <v>42.804399935562479</v>
      </c>
      <c r="N15" s="40">
        <v>57.116128871902568</v>
      </c>
      <c r="O15" s="1">
        <f t="shared" ref="O15:O34" si="10">ROUND(M15,3)</f>
        <v>42.804000000000002</v>
      </c>
      <c r="P15" s="1">
        <f t="shared" ref="P15:P34" si="11">ROUND(L15,3)</f>
        <v>49.96</v>
      </c>
      <c r="Q15" s="1">
        <f t="shared" ref="Q15:Q34" si="12">ROUND(N15,3)</f>
        <v>57.116</v>
      </c>
      <c r="R15" s="14" t="str">
        <f t="shared" si="6"/>
        <v>2025Q1</v>
      </c>
      <c r="S15" s="53">
        <v>332.55760081061669</v>
      </c>
      <c r="T15" s="53">
        <v>126.38852872757191</v>
      </c>
      <c r="U15" s="53">
        <v>538.72667289366154</v>
      </c>
      <c r="V15" s="1">
        <f t="shared" si="3"/>
        <v>126.389</v>
      </c>
      <c r="W15" s="1">
        <f t="shared" si="4"/>
        <v>332.55799999999999</v>
      </c>
      <c r="X15" s="1">
        <f t="shared" si="5"/>
        <v>538.72699999999998</v>
      </c>
    </row>
    <row r="16" spans="1:30" ht="15.5" thickTop="1" thickBot="1" x14ac:dyDescent="0.4">
      <c r="A16" s="5" t="str">
        <f t="shared" si="7"/>
        <v>2025Q1</v>
      </c>
      <c r="B16" s="2">
        <f t="shared" si="8"/>
        <v>42.804000000000002</v>
      </c>
      <c r="C16" s="3">
        <f t="shared" si="8"/>
        <v>49.96</v>
      </c>
      <c r="D16" s="2">
        <f t="shared" si="8"/>
        <v>57.116</v>
      </c>
      <c r="E16" s="2">
        <f t="shared" si="9"/>
        <v>126.389</v>
      </c>
      <c r="F16" s="3">
        <f t="shared" si="9"/>
        <v>332.55799999999999</v>
      </c>
      <c r="G16" s="2">
        <f t="shared" si="9"/>
        <v>538.72699999999998</v>
      </c>
      <c r="K16" s="14" t="s">
        <v>80</v>
      </c>
      <c r="L16" s="40">
        <v>54.331741595343949</v>
      </c>
      <c r="M16" s="40">
        <v>47.166617767845068</v>
      </c>
      <c r="N16" s="40">
        <v>61.496865422842831</v>
      </c>
      <c r="O16" s="1">
        <f t="shared" si="10"/>
        <v>47.167000000000002</v>
      </c>
      <c r="P16" s="1">
        <f t="shared" si="11"/>
        <v>54.332000000000001</v>
      </c>
      <c r="Q16" s="1">
        <f t="shared" si="12"/>
        <v>61.497</v>
      </c>
      <c r="R16" s="14" t="str">
        <f t="shared" si="6"/>
        <v>2025Q2</v>
      </c>
      <c r="S16" s="53">
        <v>336.71151786101888</v>
      </c>
      <c r="T16" s="53">
        <v>121.76395491989274</v>
      </c>
      <c r="U16" s="53">
        <v>551.65908080214501</v>
      </c>
      <c r="V16" s="1">
        <f t="shared" si="3"/>
        <v>121.764</v>
      </c>
      <c r="W16" s="1">
        <f t="shared" si="4"/>
        <v>336.71199999999999</v>
      </c>
      <c r="X16" s="1">
        <f t="shared" si="5"/>
        <v>551.65899999999999</v>
      </c>
    </row>
    <row r="17" spans="1:24" ht="15.5" thickTop="1" thickBot="1" x14ac:dyDescent="0.4">
      <c r="A17" s="5" t="str">
        <f t="shared" si="7"/>
        <v>2025Q2</v>
      </c>
      <c r="B17" s="2">
        <f t="shared" si="8"/>
        <v>47.167000000000002</v>
      </c>
      <c r="C17" s="3">
        <f t="shared" si="8"/>
        <v>54.332000000000001</v>
      </c>
      <c r="D17" s="2">
        <f t="shared" si="8"/>
        <v>61.497</v>
      </c>
      <c r="E17" s="2">
        <f t="shared" si="9"/>
        <v>121.764</v>
      </c>
      <c r="F17" s="3">
        <f t="shared" si="9"/>
        <v>336.71199999999999</v>
      </c>
      <c r="G17" s="2">
        <f t="shared" si="9"/>
        <v>551.65899999999999</v>
      </c>
      <c r="K17" s="14" t="s">
        <v>81</v>
      </c>
      <c r="L17" s="40">
        <v>54.964519021959582</v>
      </c>
      <c r="M17" s="40">
        <v>47.793020252110495</v>
      </c>
      <c r="N17" s="40">
        <v>62.136017791808669</v>
      </c>
      <c r="O17" s="1">
        <f t="shared" si="10"/>
        <v>47.792999999999999</v>
      </c>
      <c r="P17" s="1">
        <f t="shared" si="11"/>
        <v>54.965000000000003</v>
      </c>
      <c r="Q17" s="1">
        <f t="shared" si="12"/>
        <v>62.136000000000003</v>
      </c>
      <c r="R17" s="14" t="str">
        <f t="shared" si="6"/>
        <v>2025Q3</v>
      </c>
      <c r="S17" s="53">
        <v>340.14034897217937</v>
      </c>
      <c r="T17" s="53">
        <v>116.75757651788813</v>
      </c>
      <c r="U17" s="53">
        <v>563.52312142647065</v>
      </c>
      <c r="V17" s="1">
        <f t="shared" si="3"/>
        <v>116.758</v>
      </c>
      <c r="W17" s="1">
        <f t="shared" si="4"/>
        <v>340.14</v>
      </c>
      <c r="X17" s="1">
        <f t="shared" si="5"/>
        <v>563.52300000000002</v>
      </c>
    </row>
    <row r="18" spans="1:24" ht="15.5" thickTop="1" thickBot="1" x14ac:dyDescent="0.4">
      <c r="A18" s="5" t="str">
        <f t="shared" si="7"/>
        <v>2025Q3</v>
      </c>
      <c r="B18" s="2">
        <f t="shared" si="8"/>
        <v>47.792999999999999</v>
      </c>
      <c r="C18" s="3">
        <f t="shared" si="8"/>
        <v>54.965000000000003</v>
      </c>
      <c r="D18" s="2">
        <f t="shared" si="8"/>
        <v>62.136000000000003</v>
      </c>
      <c r="E18" s="2">
        <f t="shared" si="9"/>
        <v>116.758</v>
      </c>
      <c r="F18" s="3">
        <f t="shared" si="9"/>
        <v>340.14</v>
      </c>
      <c r="G18" s="2">
        <f t="shared" si="9"/>
        <v>563.52300000000002</v>
      </c>
      <c r="K18" s="14" t="s">
        <v>78</v>
      </c>
      <c r="L18" s="40">
        <v>55.6905856207133</v>
      </c>
      <c r="M18" s="40">
        <v>48.514696295527912</v>
      </c>
      <c r="N18" s="40">
        <v>62.866474945898688</v>
      </c>
      <c r="O18" s="1">
        <f t="shared" si="10"/>
        <v>48.515000000000001</v>
      </c>
      <c r="P18" s="1">
        <f t="shared" si="11"/>
        <v>55.691000000000003</v>
      </c>
      <c r="Q18" s="1">
        <f t="shared" si="12"/>
        <v>62.866</v>
      </c>
      <c r="R18" s="14" t="str">
        <f t="shared" si="6"/>
        <v>2025Q4</v>
      </c>
      <c r="S18" s="53">
        <v>343.9001597147593</v>
      </c>
      <c r="T18" s="53">
        <v>112.38854288802797</v>
      </c>
      <c r="U18" s="53">
        <v>575.41177654149055</v>
      </c>
      <c r="V18" s="1">
        <f t="shared" si="3"/>
        <v>112.389</v>
      </c>
      <c r="W18" s="1">
        <f t="shared" si="4"/>
        <v>343.9</v>
      </c>
      <c r="X18" s="1">
        <f t="shared" si="5"/>
        <v>575.41200000000003</v>
      </c>
    </row>
    <row r="19" spans="1:24" ht="15.5" thickTop="1" thickBot="1" x14ac:dyDescent="0.4">
      <c r="A19" s="5" t="str">
        <f t="shared" si="7"/>
        <v>2025Q4</v>
      </c>
      <c r="B19" s="2">
        <f t="shared" si="8"/>
        <v>48.515000000000001</v>
      </c>
      <c r="C19" s="3">
        <f t="shared" si="8"/>
        <v>55.691000000000003</v>
      </c>
      <c r="D19" s="2">
        <f t="shared" si="8"/>
        <v>62.866</v>
      </c>
      <c r="E19" s="2">
        <f t="shared" si="9"/>
        <v>112.389</v>
      </c>
      <c r="F19" s="3">
        <f t="shared" si="9"/>
        <v>343.9</v>
      </c>
      <c r="G19" s="2">
        <f t="shared" si="9"/>
        <v>575.41200000000003</v>
      </c>
      <c r="K19" s="14" t="s">
        <v>90</v>
      </c>
      <c r="L19" s="40">
        <v>51.005695963435819</v>
      </c>
      <c r="M19" s="40">
        <v>43.826782064043122</v>
      </c>
      <c r="N19" s="40">
        <v>58.184609862828516</v>
      </c>
      <c r="O19" s="1">
        <f t="shared" si="10"/>
        <v>43.826999999999998</v>
      </c>
      <c r="P19" s="1">
        <f t="shared" si="11"/>
        <v>51.006</v>
      </c>
      <c r="Q19" s="1">
        <f t="shared" si="12"/>
        <v>58.185000000000002</v>
      </c>
      <c r="R19" s="14" t="str">
        <f t="shared" si="6"/>
        <v>2026Q1</v>
      </c>
      <c r="S19" s="53">
        <v>345.95992238180156</v>
      </c>
      <c r="T19" s="53">
        <v>106.59494125236209</v>
      </c>
      <c r="U19" s="53">
        <v>585.32490351124113</v>
      </c>
      <c r="V19" s="1">
        <f t="shared" si="3"/>
        <v>106.595</v>
      </c>
      <c r="W19" s="1">
        <f t="shared" si="4"/>
        <v>345.96</v>
      </c>
      <c r="X19" s="1">
        <f t="shared" si="5"/>
        <v>585.32500000000005</v>
      </c>
    </row>
    <row r="20" spans="1:24" ht="15.5" thickTop="1" thickBot="1" x14ac:dyDescent="0.4">
      <c r="A20" s="5" t="str">
        <f t="shared" si="7"/>
        <v>2026Q1</v>
      </c>
      <c r="B20" s="2">
        <f t="shared" si="8"/>
        <v>43.826999999999998</v>
      </c>
      <c r="C20" s="3">
        <f t="shared" si="8"/>
        <v>51.006</v>
      </c>
      <c r="D20" s="2">
        <f t="shared" si="8"/>
        <v>58.185000000000002</v>
      </c>
      <c r="E20" s="2">
        <f t="shared" si="9"/>
        <v>106.595</v>
      </c>
      <c r="F20" s="3">
        <f t="shared" si="9"/>
        <v>345.96</v>
      </c>
      <c r="G20" s="2">
        <f t="shared" si="9"/>
        <v>585.32500000000005</v>
      </c>
      <c r="K20" s="14" t="s">
        <v>91</v>
      </c>
      <c r="L20" s="40">
        <v>55.418285301118871</v>
      </c>
      <c r="M20" s="40">
        <v>48.237287491984574</v>
      </c>
      <c r="N20" s="40">
        <v>62.599283110253168</v>
      </c>
      <c r="O20" s="1">
        <f t="shared" si="10"/>
        <v>48.237000000000002</v>
      </c>
      <c r="P20" s="1">
        <f t="shared" si="11"/>
        <v>55.417999999999999</v>
      </c>
      <c r="Q20" s="1">
        <f t="shared" si="12"/>
        <v>62.598999999999997</v>
      </c>
      <c r="R20" s="14" t="str">
        <f t="shared" si="6"/>
        <v>2026Q2</v>
      </c>
      <c r="S20" s="53">
        <v>350.1148687907849</v>
      </c>
      <c r="T20" s="53">
        <v>103.14590051693273</v>
      </c>
      <c r="U20" s="53">
        <v>597.08383706463712</v>
      </c>
      <c r="V20" s="1">
        <f t="shared" si="3"/>
        <v>103.146</v>
      </c>
      <c r="W20" s="1">
        <f t="shared" si="4"/>
        <v>350.11500000000001</v>
      </c>
      <c r="X20" s="1">
        <f t="shared" si="5"/>
        <v>597.08399999999995</v>
      </c>
    </row>
    <row r="21" spans="1:24" ht="15.5" thickTop="1" thickBot="1" x14ac:dyDescent="0.4">
      <c r="A21" s="5" t="str">
        <f t="shared" si="7"/>
        <v>2026Q2</v>
      </c>
      <c r="B21" s="2">
        <f t="shared" ref="B21:D35" si="13">O20</f>
        <v>48.237000000000002</v>
      </c>
      <c r="C21" s="3">
        <f t="shared" si="13"/>
        <v>55.417999999999999</v>
      </c>
      <c r="D21" s="2">
        <f t="shared" si="13"/>
        <v>62.598999999999997</v>
      </c>
      <c r="E21" s="2">
        <f t="shared" ref="E21:G35" si="14">V20</f>
        <v>103.146</v>
      </c>
      <c r="F21" s="3">
        <f t="shared" si="14"/>
        <v>350.11500000000001</v>
      </c>
      <c r="G21" s="2">
        <f t="shared" si="14"/>
        <v>597.08399999999995</v>
      </c>
      <c r="K21" s="14" t="s">
        <v>92</v>
      </c>
      <c r="L21" s="40">
        <v>56.085194177917799</v>
      </c>
      <c r="M21" s="40">
        <v>48.902760411068527</v>
      </c>
      <c r="N21" s="40">
        <v>63.267627944767071</v>
      </c>
      <c r="O21" s="1">
        <f t="shared" si="10"/>
        <v>48.902999999999999</v>
      </c>
      <c r="P21" s="1">
        <f t="shared" si="11"/>
        <v>56.085000000000001</v>
      </c>
      <c r="Q21" s="1">
        <f t="shared" si="12"/>
        <v>63.268000000000001</v>
      </c>
      <c r="R21" s="14" t="str">
        <f t="shared" si="6"/>
        <v>2026Q3</v>
      </c>
      <c r="S21" s="53">
        <v>353.54427511016155</v>
      </c>
      <c r="T21" s="53">
        <v>99.198426369939156</v>
      </c>
      <c r="U21" s="53">
        <v>607.89012385038393</v>
      </c>
      <c r="V21" s="1">
        <f t="shared" si="3"/>
        <v>99.197999999999993</v>
      </c>
      <c r="W21" s="1">
        <f t="shared" si="4"/>
        <v>353.54399999999998</v>
      </c>
      <c r="X21" s="1">
        <f t="shared" si="5"/>
        <v>607.89</v>
      </c>
    </row>
    <row r="22" spans="1:24" ht="15.5" thickTop="1" thickBot="1" x14ac:dyDescent="0.4">
      <c r="A22" s="5" t="str">
        <f t="shared" si="7"/>
        <v>2026Q3</v>
      </c>
      <c r="B22" s="2">
        <f t="shared" si="13"/>
        <v>48.902999999999999</v>
      </c>
      <c r="C22" s="3">
        <f t="shared" si="13"/>
        <v>56.085000000000001</v>
      </c>
      <c r="D22" s="2">
        <f t="shared" si="13"/>
        <v>63.268000000000001</v>
      </c>
      <c r="E22" s="2">
        <f t="shared" si="14"/>
        <v>99.197999999999993</v>
      </c>
      <c r="F22" s="3">
        <f t="shared" si="14"/>
        <v>353.54399999999998</v>
      </c>
      <c r="G22" s="2">
        <f t="shared" si="14"/>
        <v>607.89</v>
      </c>
      <c r="K22" s="14" t="s">
        <v>93</v>
      </c>
      <c r="L22" s="40">
        <v>56.839596828250613</v>
      </c>
      <c r="M22" s="40">
        <v>49.656173511941169</v>
      </c>
      <c r="N22" s="40">
        <v>64.02302014456005</v>
      </c>
      <c r="O22" s="1">
        <f t="shared" si="10"/>
        <v>49.655999999999999</v>
      </c>
      <c r="P22" s="1">
        <f t="shared" si="11"/>
        <v>56.84</v>
      </c>
      <c r="Q22" s="1">
        <f t="shared" si="12"/>
        <v>64.022999999999996</v>
      </c>
      <c r="R22" s="14" t="str">
        <f t="shared" si="6"/>
        <v>2026Q4</v>
      </c>
      <c r="S22" s="53">
        <v>357.30440728056863</v>
      </c>
      <c r="T22" s="53">
        <v>95.789617809769695</v>
      </c>
      <c r="U22" s="53">
        <v>618.8191967513676</v>
      </c>
      <c r="V22" s="1">
        <f t="shared" si="3"/>
        <v>95.79</v>
      </c>
      <c r="W22" s="1">
        <f t="shared" si="4"/>
        <v>357.30399999999997</v>
      </c>
      <c r="X22" s="1">
        <f t="shared" si="5"/>
        <v>618.81899999999996</v>
      </c>
    </row>
    <row r="23" spans="1:24" ht="15.5" thickTop="1" thickBot="1" x14ac:dyDescent="0.4">
      <c r="A23" s="5" t="str">
        <f t="shared" si="7"/>
        <v>2026Q4</v>
      </c>
      <c r="B23" s="2">
        <f t="shared" si="13"/>
        <v>49.655999999999999</v>
      </c>
      <c r="C23" s="3">
        <f t="shared" si="13"/>
        <v>56.84</v>
      </c>
      <c r="D23" s="2">
        <f t="shared" si="13"/>
        <v>64.022999999999996</v>
      </c>
      <c r="E23" s="2">
        <f t="shared" si="14"/>
        <v>95.79</v>
      </c>
      <c r="F23" s="3">
        <f t="shared" si="14"/>
        <v>357.30399999999997</v>
      </c>
      <c r="G23" s="2">
        <f t="shared" si="14"/>
        <v>618.81899999999996</v>
      </c>
      <c r="K23" s="14" t="s">
        <v>94</v>
      </c>
      <c r="L23" s="40">
        <v>52.178231861977544</v>
      </c>
      <c r="M23" s="40">
        <v>44.994126589966839</v>
      </c>
      <c r="N23" s="40">
        <v>59.362337133988248</v>
      </c>
      <c r="O23" s="1">
        <f t="shared" si="10"/>
        <v>44.994</v>
      </c>
      <c r="P23" s="1">
        <f t="shared" si="11"/>
        <v>52.177999999999997</v>
      </c>
      <c r="Q23" s="1">
        <f t="shared" si="12"/>
        <v>59.362000000000002</v>
      </c>
      <c r="R23" s="14" t="str">
        <f t="shared" si="6"/>
        <v>2027Q1</v>
      </c>
      <c r="S23" s="53">
        <v>359.36434956230539</v>
      </c>
      <c r="T23" s="53">
        <v>90.871930801283398</v>
      </c>
      <c r="U23" s="53">
        <v>627.85676832332751</v>
      </c>
      <c r="V23" s="1">
        <f t="shared" si="3"/>
        <v>90.872</v>
      </c>
      <c r="W23" s="1">
        <f t="shared" si="4"/>
        <v>359.36399999999998</v>
      </c>
      <c r="X23" s="1">
        <f t="shared" si="5"/>
        <v>627.85699999999997</v>
      </c>
    </row>
    <row r="24" spans="1:24" ht="15.5" thickTop="1" thickBot="1" x14ac:dyDescent="0.4">
      <c r="A24" s="5" t="str">
        <f t="shared" si="7"/>
        <v>2027Q1</v>
      </c>
      <c r="B24" s="2">
        <f t="shared" si="13"/>
        <v>44.994</v>
      </c>
      <c r="C24" s="3">
        <f t="shared" si="13"/>
        <v>52.177999999999997</v>
      </c>
      <c r="D24" s="2">
        <f t="shared" si="13"/>
        <v>59.362000000000002</v>
      </c>
      <c r="E24" s="2">
        <f t="shared" si="14"/>
        <v>90.872</v>
      </c>
      <c r="F24" s="3">
        <f t="shared" si="14"/>
        <v>359.36399999999998</v>
      </c>
      <c r="G24" s="2">
        <f t="shared" si="14"/>
        <v>627.85699999999997</v>
      </c>
      <c r="K24" s="14" t="s">
        <v>95</v>
      </c>
      <c r="L24" s="40">
        <v>56.610351481969261</v>
      </c>
      <c r="M24" s="40">
        <v>49.425776217886678</v>
      </c>
      <c r="N24" s="40">
        <v>63.794926746051843</v>
      </c>
      <c r="O24" s="1">
        <f t="shared" si="10"/>
        <v>49.426000000000002</v>
      </c>
      <c r="P24" s="1">
        <f t="shared" si="11"/>
        <v>56.61</v>
      </c>
      <c r="Q24" s="1">
        <f t="shared" si="12"/>
        <v>63.795000000000002</v>
      </c>
      <c r="R24" s="14" t="str">
        <f t="shared" si="6"/>
        <v>2027Q2</v>
      </c>
      <c r="S24" s="53">
        <v>363.51939634044089</v>
      </c>
      <c r="T24" s="53">
        <v>88.226127919992109</v>
      </c>
      <c r="U24" s="53">
        <v>638.81266476088967</v>
      </c>
      <c r="V24" s="1">
        <f t="shared" si="3"/>
        <v>88.225999999999999</v>
      </c>
      <c r="W24" s="1">
        <f t="shared" si="4"/>
        <v>363.51900000000001</v>
      </c>
      <c r="X24" s="1">
        <f t="shared" si="5"/>
        <v>638.81299999999999</v>
      </c>
    </row>
    <row r="25" spans="1:24" ht="15.5" thickTop="1" thickBot="1" x14ac:dyDescent="0.4">
      <c r="A25" s="5" t="str">
        <f t="shared" si="7"/>
        <v>2027Q2</v>
      </c>
      <c r="B25" s="2">
        <f t="shared" si="13"/>
        <v>49.426000000000002</v>
      </c>
      <c r="C25" s="3">
        <f t="shared" si="13"/>
        <v>56.61</v>
      </c>
      <c r="D25" s="2">
        <f t="shared" si="13"/>
        <v>63.795000000000002</v>
      </c>
      <c r="E25" s="2">
        <f t="shared" si="14"/>
        <v>88.225999999999999</v>
      </c>
      <c r="F25" s="3">
        <f t="shared" si="14"/>
        <v>363.51900000000001</v>
      </c>
      <c r="G25" s="2">
        <f t="shared" si="14"/>
        <v>638.81299999999999</v>
      </c>
      <c r="K25" s="14" t="s">
        <v>96</v>
      </c>
      <c r="L25" s="40">
        <v>57.293474468742446</v>
      </c>
      <c r="M25" s="40">
        <v>50.108575286181711</v>
      </c>
      <c r="N25" s="40">
        <v>64.478373651303173</v>
      </c>
      <c r="O25" s="1">
        <f t="shared" si="10"/>
        <v>50.109000000000002</v>
      </c>
      <c r="P25" s="1">
        <f t="shared" si="11"/>
        <v>57.292999999999999</v>
      </c>
      <c r="Q25" s="1">
        <f t="shared" si="12"/>
        <v>64.477999999999994</v>
      </c>
      <c r="R25" s="14" t="str">
        <f t="shared" si="6"/>
        <v>2027Q3</v>
      </c>
      <c r="S25" s="53">
        <v>366.9488587463573</v>
      </c>
      <c r="T25" s="53">
        <v>85.01873544305947</v>
      </c>
      <c r="U25" s="53">
        <v>648.87898204965518</v>
      </c>
      <c r="V25" s="1">
        <f t="shared" si="3"/>
        <v>85.019000000000005</v>
      </c>
      <c r="W25" s="1">
        <f t="shared" si="4"/>
        <v>366.94900000000001</v>
      </c>
      <c r="X25" s="1">
        <f t="shared" si="5"/>
        <v>648.87900000000002</v>
      </c>
    </row>
    <row r="26" spans="1:24" ht="15.5" thickTop="1" thickBot="1" x14ac:dyDescent="0.4">
      <c r="A26" s="5" t="str">
        <f t="shared" si="7"/>
        <v>2027Q3</v>
      </c>
      <c r="B26" s="2">
        <f t="shared" si="13"/>
        <v>50.109000000000002</v>
      </c>
      <c r="C26" s="3">
        <f t="shared" si="13"/>
        <v>57.292999999999999</v>
      </c>
      <c r="D26" s="2">
        <f t="shared" si="13"/>
        <v>64.477999999999994</v>
      </c>
      <c r="E26" s="2">
        <f t="shared" si="14"/>
        <v>85.019000000000005</v>
      </c>
      <c r="F26" s="3">
        <f t="shared" si="14"/>
        <v>366.94900000000001</v>
      </c>
      <c r="G26" s="2">
        <f t="shared" si="14"/>
        <v>648.87900000000002</v>
      </c>
      <c r="K26" s="14" t="s">
        <v>97</v>
      </c>
      <c r="L26" s="40">
        <v>58.061338130959406</v>
      </c>
      <c r="M26" s="40">
        <v>50.876215699989402</v>
      </c>
      <c r="N26" s="40">
        <v>65.24646056192941</v>
      </c>
      <c r="O26" s="1">
        <f t="shared" si="10"/>
        <v>50.875999999999998</v>
      </c>
      <c r="P26" s="1">
        <f t="shared" si="11"/>
        <v>58.061</v>
      </c>
      <c r="Q26" s="1">
        <f t="shared" si="12"/>
        <v>65.245999999999995</v>
      </c>
      <c r="R26" s="14" t="str">
        <f t="shared" si="6"/>
        <v>2027Q4</v>
      </c>
      <c r="S26" s="53">
        <v>370.70902225806662</v>
      </c>
      <c r="T26" s="53">
        <v>82.294721965831499</v>
      </c>
      <c r="U26" s="53">
        <v>659.12332255030174</v>
      </c>
      <c r="V26" s="1">
        <f t="shared" si="3"/>
        <v>82.295000000000002</v>
      </c>
      <c r="W26" s="1">
        <f t="shared" si="4"/>
        <v>370.709</v>
      </c>
      <c r="X26" s="1">
        <f t="shared" si="5"/>
        <v>659.12300000000005</v>
      </c>
    </row>
    <row r="27" spans="1:24" ht="15.5" thickTop="1" thickBot="1" x14ac:dyDescent="0.4">
      <c r="A27" s="5" t="str">
        <f t="shared" si="7"/>
        <v>2027Q4</v>
      </c>
      <c r="B27" s="2">
        <f t="shared" si="13"/>
        <v>50.875999999999998</v>
      </c>
      <c r="C27" s="3">
        <f t="shared" si="13"/>
        <v>58.061</v>
      </c>
      <c r="D27" s="2">
        <f t="shared" si="13"/>
        <v>65.245999999999995</v>
      </c>
      <c r="E27" s="2">
        <f t="shared" si="14"/>
        <v>82.295000000000002</v>
      </c>
      <c r="F27" s="3">
        <f t="shared" si="14"/>
        <v>370.709</v>
      </c>
      <c r="G27" s="2">
        <f t="shared" si="14"/>
        <v>659.12300000000005</v>
      </c>
      <c r="K27" s="14" t="s">
        <v>98</v>
      </c>
      <c r="L27" s="40">
        <v>53.411148544724625</v>
      </c>
      <c r="M27" s="40">
        <v>46.225872246515017</v>
      </c>
      <c r="N27" s="40">
        <v>60.596424842934233</v>
      </c>
      <c r="O27" s="1">
        <f t="shared" si="10"/>
        <v>46.225999999999999</v>
      </c>
      <c r="P27" s="1">
        <f t="shared" si="11"/>
        <v>53.411000000000001</v>
      </c>
      <c r="Q27" s="1">
        <f t="shared" si="12"/>
        <v>60.595999999999997</v>
      </c>
      <c r="R27" s="14" t="str">
        <f t="shared" si="6"/>
        <v>2028Q1</v>
      </c>
      <c r="S27" s="53">
        <v>372.76898205340359</v>
      </c>
      <c r="T27" s="53">
        <v>78.013108999610907</v>
      </c>
      <c r="U27" s="53">
        <v>667.52485510719634</v>
      </c>
      <c r="V27" s="1">
        <f t="shared" si="3"/>
        <v>78.013000000000005</v>
      </c>
      <c r="W27" s="1">
        <f t="shared" si="4"/>
        <v>372.76900000000001</v>
      </c>
      <c r="X27" s="1">
        <f t="shared" si="5"/>
        <v>667.52499999999998</v>
      </c>
    </row>
    <row r="28" spans="1:24" ht="15.5" thickTop="1" thickBot="1" x14ac:dyDescent="0.4">
      <c r="A28" s="5" t="str">
        <f t="shared" si="7"/>
        <v>2028Q1</v>
      </c>
      <c r="B28" s="2">
        <f t="shared" si="13"/>
        <v>46.225999999999999</v>
      </c>
      <c r="C28" s="3">
        <f t="shared" si="13"/>
        <v>53.411000000000001</v>
      </c>
      <c r="D28" s="2">
        <f t="shared" si="13"/>
        <v>60.595999999999997</v>
      </c>
      <c r="E28" s="2">
        <f t="shared" si="14"/>
        <v>78.013000000000005</v>
      </c>
      <c r="F28" s="3">
        <f t="shared" si="14"/>
        <v>372.76900000000001</v>
      </c>
      <c r="G28" s="2">
        <f t="shared" si="14"/>
        <v>667.52499999999998</v>
      </c>
      <c r="K28" s="14" t="s">
        <v>99</v>
      </c>
      <c r="L28" s="40">
        <v>57.852546005050712</v>
      </c>
      <c r="M28" s="40">
        <v>50.66716365761728</v>
      </c>
      <c r="N28" s="40">
        <v>65.037928352484144</v>
      </c>
      <c r="O28" s="1">
        <f t="shared" si="10"/>
        <v>50.667000000000002</v>
      </c>
      <c r="P28" s="1">
        <f t="shared" si="11"/>
        <v>57.853000000000002</v>
      </c>
      <c r="Q28" s="1">
        <f t="shared" si="12"/>
        <v>65.037999999999997</v>
      </c>
      <c r="R28" s="14" t="str">
        <f t="shared" si="6"/>
        <v>2028Q2</v>
      </c>
      <c r="S28" s="53">
        <v>376.92403861818372</v>
      </c>
      <c r="T28" s="53">
        <v>75.960183898491948</v>
      </c>
      <c r="U28" s="53">
        <v>677.88789333787543</v>
      </c>
      <c r="V28" s="1">
        <f t="shared" si="3"/>
        <v>75.959999999999994</v>
      </c>
      <c r="W28" s="1">
        <f t="shared" si="4"/>
        <v>376.92399999999998</v>
      </c>
      <c r="X28" s="1">
        <f t="shared" si="5"/>
        <v>677.88800000000003</v>
      </c>
    </row>
    <row r="29" spans="1:24" ht="15.5" thickTop="1" thickBot="1" x14ac:dyDescent="0.4">
      <c r="A29" s="5" t="str">
        <f t="shared" si="7"/>
        <v>2028Q2</v>
      </c>
      <c r="B29" s="2">
        <f t="shared" si="13"/>
        <v>50.667000000000002</v>
      </c>
      <c r="C29" s="3">
        <f t="shared" si="13"/>
        <v>57.853000000000002</v>
      </c>
      <c r="D29" s="2">
        <f t="shared" si="13"/>
        <v>65.037999999999997</v>
      </c>
      <c r="E29" s="2">
        <f t="shared" si="14"/>
        <v>75.959999999999994</v>
      </c>
      <c r="F29" s="3">
        <f t="shared" si="14"/>
        <v>376.92399999999998</v>
      </c>
      <c r="G29" s="2">
        <f t="shared" si="14"/>
        <v>677.88800000000003</v>
      </c>
      <c r="K29" s="14" t="s">
        <v>100</v>
      </c>
      <c r="L29" s="40">
        <v>58.543371487933669</v>
      </c>
      <c r="M29" s="40">
        <v>51.357916048260996</v>
      </c>
      <c r="N29" s="40">
        <v>65.728826927606335</v>
      </c>
      <c r="O29" s="1">
        <f t="shared" si="10"/>
        <v>51.357999999999997</v>
      </c>
      <c r="P29" s="1">
        <f t="shared" si="11"/>
        <v>58.542999999999999</v>
      </c>
      <c r="Q29" s="1">
        <f t="shared" si="12"/>
        <v>65.728999999999999</v>
      </c>
      <c r="R29" s="14" t="str">
        <f t="shared" si="6"/>
        <v>2028Q3</v>
      </c>
      <c r="S29" s="53">
        <v>380.35350649290234</v>
      </c>
      <c r="T29" s="53">
        <v>73.307158869494785</v>
      </c>
      <c r="U29" s="53">
        <v>687.39985411630983</v>
      </c>
      <c r="V29" s="1">
        <f t="shared" si="3"/>
        <v>73.307000000000002</v>
      </c>
      <c r="W29" s="1">
        <f t="shared" si="4"/>
        <v>380.35399999999998</v>
      </c>
      <c r="X29" s="1">
        <f t="shared" si="5"/>
        <v>687.4</v>
      </c>
    </row>
    <row r="30" spans="1:24" ht="15.5" thickTop="1" thickBot="1" x14ac:dyDescent="0.4">
      <c r="A30" s="5" t="str">
        <f t="shared" si="7"/>
        <v>2028Q3</v>
      </c>
      <c r="B30" s="2">
        <f t="shared" si="13"/>
        <v>51.357999999999997</v>
      </c>
      <c r="C30" s="3">
        <f t="shared" si="13"/>
        <v>58.542999999999999</v>
      </c>
      <c r="D30" s="2">
        <f t="shared" si="13"/>
        <v>65.728999999999999</v>
      </c>
      <c r="E30" s="2">
        <f t="shared" si="14"/>
        <v>73.307000000000002</v>
      </c>
      <c r="F30" s="3">
        <f t="shared" si="14"/>
        <v>380.35399999999998</v>
      </c>
      <c r="G30" s="2">
        <f t="shared" si="14"/>
        <v>687.4</v>
      </c>
      <c r="K30" s="14" t="s">
        <v>101</v>
      </c>
      <c r="L30" s="40">
        <v>59.317629789870956</v>
      </c>
      <c r="M30" s="40">
        <v>52.132123972685434</v>
      </c>
      <c r="N30" s="40">
        <v>66.503135607056478</v>
      </c>
      <c r="O30" s="1">
        <f t="shared" si="10"/>
        <v>52.131999999999998</v>
      </c>
      <c r="P30" s="1">
        <f t="shared" si="11"/>
        <v>59.317999999999998</v>
      </c>
      <c r="Q30" s="1">
        <f t="shared" si="12"/>
        <v>66.503</v>
      </c>
      <c r="R30" s="14" t="str">
        <f t="shared" si="6"/>
        <v>2028Q4</v>
      </c>
      <c r="S30" s="53">
        <v>384.11367306059236</v>
      </c>
      <c r="T30" s="53">
        <v>71.103006051554857</v>
      </c>
      <c r="U30" s="53">
        <v>697.12434006962985</v>
      </c>
      <c r="V30" s="1">
        <f t="shared" si="3"/>
        <v>71.102999999999994</v>
      </c>
      <c r="W30" s="1">
        <f t="shared" si="4"/>
        <v>384.11399999999998</v>
      </c>
      <c r="X30" s="1">
        <f t="shared" si="5"/>
        <v>697.12400000000002</v>
      </c>
    </row>
    <row r="31" spans="1:24" ht="15.5" thickTop="1" thickBot="1" x14ac:dyDescent="0.4">
      <c r="A31" s="5" t="str">
        <f t="shared" si="7"/>
        <v>2028Q4</v>
      </c>
      <c r="B31" s="2">
        <f t="shared" si="13"/>
        <v>52.131999999999998</v>
      </c>
      <c r="C31" s="3">
        <f t="shared" si="13"/>
        <v>59.317999999999998</v>
      </c>
      <c r="D31" s="2">
        <f t="shared" si="13"/>
        <v>66.503</v>
      </c>
      <c r="E31" s="2">
        <f t="shared" si="14"/>
        <v>71.102999999999994</v>
      </c>
      <c r="F31" s="3">
        <f t="shared" si="14"/>
        <v>384.11399999999998</v>
      </c>
      <c r="G31" s="2">
        <f t="shared" si="14"/>
        <v>697.12400000000002</v>
      </c>
      <c r="K31" s="14" t="s">
        <v>102</v>
      </c>
      <c r="L31" s="40">
        <v>54.672749056321081</v>
      </c>
      <c r="M31" s="40">
        <v>47.487208517247119</v>
      </c>
      <c r="N31" s="40">
        <v>61.858289595395043</v>
      </c>
      <c r="O31" s="1">
        <f t="shared" si="10"/>
        <v>47.487000000000002</v>
      </c>
      <c r="P31" s="1">
        <f t="shared" si="11"/>
        <v>54.673000000000002</v>
      </c>
      <c r="Q31" s="1">
        <f t="shared" si="12"/>
        <v>61.857999999999997</v>
      </c>
      <c r="R31" s="14" t="str">
        <f t="shared" si="6"/>
        <v>2029Q1</v>
      </c>
      <c r="S31" s="53">
        <v>386.1736345636192</v>
      </c>
      <c r="T31" s="53">
        <v>67.310190564131702</v>
      </c>
      <c r="U31" s="53">
        <v>705.03707856310677</v>
      </c>
      <c r="V31" s="1">
        <f t="shared" si="3"/>
        <v>67.31</v>
      </c>
      <c r="W31" s="1">
        <f t="shared" si="4"/>
        <v>386.17399999999998</v>
      </c>
      <c r="X31" s="1">
        <f t="shared" si="5"/>
        <v>705.03700000000003</v>
      </c>
    </row>
    <row r="32" spans="1:24" ht="15.5" thickTop="1" thickBot="1" x14ac:dyDescent="0.4">
      <c r="A32" s="5" t="str">
        <f t="shared" si="7"/>
        <v>2029Q1</v>
      </c>
      <c r="B32" s="2">
        <f t="shared" si="13"/>
        <v>47.487000000000002</v>
      </c>
      <c r="C32" s="3">
        <f t="shared" si="13"/>
        <v>54.673000000000002</v>
      </c>
      <c r="D32" s="2">
        <f t="shared" si="13"/>
        <v>61.857999999999997</v>
      </c>
      <c r="E32" s="2">
        <f t="shared" si="14"/>
        <v>67.31</v>
      </c>
      <c r="F32" s="3">
        <f t="shared" si="14"/>
        <v>386.17399999999998</v>
      </c>
      <c r="G32" s="2">
        <f t="shared" si="14"/>
        <v>705.03700000000003</v>
      </c>
      <c r="K32" s="14" t="s">
        <v>103</v>
      </c>
      <c r="L32" s="40">
        <v>59.118553945065749</v>
      </c>
      <c r="M32" s="40">
        <v>51.932989474445996</v>
      </c>
      <c r="N32" s="40">
        <v>66.304118415685494</v>
      </c>
      <c r="O32" s="1">
        <f t="shared" si="10"/>
        <v>51.933</v>
      </c>
      <c r="P32" s="1">
        <f t="shared" si="11"/>
        <v>59.119</v>
      </c>
      <c r="Q32" s="1">
        <f t="shared" si="12"/>
        <v>66.304000000000002</v>
      </c>
      <c r="R32" s="14" t="str">
        <f t="shared" si="6"/>
        <v>2029Q2</v>
      </c>
      <c r="S32" s="53">
        <v>390.32869208266078</v>
      </c>
      <c r="T32" s="53">
        <v>65.717980182270196</v>
      </c>
      <c r="U32" s="53">
        <v>714.93940398305142</v>
      </c>
      <c r="V32" s="1">
        <f t="shared" si="3"/>
        <v>65.718000000000004</v>
      </c>
      <c r="W32" s="1">
        <f t="shared" si="4"/>
        <v>390.32900000000001</v>
      </c>
      <c r="X32" s="1">
        <f t="shared" si="5"/>
        <v>714.93899999999996</v>
      </c>
    </row>
    <row r="33" spans="1:24" ht="15.5" thickTop="1" thickBot="1" x14ac:dyDescent="0.4">
      <c r="A33" s="5" t="str">
        <f t="shared" si="7"/>
        <v>2029Q2</v>
      </c>
      <c r="B33" s="2">
        <f t="shared" si="13"/>
        <v>51.933</v>
      </c>
      <c r="C33" s="3">
        <f t="shared" si="13"/>
        <v>59.119</v>
      </c>
      <c r="D33" s="2">
        <f t="shared" si="13"/>
        <v>66.304000000000002</v>
      </c>
      <c r="E33" s="2">
        <f t="shared" si="14"/>
        <v>65.718000000000004</v>
      </c>
      <c r="F33" s="3">
        <f t="shared" si="14"/>
        <v>390.32900000000001</v>
      </c>
      <c r="G33" s="2">
        <f t="shared" si="14"/>
        <v>714.93899999999996</v>
      </c>
      <c r="K33" s="14" t="s">
        <v>107</v>
      </c>
      <c r="L33" s="40">
        <v>59.813038490728914</v>
      </c>
      <c r="M33" s="40">
        <v>52.627457525625829</v>
      </c>
      <c r="N33" s="40">
        <v>66.998619455831985</v>
      </c>
      <c r="O33" s="1">
        <f t="shared" si="10"/>
        <v>52.627000000000002</v>
      </c>
      <c r="P33" s="1">
        <f t="shared" si="11"/>
        <v>59.813000000000002</v>
      </c>
      <c r="Q33" s="1">
        <f t="shared" si="12"/>
        <v>66.998999999999995</v>
      </c>
      <c r="R33" s="14" t="str">
        <f t="shared" si="6"/>
        <v>2029Q3</v>
      </c>
      <c r="S33" s="53">
        <v>393.75816049062314</v>
      </c>
      <c r="T33" s="53">
        <v>63.500181480919018</v>
      </c>
      <c r="U33" s="53">
        <v>724.0161395003272</v>
      </c>
      <c r="V33" s="1">
        <f t="shared" si="3"/>
        <v>63.5</v>
      </c>
      <c r="W33" s="1">
        <f t="shared" si="4"/>
        <v>393.75799999999998</v>
      </c>
      <c r="X33" s="1">
        <f t="shared" si="5"/>
        <v>724.01599999999996</v>
      </c>
    </row>
    <row r="34" spans="1:24" ht="15.5" thickTop="1" thickBot="1" x14ac:dyDescent="0.4">
      <c r="A34" s="5" t="str">
        <f t="shared" si="7"/>
        <v>2029Q3</v>
      </c>
      <c r="B34" s="2">
        <f t="shared" si="13"/>
        <v>52.627000000000002</v>
      </c>
      <c r="C34" s="3">
        <f t="shared" si="13"/>
        <v>59.813000000000002</v>
      </c>
      <c r="D34" s="2">
        <f t="shared" si="13"/>
        <v>66.998999999999995</v>
      </c>
      <c r="E34" s="2">
        <f t="shared" si="14"/>
        <v>63.5</v>
      </c>
      <c r="F34" s="3">
        <f t="shared" si="14"/>
        <v>393.75799999999998</v>
      </c>
      <c r="G34" s="2">
        <f t="shared" si="14"/>
        <v>724.01599999999996</v>
      </c>
      <c r="K34" s="14" t="s">
        <v>108</v>
      </c>
      <c r="L34" s="40">
        <v>60.59033455962642</v>
      </c>
      <c r="M34" s="40">
        <v>53.404742225921375</v>
      </c>
      <c r="N34" s="40">
        <v>67.775926893331459</v>
      </c>
      <c r="O34" s="1">
        <f t="shared" si="10"/>
        <v>53.405000000000001</v>
      </c>
      <c r="P34" s="1">
        <f t="shared" si="11"/>
        <v>60.59</v>
      </c>
      <c r="Q34" s="1">
        <f t="shared" si="12"/>
        <v>67.775999999999996</v>
      </c>
      <c r="R34" s="14" t="str">
        <f t="shared" si="6"/>
        <v>2029Q4</v>
      </c>
      <c r="S34" s="53">
        <v>397.51832735629114</v>
      </c>
      <c r="T34" s="53">
        <v>61.708036937747679</v>
      </c>
      <c r="U34" s="53">
        <v>733.32861777483458</v>
      </c>
      <c r="V34" s="1">
        <f t="shared" si="3"/>
        <v>61.707999999999998</v>
      </c>
      <c r="W34" s="1">
        <f t="shared" si="4"/>
        <v>397.51799999999997</v>
      </c>
      <c r="X34" s="1">
        <f t="shared" si="5"/>
        <v>733.32899999999995</v>
      </c>
    </row>
    <row r="35" spans="1:24" ht="13" thickTop="1" thickBot="1" x14ac:dyDescent="0.35">
      <c r="A35" s="5" t="str">
        <f t="shared" si="7"/>
        <v>2029Q4</v>
      </c>
      <c r="B35" s="2">
        <f t="shared" si="13"/>
        <v>53.405000000000001</v>
      </c>
      <c r="C35" s="3">
        <f t="shared" si="13"/>
        <v>60.59</v>
      </c>
      <c r="D35" s="2">
        <f t="shared" si="13"/>
        <v>67.775999999999996</v>
      </c>
      <c r="E35" s="2">
        <f t="shared" si="14"/>
        <v>61.707999999999998</v>
      </c>
      <c r="F35" s="3">
        <f t="shared" si="14"/>
        <v>397.51799999999997</v>
      </c>
      <c r="G35" s="2">
        <f t="shared" si="14"/>
        <v>733.32899999999995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54.813843750000004</v>
      </c>
      <c r="F38" s="1">
        <f>AVERAGE(F4:F35)</f>
        <v>345.22593749999999</v>
      </c>
    </row>
    <row r="40" spans="1:24" ht="12.5" thickBot="1" x14ac:dyDescent="0.35"/>
    <row r="41" spans="1:24" ht="15.5" thickTop="1" thickBot="1" x14ac:dyDescent="0.4">
      <c r="A41" s="30" t="s">
        <v>51</v>
      </c>
      <c r="B41" s="31"/>
      <c r="C41" s="31"/>
      <c r="D41" s="31"/>
      <c r="E41" s="31"/>
      <c r="F41" s="31"/>
      <c r="G41" s="31"/>
      <c r="K41" s="30" t="s">
        <v>28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48.987000000000002</v>
      </c>
      <c r="D44" s="6"/>
      <c r="E44" s="6"/>
      <c r="F44" s="9">
        <f>ROUND(F4-((G4-F4)*(0.5/2)),3)</f>
        <v>285.68099999999998</v>
      </c>
      <c r="G44" s="6"/>
      <c r="K44" s="7" t="str">
        <f>A4</f>
        <v>2022Q1</v>
      </c>
      <c r="L44" s="6"/>
      <c r="M44" s="9">
        <f>ROUND(C4-((D4-C4)*(1/2)),3)</f>
        <v>48.034999999999997</v>
      </c>
      <c r="N44" s="6"/>
      <c r="O44" s="6"/>
      <c r="P44" s="9">
        <f>ROUND(F4-((G4-F4)*(1/2)),3)</f>
        <v>276.23099999999999</v>
      </c>
      <c r="Q44" s="6"/>
    </row>
    <row r="45" spans="1:24" ht="15.5" thickTop="1" thickBot="1" x14ac:dyDescent="0.4">
      <c r="A45" s="7" t="str">
        <f t="shared" ref="A45:A75" si="15">A5</f>
        <v>2022Q2</v>
      </c>
      <c r="B45" s="6"/>
      <c r="C45" s="9">
        <f t="shared" ref="C45:C75" si="16">ROUND(C5-((D5-C5)*(0.5/2)),3)</f>
        <v>52.381999999999998</v>
      </c>
      <c r="D45" s="6"/>
      <c r="E45" s="6"/>
      <c r="F45" s="9">
        <f t="shared" ref="F45:F75" si="17">ROUND(F5-((G5-F5)*(0.5/2)),3)</f>
        <v>282.79000000000002</v>
      </c>
      <c r="G45" s="6"/>
      <c r="K45" s="7" t="str">
        <f t="shared" ref="K45:K75" si="18">A5</f>
        <v>2022Q2</v>
      </c>
      <c r="L45" s="6"/>
      <c r="M45" s="9">
        <f t="shared" ref="M45:M75" si="19">ROUND(C5-((D5-C5)*(1/2)),3)</f>
        <v>51.106999999999999</v>
      </c>
      <c r="N45" s="6"/>
      <c r="O45" s="6"/>
      <c r="P45" s="9">
        <f t="shared" ref="P45:P75" si="20">ROUND(F5-((G5-F5)*(1/2)),3)</f>
        <v>267.52499999999998</v>
      </c>
      <c r="Q45" s="6"/>
    </row>
    <row r="46" spans="1:24" ht="15.5" thickTop="1" thickBot="1" x14ac:dyDescent="0.4">
      <c r="A46" s="7" t="str">
        <f t="shared" si="15"/>
        <v>2022Q3</v>
      </c>
      <c r="B46" s="6"/>
      <c r="C46" s="9">
        <f t="shared" si="16"/>
        <v>52.290999999999997</v>
      </c>
      <c r="D46" s="6"/>
      <c r="E46" s="6"/>
      <c r="F46" s="9">
        <f t="shared" si="17"/>
        <v>280.48</v>
      </c>
      <c r="G46" s="6"/>
      <c r="K46" s="7" t="str">
        <f t="shared" si="18"/>
        <v>2022Q3</v>
      </c>
      <c r="L46" s="6"/>
      <c r="M46" s="9">
        <f t="shared" si="19"/>
        <v>50.834000000000003</v>
      </c>
      <c r="N46" s="6"/>
      <c r="O46" s="6"/>
      <c r="P46" s="9">
        <f t="shared" si="20"/>
        <v>260.16399999999999</v>
      </c>
      <c r="Q46" s="6"/>
    </row>
    <row r="47" spans="1:24" ht="15.5" thickTop="1" thickBot="1" x14ac:dyDescent="0.4">
      <c r="A47" s="7" t="str">
        <f t="shared" si="15"/>
        <v>2022Q4</v>
      </c>
      <c r="B47" s="6"/>
      <c r="C47" s="9">
        <f t="shared" si="16"/>
        <v>52.454999999999998</v>
      </c>
      <c r="D47" s="6"/>
      <c r="E47" s="6"/>
      <c r="F47" s="9">
        <f t="shared" si="17"/>
        <v>279.38600000000002</v>
      </c>
      <c r="G47" s="6"/>
      <c r="K47" s="7" t="str">
        <f t="shared" si="18"/>
        <v>2022Q4</v>
      </c>
      <c r="L47" s="6"/>
      <c r="M47" s="9">
        <f t="shared" si="19"/>
        <v>50.884999999999998</v>
      </c>
      <c r="N47" s="6"/>
      <c r="O47" s="6"/>
      <c r="P47" s="9">
        <f t="shared" si="20"/>
        <v>254.6</v>
      </c>
      <c r="Q47" s="6"/>
    </row>
    <row r="48" spans="1:24" ht="15.5" thickTop="1" thickBot="1" x14ac:dyDescent="0.4">
      <c r="A48" s="7" t="str">
        <f t="shared" si="15"/>
        <v>2023Q1</v>
      </c>
      <c r="B48" s="6"/>
      <c r="C48" s="9">
        <f t="shared" si="16"/>
        <v>47.323999999999998</v>
      </c>
      <c r="D48" s="6"/>
      <c r="E48" s="6"/>
      <c r="F48" s="9">
        <f t="shared" si="17"/>
        <v>277.23</v>
      </c>
      <c r="G48" s="6"/>
      <c r="K48" s="7" t="str">
        <f t="shared" si="18"/>
        <v>2023Q1</v>
      </c>
      <c r="L48" s="6"/>
      <c r="M48" s="9">
        <f t="shared" si="19"/>
        <v>45.68</v>
      </c>
      <c r="N48" s="6"/>
      <c r="O48" s="6"/>
      <c r="P48" s="9">
        <f t="shared" si="20"/>
        <v>248.44200000000001</v>
      </c>
      <c r="Q48" s="6"/>
    </row>
    <row r="49" spans="1:17" ht="15.5" thickTop="1" thickBot="1" x14ac:dyDescent="0.4">
      <c r="A49" s="7" t="str">
        <f t="shared" si="15"/>
        <v>2023Q2</v>
      </c>
      <c r="B49" s="6"/>
      <c r="C49" s="9">
        <f t="shared" si="16"/>
        <v>51.378</v>
      </c>
      <c r="D49" s="6"/>
      <c r="E49" s="6"/>
      <c r="F49" s="9">
        <f t="shared" si="17"/>
        <v>277.642</v>
      </c>
      <c r="G49" s="6"/>
      <c r="K49" s="7" t="str">
        <f t="shared" si="18"/>
        <v>2023Q2</v>
      </c>
      <c r="L49" s="6"/>
      <c r="M49" s="9">
        <f t="shared" si="19"/>
        <v>49.686</v>
      </c>
      <c r="N49" s="6"/>
      <c r="O49" s="6"/>
      <c r="P49" s="9">
        <f t="shared" si="20"/>
        <v>245.232</v>
      </c>
      <c r="Q49" s="6"/>
    </row>
    <row r="50" spans="1:17" ht="15.5" thickTop="1" thickBot="1" x14ac:dyDescent="0.4">
      <c r="A50" s="7" t="str">
        <f t="shared" si="15"/>
        <v>2023Q3</v>
      </c>
      <c r="B50" s="6"/>
      <c r="C50" s="9">
        <f t="shared" si="16"/>
        <v>51.753999999999998</v>
      </c>
      <c r="D50" s="6"/>
      <c r="E50" s="6"/>
      <c r="F50" s="9">
        <f t="shared" si="17"/>
        <v>277.69</v>
      </c>
      <c r="G50" s="6"/>
      <c r="K50" s="7" t="str">
        <f t="shared" si="18"/>
        <v>2023Q3</v>
      </c>
      <c r="L50" s="6"/>
      <c r="M50" s="9">
        <f t="shared" si="19"/>
        <v>50.029000000000003</v>
      </c>
      <c r="N50" s="6"/>
      <c r="O50" s="6"/>
      <c r="P50" s="9">
        <f t="shared" si="20"/>
        <v>241.964</v>
      </c>
      <c r="Q50" s="6"/>
    </row>
    <row r="51" spans="1:17" ht="15.5" thickTop="1" thickBot="1" x14ac:dyDescent="0.4">
      <c r="A51" s="7" t="str">
        <f t="shared" si="15"/>
        <v>2023Q4</v>
      </c>
      <c r="B51" s="6"/>
      <c r="C51" s="9">
        <f t="shared" si="16"/>
        <v>52.273000000000003</v>
      </c>
      <c r="D51" s="6"/>
      <c r="E51" s="6"/>
      <c r="F51" s="9">
        <f t="shared" si="17"/>
        <v>278.351</v>
      </c>
      <c r="G51" s="6"/>
      <c r="K51" s="7" t="str">
        <f t="shared" si="18"/>
        <v>2023Q4</v>
      </c>
      <c r="L51" s="6"/>
      <c r="M51" s="9">
        <f t="shared" si="19"/>
        <v>50.524999999999999</v>
      </c>
      <c r="N51" s="6"/>
      <c r="O51" s="6"/>
      <c r="P51" s="9">
        <f t="shared" si="20"/>
        <v>239.56299999999999</v>
      </c>
      <c r="Q51" s="6"/>
    </row>
    <row r="52" spans="1:17" ht="15.5" thickTop="1" thickBot="1" x14ac:dyDescent="0.4">
      <c r="A52" s="7" t="str">
        <f t="shared" si="15"/>
        <v>2024Q1</v>
      </c>
      <c r="B52" s="6"/>
      <c r="C52" s="9">
        <f t="shared" si="16"/>
        <v>47.418999999999997</v>
      </c>
      <c r="D52" s="6"/>
      <c r="E52" s="6"/>
      <c r="F52" s="9">
        <f t="shared" si="17"/>
        <v>277.536</v>
      </c>
      <c r="G52" s="6"/>
      <c r="K52" s="7" t="str">
        <f t="shared" si="18"/>
        <v>2024Q1</v>
      </c>
      <c r="L52" s="6"/>
      <c r="M52" s="9">
        <f t="shared" si="19"/>
        <v>45.655999999999999</v>
      </c>
      <c r="N52" s="6"/>
      <c r="O52" s="6"/>
      <c r="P52" s="9">
        <f t="shared" si="20"/>
        <v>235.89599999999999</v>
      </c>
      <c r="Q52" s="6"/>
    </row>
    <row r="53" spans="1:17" ht="15.5" thickTop="1" thickBot="1" x14ac:dyDescent="0.4">
      <c r="A53" s="7" t="str">
        <f t="shared" si="15"/>
        <v>2024Q2</v>
      </c>
      <c r="B53" s="6"/>
      <c r="C53" s="9">
        <f t="shared" si="16"/>
        <v>51.692999999999998</v>
      </c>
      <c r="D53" s="6"/>
      <c r="E53" s="6"/>
      <c r="F53" s="9">
        <f t="shared" si="17"/>
        <v>279.00099999999998</v>
      </c>
      <c r="G53" s="6"/>
      <c r="K53" s="7" t="str">
        <f t="shared" si="18"/>
        <v>2024Q2</v>
      </c>
      <c r="L53" s="6"/>
      <c r="M53" s="9">
        <f t="shared" si="19"/>
        <v>49.92</v>
      </c>
      <c r="N53" s="6"/>
      <c r="O53" s="6"/>
      <c r="P53" s="9">
        <f t="shared" si="20"/>
        <v>234.68199999999999</v>
      </c>
      <c r="Q53" s="6"/>
    </row>
    <row r="54" spans="1:17" ht="15.5" thickTop="1" thickBot="1" x14ac:dyDescent="0.4">
      <c r="A54" s="7" t="str">
        <f t="shared" si="15"/>
        <v>2024Q3</v>
      </c>
      <c r="B54" s="6"/>
      <c r="C54" s="9">
        <f t="shared" si="16"/>
        <v>52.247</v>
      </c>
      <c r="D54" s="6"/>
      <c r="E54" s="6"/>
      <c r="F54" s="9">
        <f t="shared" si="17"/>
        <v>279.89499999999998</v>
      </c>
      <c r="G54" s="6"/>
      <c r="K54" s="7" t="str">
        <f t="shared" si="18"/>
        <v>2024Q3</v>
      </c>
      <c r="L54" s="6"/>
      <c r="M54" s="9">
        <f t="shared" si="19"/>
        <v>50.466999999999999</v>
      </c>
      <c r="N54" s="6"/>
      <c r="O54" s="6"/>
      <c r="P54" s="9">
        <f t="shared" si="20"/>
        <v>233.04599999999999</v>
      </c>
      <c r="Q54" s="6"/>
    </row>
    <row r="55" spans="1:17" ht="15.5" thickTop="1" thickBot="1" x14ac:dyDescent="0.4">
      <c r="A55" s="7" t="str">
        <f t="shared" si="15"/>
        <v>2024Q4</v>
      </c>
      <c r="B55" s="6"/>
      <c r="C55" s="9">
        <f t="shared" si="16"/>
        <v>52.91</v>
      </c>
      <c r="D55" s="6"/>
      <c r="E55" s="6"/>
      <c r="F55" s="9">
        <f t="shared" si="17"/>
        <v>281.25</v>
      </c>
      <c r="G55" s="6"/>
      <c r="K55" s="7" t="str">
        <f t="shared" si="18"/>
        <v>2024Q4</v>
      </c>
      <c r="L55" s="6"/>
      <c r="M55" s="9">
        <f t="shared" si="19"/>
        <v>51.124000000000002</v>
      </c>
      <c r="N55" s="6"/>
      <c r="O55" s="6"/>
      <c r="P55" s="9">
        <f t="shared" si="20"/>
        <v>231.999</v>
      </c>
      <c r="Q55" s="6"/>
    </row>
    <row r="56" spans="1:17" ht="15.5" thickTop="1" thickBot="1" x14ac:dyDescent="0.4">
      <c r="A56" s="7" t="str">
        <f t="shared" si="15"/>
        <v>2025Q1</v>
      </c>
      <c r="B56" s="6"/>
      <c r="C56" s="9">
        <f t="shared" si="16"/>
        <v>48.170999999999999</v>
      </c>
      <c r="D56" s="6"/>
      <c r="E56" s="6"/>
      <c r="F56" s="9">
        <f t="shared" si="17"/>
        <v>281.01600000000002</v>
      </c>
      <c r="G56" s="6"/>
      <c r="K56" s="7" t="str">
        <f t="shared" si="18"/>
        <v>2025Q1</v>
      </c>
      <c r="L56" s="6"/>
      <c r="M56" s="9">
        <f t="shared" si="19"/>
        <v>46.381999999999998</v>
      </c>
      <c r="N56" s="6"/>
      <c r="O56" s="6"/>
      <c r="P56" s="9">
        <f t="shared" si="20"/>
        <v>229.47399999999999</v>
      </c>
      <c r="Q56" s="6"/>
    </row>
    <row r="57" spans="1:17" ht="15.5" thickTop="1" thickBot="1" x14ac:dyDescent="0.4">
      <c r="A57" s="7" t="str">
        <f t="shared" si="15"/>
        <v>2025Q2</v>
      </c>
      <c r="B57" s="6"/>
      <c r="C57" s="9">
        <f t="shared" si="16"/>
        <v>52.540999999999997</v>
      </c>
      <c r="D57" s="6"/>
      <c r="E57" s="6"/>
      <c r="F57" s="9">
        <f t="shared" si="17"/>
        <v>282.97500000000002</v>
      </c>
      <c r="G57" s="6"/>
      <c r="K57" s="7" t="str">
        <f t="shared" si="18"/>
        <v>2025Q2</v>
      </c>
      <c r="L57" s="6"/>
      <c r="M57" s="9">
        <f t="shared" si="19"/>
        <v>50.75</v>
      </c>
      <c r="N57" s="6"/>
      <c r="O57" s="6"/>
      <c r="P57" s="9">
        <f t="shared" si="20"/>
        <v>229.239</v>
      </c>
      <c r="Q57" s="6"/>
    </row>
    <row r="58" spans="1:17" ht="15.5" thickTop="1" thickBot="1" x14ac:dyDescent="0.4">
      <c r="A58" s="7" t="str">
        <f t="shared" si="15"/>
        <v>2025Q3</v>
      </c>
      <c r="B58" s="6"/>
      <c r="C58" s="9">
        <f t="shared" si="16"/>
        <v>53.171999999999997</v>
      </c>
      <c r="D58" s="6"/>
      <c r="E58" s="6"/>
      <c r="F58" s="9">
        <f t="shared" si="17"/>
        <v>284.29399999999998</v>
      </c>
      <c r="G58" s="6"/>
      <c r="K58" s="7" t="str">
        <f t="shared" si="18"/>
        <v>2025Q3</v>
      </c>
      <c r="L58" s="6"/>
      <c r="M58" s="9">
        <f t="shared" si="19"/>
        <v>51.38</v>
      </c>
      <c r="N58" s="6"/>
      <c r="O58" s="6"/>
      <c r="P58" s="9">
        <f t="shared" si="20"/>
        <v>228.44900000000001</v>
      </c>
      <c r="Q58" s="6"/>
    </row>
    <row r="59" spans="1:17" ht="15.5" thickTop="1" thickBot="1" x14ac:dyDescent="0.4">
      <c r="A59" s="7" t="str">
        <f t="shared" si="15"/>
        <v>2025Q4</v>
      </c>
      <c r="B59" s="6"/>
      <c r="C59" s="9">
        <f t="shared" si="16"/>
        <v>53.896999999999998</v>
      </c>
      <c r="D59" s="6"/>
      <c r="E59" s="6"/>
      <c r="F59" s="9">
        <f t="shared" si="17"/>
        <v>286.02199999999999</v>
      </c>
      <c r="G59" s="6"/>
      <c r="K59" s="7" t="str">
        <f t="shared" si="18"/>
        <v>2025Q4</v>
      </c>
      <c r="L59" s="6"/>
      <c r="M59" s="9">
        <f t="shared" si="19"/>
        <v>52.103999999999999</v>
      </c>
      <c r="N59" s="6"/>
      <c r="O59" s="6"/>
      <c r="P59" s="9">
        <f t="shared" si="20"/>
        <v>228.14400000000001</v>
      </c>
      <c r="Q59" s="6"/>
    </row>
    <row r="60" spans="1:17" ht="15.5" thickTop="1" thickBot="1" x14ac:dyDescent="0.4">
      <c r="A60" s="7" t="str">
        <f t="shared" si="15"/>
        <v>2026Q1</v>
      </c>
      <c r="B60" s="6"/>
      <c r="C60" s="9">
        <f t="shared" si="16"/>
        <v>49.210999999999999</v>
      </c>
      <c r="D60" s="6"/>
      <c r="E60" s="6"/>
      <c r="F60" s="9">
        <f t="shared" si="17"/>
        <v>286.11900000000003</v>
      </c>
      <c r="G60" s="6"/>
      <c r="K60" s="7" t="str">
        <f t="shared" si="18"/>
        <v>2026Q1</v>
      </c>
      <c r="L60" s="6"/>
      <c r="M60" s="9">
        <f t="shared" si="19"/>
        <v>47.417000000000002</v>
      </c>
      <c r="N60" s="6"/>
      <c r="O60" s="6"/>
      <c r="P60" s="9">
        <f t="shared" si="20"/>
        <v>226.27799999999999</v>
      </c>
      <c r="Q60" s="6"/>
    </row>
    <row r="61" spans="1:17" ht="15.5" thickTop="1" thickBot="1" x14ac:dyDescent="0.4">
      <c r="A61" s="7" t="str">
        <f t="shared" si="15"/>
        <v>2026Q2</v>
      </c>
      <c r="B61" s="6"/>
      <c r="C61" s="9">
        <f t="shared" si="16"/>
        <v>53.622999999999998</v>
      </c>
      <c r="D61" s="6"/>
      <c r="E61" s="6"/>
      <c r="F61" s="9">
        <f t="shared" si="17"/>
        <v>288.37299999999999</v>
      </c>
      <c r="G61" s="6"/>
      <c r="K61" s="7" t="str">
        <f t="shared" si="18"/>
        <v>2026Q2</v>
      </c>
      <c r="L61" s="6"/>
      <c r="M61" s="9">
        <f t="shared" si="19"/>
        <v>51.828000000000003</v>
      </c>
      <c r="N61" s="6"/>
      <c r="O61" s="6"/>
      <c r="P61" s="9">
        <f t="shared" si="20"/>
        <v>226.631</v>
      </c>
      <c r="Q61" s="6"/>
    </row>
    <row r="62" spans="1:17" ht="15.5" thickTop="1" thickBot="1" x14ac:dyDescent="0.4">
      <c r="A62" s="7" t="str">
        <f t="shared" si="15"/>
        <v>2026Q3</v>
      </c>
      <c r="B62" s="6"/>
      <c r="C62" s="9">
        <f t="shared" si="16"/>
        <v>54.289000000000001</v>
      </c>
      <c r="D62" s="6"/>
      <c r="E62" s="6"/>
      <c r="F62" s="9">
        <f t="shared" si="17"/>
        <v>289.95800000000003</v>
      </c>
      <c r="G62" s="6"/>
      <c r="K62" s="7" t="str">
        <f t="shared" si="18"/>
        <v>2026Q3</v>
      </c>
      <c r="L62" s="6"/>
      <c r="M62" s="9">
        <f t="shared" si="19"/>
        <v>52.494</v>
      </c>
      <c r="N62" s="6"/>
      <c r="O62" s="6"/>
      <c r="P62" s="9">
        <f t="shared" si="20"/>
        <v>226.37100000000001</v>
      </c>
      <c r="Q62" s="6"/>
    </row>
    <row r="63" spans="1:17" ht="15.5" thickTop="1" thickBot="1" x14ac:dyDescent="0.4">
      <c r="A63" s="7" t="str">
        <f t="shared" si="15"/>
        <v>2026Q4</v>
      </c>
      <c r="B63" s="6"/>
      <c r="C63" s="9">
        <f t="shared" si="16"/>
        <v>55.043999999999997</v>
      </c>
      <c r="D63" s="6"/>
      <c r="E63" s="6"/>
      <c r="F63" s="9">
        <f t="shared" si="17"/>
        <v>291.92500000000001</v>
      </c>
      <c r="G63" s="6"/>
      <c r="K63" s="7" t="str">
        <f t="shared" si="18"/>
        <v>2026Q4</v>
      </c>
      <c r="L63" s="6"/>
      <c r="M63" s="9">
        <f t="shared" si="19"/>
        <v>53.249000000000002</v>
      </c>
      <c r="N63" s="6"/>
      <c r="O63" s="6"/>
      <c r="P63" s="9">
        <f t="shared" si="20"/>
        <v>226.547</v>
      </c>
      <c r="Q63" s="6"/>
    </row>
    <row r="64" spans="1:17" ht="15.5" thickTop="1" thickBot="1" x14ac:dyDescent="0.4">
      <c r="A64" s="7" t="str">
        <f t="shared" si="15"/>
        <v>2027Q1</v>
      </c>
      <c r="B64" s="6"/>
      <c r="C64" s="9">
        <f t="shared" si="16"/>
        <v>50.381999999999998</v>
      </c>
      <c r="D64" s="6"/>
      <c r="E64" s="6"/>
      <c r="F64" s="9">
        <f t="shared" si="17"/>
        <v>292.24099999999999</v>
      </c>
      <c r="G64" s="6"/>
      <c r="K64" s="7" t="str">
        <f t="shared" si="18"/>
        <v>2027Q1</v>
      </c>
      <c r="L64" s="6"/>
      <c r="M64" s="9">
        <f t="shared" si="19"/>
        <v>48.585999999999999</v>
      </c>
      <c r="N64" s="6"/>
      <c r="O64" s="6"/>
      <c r="P64" s="9">
        <f t="shared" si="20"/>
        <v>225.11799999999999</v>
      </c>
      <c r="Q64" s="6"/>
    </row>
    <row r="65" spans="1:17" ht="15.5" thickTop="1" thickBot="1" x14ac:dyDescent="0.4">
      <c r="A65" s="7" t="str">
        <f t="shared" si="15"/>
        <v>2027Q2</v>
      </c>
      <c r="B65" s="6"/>
      <c r="C65" s="9">
        <f t="shared" si="16"/>
        <v>54.814</v>
      </c>
      <c r="D65" s="6"/>
      <c r="E65" s="6"/>
      <c r="F65" s="9">
        <f t="shared" si="17"/>
        <v>294.69600000000003</v>
      </c>
      <c r="G65" s="6"/>
      <c r="K65" s="7" t="str">
        <f t="shared" si="18"/>
        <v>2027Q2</v>
      </c>
      <c r="L65" s="6"/>
      <c r="M65" s="9">
        <f t="shared" si="19"/>
        <v>53.018000000000001</v>
      </c>
      <c r="N65" s="6"/>
      <c r="O65" s="6"/>
      <c r="P65" s="9">
        <f t="shared" si="20"/>
        <v>225.87200000000001</v>
      </c>
      <c r="Q65" s="6"/>
    </row>
    <row r="66" spans="1:17" ht="15.5" thickTop="1" thickBot="1" x14ac:dyDescent="0.4">
      <c r="A66" s="7" t="str">
        <f t="shared" si="15"/>
        <v>2027Q3</v>
      </c>
      <c r="B66" s="6"/>
      <c r="C66" s="9">
        <f t="shared" si="16"/>
        <v>55.497</v>
      </c>
      <c r="D66" s="6"/>
      <c r="E66" s="6"/>
      <c r="F66" s="9">
        <f t="shared" si="17"/>
        <v>296.46699999999998</v>
      </c>
      <c r="G66" s="6"/>
      <c r="K66" s="7" t="str">
        <f t="shared" si="18"/>
        <v>2027Q3</v>
      </c>
      <c r="L66" s="6"/>
      <c r="M66" s="9">
        <f t="shared" si="19"/>
        <v>53.701000000000001</v>
      </c>
      <c r="N66" s="6"/>
      <c r="O66" s="6"/>
      <c r="P66" s="9">
        <f t="shared" si="20"/>
        <v>225.98400000000001</v>
      </c>
      <c r="Q66" s="6"/>
    </row>
    <row r="67" spans="1:17" ht="15.5" thickTop="1" thickBot="1" x14ac:dyDescent="0.4">
      <c r="A67" s="7" t="str">
        <f t="shared" si="15"/>
        <v>2027Q4</v>
      </c>
      <c r="B67" s="6"/>
      <c r="C67" s="9">
        <f t="shared" si="16"/>
        <v>56.265000000000001</v>
      </c>
      <c r="D67" s="6"/>
      <c r="E67" s="6"/>
      <c r="F67" s="9">
        <f t="shared" si="17"/>
        <v>298.60599999999999</v>
      </c>
      <c r="G67" s="6"/>
      <c r="K67" s="7" t="str">
        <f t="shared" si="18"/>
        <v>2027Q4</v>
      </c>
      <c r="L67" s="6"/>
      <c r="M67" s="9">
        <f t="shared" si="19"/>
        <v>54.469000000000001</v>
      </c>
      <c r="N67" s="6"/>
      <c r="O67" s="6"/>
      <c r="P67" s="9">
        <f t="shared" si="20"/>
        <v>226.50200000000001</v>
      </c>
      <c r="Q67" s="6"/>
    </row>
    <row r="68" spans="1:17" ht="15.5" thickTop="1" thickBot="1" x14ac:dyDescent="0.4">
      <c r="A68" s="7" t="str">
        <f t="shared" si="15"/>
        <v>2028Q1</v>
      </c>
      <c r="B68" s="6"/>
      <c r="C68" s="9">
        <f t="shared" si="16"/>
        <v>51.615000000000002</v>
      </c>
      <c r="D68" s="6"/>
      <c r="E68" s="6"/>
      <c r="F68" s="9">
        <f t="shared" si="17"/>
        <v>299.08</v>
      </c>
      <c r="G68" s="6"/>
      <c r="K68" s="7" t="str">
        <f t="shared" si="18"/>
        <v>2028Q1</v>
      </c>
      <c r="L68" s="6"/>
      <c r="M68" s="9">
        <f t="shared" si="19"/>
        <v>49.819000000000003</v>
      </c>
      <c r="N68" s="6"/>
      <c r="O68" s="6"/>
      <c r="P68" s="9">
        <f t="shared" si="20"/>
        <v>225.39099999999999</v>
      </c>
      <c r="Q68" s="6"/>
    </row>
    <row r="69" spans="1:17" ht="15.5" thickTop="1" thickBot="1" x14ac:dyDescent="0.4">
      <c r="A69" s="7" t="str">
        <f t="shared" si="15"/>
        <v>2028Q2</v>
      </c>
      <c r="B69" s="6"/>
      <c r="C69" s="9">
        <f t="shared" si="16"/>
        <v>56.057000000000002</v>
      </c>
      <c r="D69" s="6"/>
      <c r="E69" s="6"/>
      <c r="F69" s="9">
        <f t="shared" si="17"/>
        <v>301.68299999999999</v>
      </c>
      <c r="G69" s="6"/>
      <c r="K69" s="7" t="str">
        <f t="shared" si="18"/>
        <v>2028Q2</v>
      </c>
      <c r="L69" s="6"/>
      <c r="M69" s="9">
        <f t="shared" si="19"/>
        <v>54.261000000000003</v>
      </c>
      <c r="N69" s="6"/>
      <c r="O69" s="6"/>
      <c r="P69" s="9">
        <f t="shared" si="20"/>
        <v>226.44200000000001</v>
      </c>
      <c r="Q69" s="6"/>
    </row>
    <row r="70" spans="1:17" ht="15.5" thickTop="1" thickBot="1" x14ac:dyDescent="0.4">
      <c r="A70" s="7" t="str">
        <f t="shared" si="15"/>
        <v>2028Q3</v>
      </c>
      <c r="B70" s="6"/>
      <c r="C70" s="9">
        <f t="shared" si="16"/>
        <v>56.747</v>
      </c>
      <c r="D70" s="6"/>
      <c r="E70" s="6"/>
      <c r="F70" s="9">
        <f t="shared" si="17"/>
        <v>303.59300000000002</v>
      </c>
      <c r="G70" s="6"/>
      <c r="K70" s="7" t="str">
        <f t="shared" si="18"/>
        <v>2028Q3</v>
      </c>
      <c r="L70" s="6"/>
      <c r="M70" s="9">
        <f t="shared" si="19"/>
        <v>54.95</v>
      </c>
      <c r="N70" s="6"/>
      <c r="O70" s="6"/>
      <c r="P70" s="9">
        <f t="shared" si="20"/>
        <v>226.83099999999999</v>
      </c>
      <c r="Q70" s="6"/>
    </row>
    <row r="71" spans="1:17" ht="15.5" thickTop="1" thickBot="1" x14ac:dyDescent="0.4">
      <c r="A71" s="7" t="str">
        <f t="shared" si="15"/>
        <v>2028Q4</v>
      </c>
      <c r="B71" s="6"/>
      <c r="C71" s="9">
        <f t="shared" si="16"/>
        <v>57.521999999999998</v>
      </c>
      <c r="D71" s="6"/>
      <c r="E71" s="6"/>
      <c r="F71" s="9">
        <f t="shared" si="17"/>
        <v>305.86200000000002</v>
      </c>
      <c r="G71" s="6"/>
      <c r="K71" s="7" t="str">
        <f t="shared" si="18"/>
        <v>2028Q4</v>
      </c>
      <c r="L71" s="6"/>
      <c r="M71" s="9">
        <f t="shared" si="19"/>
        <v>55.725999999999999</v>
      </c>
      <c r="N71" s="6"/>
      <c r="O71" s="6"/>
      <c r="P71" s="9">
        <f t="shared" si="20"/>
        <v>227.60900000000001</v>
      </c>
      <c r="Q71" s="6"/>
    </row>
    <row r="72" spans="1:17" ht="15.5" thickTop="1" thickBot="1" x14ac:dyDescent="0.4">
      <c r="A72" s="7" t="str">
        <f t="shared" si="15"/>
        <v>2029Q1</v>
      </c>
      <c r="B72" s="6"/>
      <c r="C72" s="9">
        <f t="shared" si="16"/>
        <v>52.877000000000002</v>
      </c>
      <c r="D72" s="6"/>
      <c r="E72" s="6"/>
      <c r="F72" s="9">
        <f t="shared" si="17"/>
        <v>306.45800000000003</v>
      </c>
      <c r="G72" s="6"/>
      <c r="K72" s="7" t="str">
        <f t="shared" si="18"/>
        <v>2029Q1</v>
      </c>
      <c r="L72" s="6"/>
      <c r="M72" s="9">
        <f t="shared" si="19"/>
        <v>51.081000000000003</v>
      </c>
      <c r="N72" s="6"/>
      <c r="O72" s="6"/>
      <c r="P72" s="9">
        <f t="shared" si="20"/>
        <v>226.74299999999999</v>
      </c>
      <c r="Q72" s="6"/>
    </row>
    <row r="73" spans="1:17" ht="15.5" thickTop="1" thickBot="1" x14ac:dyDescent="0.4">
      <c r="A73" s="7" t="str">
        <f t="shared" si="15"/>
        <v>2029Q2</v>
      </c>
      <c r="B73" s="6"/>
      <c r="C73" s="9">
        <f t="shared" si="16"/>
        <v>57.323</v>
      </c>
      <c r="D73" s="6"/>
      <c r="E73" s="6"/>
      <c r="F73" s="9">
        <f t="shared" si="17"/>
        <v>309.17700000000002</v>
      </c>
      <c r="G73" s="6"/>
      <c r="K73" s="7" t="str">
        <f t="shared" si="18"/>
        <v>2029Q2</v>
      </c>
      <c r="L73" s="6"/>
      <c r="M73" s="9">
        <f t="shared" si="19"/>
        <v>55.527000000000001</v>
      </c>
      <c r="N73" s="6"/>
      <c r="O73" s="6"/>
      <c r="P73" s="9">
        <f t="shared" si="20"/>
        <v>228.024</v>
      </c>
      <c r="Q73" s="6"/>
    </row>
    <row r="74" spans="1:17" ht="15.5" thickTop="1" thickBot="1" x14ac:dyDescent="0.4">
      <c r="A74" s="7" t="str">
        <f t="shared" si="15"/>
        <v>2029Q3</v>
      </c>
      <c r="B74" s="6"/>
      <c r="C74" s="9">
        <f t="shared" si="16"/>
        <v>58.017000000000003</v>
      </c>
      <c r="D74" s="6"/>
      <c r="E74" s="6"/>
      <c r="F74" s="9">
        <f t="shared" si="17"/>
        <v>311.19400000000002</v>
      </c>
      <c r="G74" s="6"/>
      <c r="K74" s="7" t="str">
        <f t="shared" si="18"/>
        <v>2029Q3</v>
      </c>
      <c r="L74" s="6"/>
      <c r="M74" s="9">
        <f t="shared" si="19"/>
        <v>56.22</v>
      </c>
      <c r="N74" s="6"/>
      <c r="O74" s="6"/>
      <c r="P74" s="9">
        <f t="shared" si="20"/>
        <v>228.62899999999999</v>
      </c>
      <c r="Q74" s="6"/>
    </row>
    <row r="75" spans="1:17" ht="15.5" thickTop="1" thickBot="1" x14ac:dyDescent="0.4">
      <c r="A75" s="7" t="str">
        <f t="shared" si="15"/>
        <v>2029Q4</v>
      </c>
      <c r="B75" s="6"/>
      <c r="C75" s="9">
        <f t="shared" si="16"/>
        <v>58.793999999999997</v>
      </c>
      <c r="D75" s="6"/>
      <c r="E75" s="6"/>
      <c r="F75" s="9">
        <f t="shared" si="17"/>
        <v>313.565</v>
      </c>
      <c r="G75" s="6"/>
      <c r="K75" s="7" t="str">
        <f t="shared" si="18"/>
        <v>2029Q4</v>
      </c>
      <c r="L75" s="6"/>
      <c r="M75" s="9">
        <f t="shared" si="19"/>
        <v>56.997</v>
      </c>
      <c r="N75" s="6"/>
      <c r="O75" s="6"/>
      <c r="P75" s="9">
        <f t="shared" si="20"/>
        <v>229.613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6"/>
  <sheetViews>
    <sheetView zoomScale="85" zoomScaleNormal="85" workbookViewId="0">
      <selection activeCell="S3" sqref="S3:U34"/>
    </sheetView>
  </sheetViews>
  <sheetFormatPr defaultColWidth="9.1796875" defaultRowHeight="12" x14ac:dyDescent="0.3"/>
  <cols>
    <col min="1" max="1" width="6.453125" style="1" bestFit="1" customWidth="1"/>
    <col min="2" max="2" width="11" style="1" bestFit="1" customWidth="1"/>
    <col min="3" max="3" width="12.81640625" style="1" bestFit="1" customWidth="1"/>
    <col min="4" max="4" width="11.1796875" style="1" bestFit="1" customWidth="1"/>
    <col min="5" max="5" width="11" style="1" bestFit="1" customWidth="1"/>
    <col min="6" max="6" width="12.81640625" style="1" bestFit="1" customWidth="1"/>
    <col min="7" max="7" width="11.1796875" style="1" bestFit="1" customWidth="1"/>
    <col min="8" max="12" width="9.1796875" style="1"/>
    <col min="13" max="13" width="19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4" t="s">
        <v>6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2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1">
        <v>108.13119202464146</v>
      </c>
      <c r="M3" s="41">
        <v>78.089063231002626</v>
      </c>
      <c r="N3" s="41">
        <v>138.1733208182803</v>
      </c>
      <c r="O3" s="1">
        <f>ROUND(M3,3)</f>
        <v>78.088999999999999</v>
      </c>
      <c r="P3" s="1">
        <f>ROUND(L3,3)</f>
        <v>108.131</v>
      </c>
      <c r="Q3" s="1">
        <f>ROUND(N3,3)</f>
        <v>138.173</v>
      </c>
      <c r="R3" s="14" t="str">
        <f>K3</f>
        <v>2022Q1</v>
      </c>
      <c r="S3" s="54">
        <v>19496.863329148589</v>
      </c>
      <c r="T3" s="54">
        <v>16605.687500813372</v>
      </c>
      <c r="U3" s="54">
        <v>22388.039157483807</v>
      </c>
      <c r="V3" s="1">
        <f t="shared" ref="V3:V34" si="0">ROUND(T3,3)</f>
        <v>16605.687999999998</v>
      </c>
      <c r="W3" s="1">
        <f t="shared" ref="W3:W34" si="1">ROUND(S3,3)</f>
        <v>19496.863000000001</v>
      </c>
      <c r="X3" s="1">
        <f t="shared" ref="X3:X34" si="2">ROUND(U3,3)</f>
        <v>22388.039000000001</v>
      </c>
    </row>
    <row r="4" spans="1:30" ht="15.5" thickTop="1" thickBot="1" x14ac:dyDescent="0.4">
      <c r="A4" s="5" t="str">
        <f>K3</f>
        <v>2022Q1</v>
      </c>
      <c r="B4" s="2">
        <f>O3</f>
        <v>78.088999999999999</v>
      </c>
      <c r="C4" s="3">
        <f>P3</f>
        <v>108.131</v>
      </c>
      <c r="D4" s="2">
        <f>Q3</f>
        <v>138.173</v>
      </c>
      <c r="E4" s="2">
        <f>V3</f>
        <v>16605.687999999998</v>
      </c>
      <c r="F4" s="3">
        <f>W3</f>
        <v>19496.863000000001</v>
      </c>
      <c r="G4" s="2">
        <f>X3</f>
        <v>22388.039000000001</v>
      </c>
      <c r="K4" s="14" t="s">
        <v>68</v>
      </c>
      <c r="L4" s="41">
        <v>109.68095577783946</v>
      </c>
      <c r="M4" s="41">
        <v>75.285503706405393</v>
      </c>
      <c r="N4" s="41">
        <v>144.07640784927352</v>
      </c>
      <c r="O4" s="1">
        <f t="shared" ref="O4:O15" si="3">ROUND(M4,3)</f>
        <v>75.286000000000001</v>
      </c>
      <c r="P4" s="1">
        <f t="shared" ref="P4:P15" si="4">ROUND(L4,3)</f>
        <v>109.681</v>
      </c>
      <c r="Q4" s="1">
        <f t="shared" ref="Q4:Q15" si="5">ROUND(N4,3)</f>
        <v>144.07599999999999</v>
      </c>
      <c r="R4" s="14" t="str">
        <f t="shared" ref="R4:R34" si="6">K4</f>
        <v>2022Q2</v>
      </c>
      <c r="S4" s="54">
        <v>20000.99746242768</v>
      </c>
      <c r="T4" s="54">
        <v>14869.081483147527</v>
      </c>
      <c r="U4" s="54">
        <v>25132.913441707835</v>
      </c>
      <c r="V4" s="1">
        <f t="shared" si="0"/>
        <v>14869.081</v>
      </c>
      <c r="W4" s="1">
        <f t="shared" si="1"/>
        <v>20000.996999999999</v>
      </c>
      <c r="X4" s="1">
        <f t="shared" si="2"/>
        <v>25132.913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75.286000000000001</v>
      </c>
      <c r="C5" s="3">
        <f t="shared" si="8"/>
        <v>109.681</v>
      </c>
      <c r="D5" s="2">
        <f t="shared" si="8"/>
        <v>144.07599999999999</v>
      </c>
      <c r="E5" s="2">
        <f t="shared" ref="E5:G20" si="9">V4</f>
        <v>14869.081</v>
      </c>
      <c r="F5" s="3">
        <f t="shared" si="9"/>
        <v>20000.996999999999</v>
      </c>
      <c r="G5" s="2">
        <f t="shared" si="9"/>
        <v>25132.913</v>
      </c>
      <c r="I5" s="1">
        <f>SUM(F5:F8)</f>
        <v>80815.7</v>
      </c>
      <c r="K5" s="14" t="s">
        <v>69</v>
      </c>
      <c r="L5" s="41">
        <v>111.25118309597283</v>
      </c>
      <c r="M5" s="41">
        <v>74.031910129295909</v>
      </c>
      <c r="N5" s="41">
        <v>148.47045606264973</v>
      </c>
      <c r="O5" s="1">
        <f t="shared" si="3"/>
        <v>74.031999999999996</v>
      </c>
      <c r="P5" s="1">
        <f t="shared" si="4"/>
        <v>111.251</v>
      </c>
      <c r="Q5" s="1">
        <f t="shared" si="5"/>
        <v>148.47</v>
      </c>
      <c r="R5" s="14" t="str">
        <f t="shared" si="6"/>
        <v>2022Q3</v>
      </c>
      <c r="S5" s="54">
        <v>20024.664519848266</v>
      </c>
      <c r="T5" s="54">
        <v>13761.066490114697</v>
      </c>
      <c r="U5" s="54">
        <v>26288.262549581836</v>
      </c>
      <c r="V5" s="1">
        <f t="shared" si="0"/>
        <v>13761.066000000001</v>
      </c>
      <c r="W5" s="1">
        <f t="shared" si="1"/>
        <v>20024.665000000001</v>
      </c>
      <c r="X5" s="1">
        <f t="shared" si="2"/>
        <v>26288.262999999999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74.031999999999996</v>
      </c>
      <c r="C6" s="3">
        <f t="shared" si="8"/>
        <v>111.251</v>
      </c>
      <c r="D6" s="2">
        <f t="shared" si="8"/>
        <v>148.47</v>
      </c>
      <c r="E6" s="2">
        <f t="shared" si="9"/>
        <v>13761.066000000001</v>
      </c>
      <c r="F6" s="3">
        <f t="shared" si="9"/>
        <v>20024.665000000001</v>
      </c>
      <c r="G6" s="2">
        <f t="shared" si="9"/>
        <v>26288.262999999999</v>
      </c>
      <c r="I6" s="1">
        <f>SUM(F9:F12)</f>
        <v>84385.573000000004</v>
      </c>
      <c r="K6" s="14" t="s">
        <v>70</v>
      </c>
      <c r="L6" s="41">
        <v>112.84196853479285</v>
      </c>
      <c r="M6" s="41">
        <v>73.713190347231219</v>
      </c>
      <c r="N6" s="41">
        <v>151.97074672235448</v>
      </c>
      <c r="O6" s="1">
        <f t="shared" si="3"/>
        <v>73.712999999999994</v>
      </c>
      <c r="P6" s="1">
        <f t="shared" si="4"/>
        <v>112.842</v>
      </c>
      <c r="Q6" s="1">
        <f t="shared" si="5"/>
        <v>151.971</v>
      </c>
      <c r="R6" s="14" t="str">
        <f t="shared" si="6"/>
        <v>2022Q4</v>
      </c>
      <c r="S6" s="54">
        <v>20279.45258282065</v>
      </c>
      <c r="T6" s="54">
        <v>12899.189996177443</v>
      </c>
      <c r="U6" s="54">
        <v>27659.715169463856</v>
      </c>
      <c r="V6" s="1">
        <f t="shared" si="0"/>
        <v>12899.19</v>
      </c>
      <c r="W6" s="1">
        <f t="shared" si="1"/>
        <v>20279.453000000001</v>
      </c>
      <c r="X6" s="1">
        <f t="shared" si="2"/>
        <v>27659.715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73.712999999999994</v>
      </c>
      <c r="C7" s="3">
        <f t="shared" si="8"/>
        <v>112.842</v>
      </c>
      <c r="D7" s="2">
        <f t="shared" si="8"/>
        <v>151.971</v>
      </c>
      <c r="E7" s="2">
        <f t="shared" si="9"/>
        <v>12899.19</v>
      </c>
      <c r="F7" s="3">
        <f t="shared" si="9"/>
        <v>20279.453000000001</v>
      </c>
      <c r="G7" s="2">
        <f t="shared" si="9"/>
        <v>27659.715</v>
      </c>
      <c r="I7" s="1">
        <f>SUM(F13:F16)</f>
        <v>87988.207000000009</v>
      </c>
      <c r="K7" s="14" t="s">
        <v>71</v>
      </c>
      <c r="L7" s="41">
        <v>114.574157342812</v>
      </c>
      <c r="M7" s="41">
        <v>74.124680535547895</v>
      </c>
      <c r="N7" s="41">
        <v>155.02363415007611</v>
      </c>
      <c r="O7" s="1">
        <f t="shared" si="3"/>
        <v>74.125</v>
      </c>
      <c r="P7" s="1">
        <f t="shared" si="4"/>
        <v>114.574</v>
      </c>
      <c r="Q7" s="1">
        <f t="shared" si="5"/>
        <v>155.024</v>
      </c>
      <c r="R7" s="14" t="str">
        <f t="shared" si="6"/>
        <v>2023Q1</v>
      </c>
      <c r="S7" s="54">
        <v>20510.584722619875</v>
      </c>
      <c r="T7" s="54">
        <v>12230.846029959903</v>
      </c>
      <c r="U7" s="54">
        <v>28790.323415279847</v>
      </c>
      <c r="V7" s="1">
        <f t="shared" si="0"/>
        <v>12230.846</v>
      </c>
      <c r="W7" s="1">
        <f t="shared" si="1"/>
        <v>20510.584999999999</v>
      </c>
      <c r="X7" s="1">
        <f t="shared" si="2"/>
        <v>28790.323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74.125</v>
      </c>
      <c r="C8" s="3">
        <f t="shared" si="8"/>
        <v>114.574</v>
      </c>
      <c r="D8" s="2">
        <f t="shared" si="8"/>
        <v>155.024</v>
      </c>
      <c r="E8" s="2">
        <f t="shared" si="9"/>
        <v>12230.846</v>
      </c>
      <c r="F8" s="3">
        <f t="shared" si="9"/>
        <v>20510.584999999999</v>
      </c>
      <c r="G8" s="2">
        <f t="shared" si="9"/>
        <v>28790.323</v>
      </c>
      <c r="I8" s="1">
        <f>SUM(F17:F20)</f>
        <v>91592.597000000009</v>
      </c>
      <c r="K8" s="14" t="s">
        <v>72</v>
      </c>
      <c r="L8" s="41">
        <v>116.10058072630133</v>
      </c>
      <c r="M8" s="41">
        <v>74.725144586356549</v>
      </c>
      <c r="N8" s="41">
        <v>157.47601686624611</v>
      </c>
      <c r="O8" s="1">
        <f t="shared" si="3"/>
        <v>74.724999999999994</v>
      </c>
      <c r="P8" s="1">
        <f t="shared" si="4"/>
        <v>116.101</v>
      </c>
      <c r="Q8" s="1">
        <f t="shared" si="5"/>
        <v>157.476</v>
      </c>
      <c r="R8" s="14" t="str">
        <f t="shared" si="6"/>
        <v>2023Q2</v>
      </c>
      <c r="S8" s="54">
        <v>20847.950624283993</v>
      </c>
      <c r="T8" s="54">
        <v>11727.238343135055</v>
      </c>
      <c r="U8" s="54">
        <v>29968.662905432931</v>
      </c>
      <c r="V8" s="1">
        <f t="shared" si="0"/>
        <v>11727.237999999999</v>
      </c>
      <c r="W8" s="1">
        <f t="shared" si="1"/>
        <v>20847.951000000001</v>
      </c>
      <c r="X8" s="1">
        <f t="shared" si="2"/>
        <v>29968.663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74.724999999999994</v>
      </c>
      <c r="C9" s="3">
        <f t="shared" si="8"/>
        <v>116.101</v>
      </c>
      <c r="D9" s="2">
        <f t="shared" si="8"/>
        <v>157.476</v>
      </c>
      <c r="E9" s="2">
        <f t="shared" si="9"/>
        <v>11727.237999999999</v>
      </c>
      <c r="F9" s="3">
        <f t="shared" si="9"/>
        <v>20847.951000000001</v>
      </c>
      <c r="G9" s="2">
        <f t="shared" si="9"/>
        <v>29968.663</v>
      </c>
      <c r="I9" s="1">
        <f>SUM(F21:F24)</f>
        <v>95197.079999999987</v>
      </c>
      <c r="K9" s="14" t="s">
        <v>73</v>
      </c>
      <c r="L9" s="41">
        <v>117.6509906115638</v>
      </c>
      <c r="M9" s="41">
        <v>75.62067587249625</v>
      </c>
      <c r="N9" s="41">
        <v>159.68130535063133</v>
      </c>
      <c r="O9" s="1">
        <f t="shared" si="3"/>
        <v>75.620999999999995</v>
      </c>
      <c r="P9" s="1">
        <f t="shared" si="4"/>
        <v>117.651</v>
      </c>
      <c r="Q9" s="1">
        <f t="shared" si="5"/>
        <v>159.68100000000001</v>
      </c>
      <c r="R9" s="14" t="str">
        <f t="shared" si="6"/>
        <v>2023Q3</v>
      </c>
      <c r="S9" s="54">
        <v>20951.846287198212</v>
      </c>
      <c r="T9" s="54">
        <v>11074.8018014426</v>
      </c>
      <c r="U9" s="54">
        <v>30828.890772953826</v>
      </c>
      <c r="V9" s="1">
        <f t="shared" si="0"/>
        <v>11074.802</v>
      </c>
      <c r="W9" s="1">
        <f t="shared" si="1"/>
        <v>20951.846000000001</v>
      </c>
      <c r="X9" s="1">
        <f t="shared" si="2"/>
        <v>30828.891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75.620999999999995</v>
      </c>
      <c r="C10" s="3">
        <f t="shared" si="8"/>
        <v>117.651</v>
      </c>
      <c r="D10" s="2">
        <f t="shared" si="8"/>
        <v>159.68100000000001</v>
      </c>
      <c r="E10" s="2">
        <f t="shared" si="9"/>
        <v>11074.802</v>
      </c>
      <c r="F10" s="3">
        <f t="shared" si="9"/>
        <v>20951.846000000001</v>
      </c>
      <c r="G10" s="2">
        <f t="shared" si="9"/>
        <v>30828.891</v>
      </c>
      <c r="I10" s="1">
        <f>SUM(F25:F28)</f>
        <v>98801.569000000003</v>
      </c>
      <c r="K10" s="14" t="s">
        <v>74</v>
      </c>
      <c r="L10" s="41">
        <v>119.22494981110418</v>
      </c>
      <c r="M10" s="41">
        <v>76.728788012482241</v>
      </c>
      <c r="N10" s="41">
        <v>161.72111160972611</v>
      </c>
      <c r="O10" s="1">
        <f t="shared" si="3"/>
        <v>76.728999999999999</v>
      </c>
      <c r="P10" s="1">
        <f t="shared" si="4"/>
        <v>119.22499999999999</v>
      </c>
      <c r="Q10" s="1">
        <f t="shared" si="5"/>
        <v>161.721</v>
      </c>
      <c r="R10" s="14" t="str">
        <f t="shared" si="6"/>
        <v>2023Q4</v>
      </c>
      <c r="S10" s="54">
        <v>21168.038095493543</v>
      </c>
      <c r="T10" s="54">
        <v>10582.592187751186</v>
      </c>
      <c r="U10" s="54">
        <v>31753.484003235899</v>
      </c>
      <c r="V10" s="1">
        <f t="shared" si="0"/>
        <v>10582.592000000001</v>
      </c>
      <c r="W10" s="1">
        <f t="shared" si="1"/>
        <v>21168.038</v>
      </c>
      <c r="X10" s="1">
        <f t="shared" si="2"/>
        <v>31753.484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76.728999999999999</v>
      </c>
      <c r="C11" s="3">
        <f t="shared" si="8"/>
        <v>119.22499999999999</v>
      </c>
      <c r="D11" s="2">
        <f t="shared" si="8"/>
        <v>161.721</v>
      </c>
      <c r="E11" s="2">
        <f t="shared" si="9"/>
        <v>10582.592000000001</v>
      </c>
      <c r="F11" s="3">
        <f t="shared" si="9"/>
        <v>21168.038</v>
      </c>
      <c r="G11" s="2">
        <f t="shared" si="9"/>
        <v>31753.484</v>
      </c>
      <c r="I11" s="1">
        <f>SUM(F29:F32)</f>
        <v>102406.058</v>
      </c>
      <c r="K11" s="14" t="s">
        <v>75</v>
      </c>
      <c r="L11" s="41">
        <v>120.94285209017985</v>
      </c>
      <c r="M11" s="41">
        <v>78.114000794505969</v>
      </c>
      <c r="N11" s="41">
        <v>163.77170338585373</v>
      </c>
      <c r="O11" s="1">
        <f t="shared" si="3"/>
        <v>78.114000000000004</v>
      </c>
      <c r="P11" s="1">
        <f t="shared" si="4"/>
        <v>120.943</v>
      </c>
      <c r="Q11" s="1">
        <f t="shared" si="5"/>
        <v>163.77199999999999</v>
      </c>
      <c r="R11" s="14" t="str">
        <f t="shared" si="6"/>
        <v>2024Q1</v>
      </c>
      <c r="S11" s="54">
        <v>21417.738062390476</v>
      </c>
      <c r="T11" s="54">
        <v>10171.13255779829</v>
      </c>
      <c r="U11" s="54">
        <v>32664.343566982661</v>
      </c>
      <c r="V11" s="1">
        <f t="shared" si="0"/>
        <v>10171.133</v>
      </c>
      <c r="W11" s="1">
        <f t="shared" si="1"/>
        <v>21417.738000000001</v>
      </c>
      <c r="X11" s="1">
        <f t="shared" si="2"/>
        <v>32664.344000000001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78.114000000000004</v>
      </c>
      <c r="C12" s="3">
        <f t="shared" si="8"/>
        <v>120.943</v>
      </c>
      <c r="D12" s="2">
        <f t="shared" si="8"/>
        <v>163.77199999999999</v>
      </c>
      <c r="E12" s="2">
        <f t="shared" si="9"/>
        <v>10171.133</v>
      </c>
      <c r="F12" s="3">
        <f t="shared" si="9"/>
        <v>21417.738000000001</v>
      </c>
      <c r="G12" s="2">
        <f t="shared" si="9"/>
        <v>32664.344000000001</v>
      </c>
      <c r="K12" s="14" t="s">
        <v>76</v>
      </c>
      <c r="L12" s="41">
        <v>122.45714531755644</v>
      </c>
      <c r="M12" s="41">
        <v>79.390049944426835</v>
      </c>
      <c r="N12" s="41">
        <v>165.52424069068604</v>
      </c>
      <c r="O12" s="1">
        <f t="shared" si="3"/>
        <v>79.39</v>
      </c>
      <c r="P12" s="1">
        <f t="shared" si="4"/>
        <v>122.45699999999999</v>
      </c>
      <c r="Q12" s="1">
        <f t="shared" si="5"/>
        <v>165.524</v>
      </c>
      <c r="R12" s="14" t="str">
        <f t="shared" si="6"/>
        <v>2024Q2</v>
      </c>
      <c r="S12" s="54">
        <v>21746.171382227287</v>
      </c>
      <c r="T12" s="54">
        <v>9873.9337973135298</v>
      </c>
      <c r="U12" s="54">
        <v>33618.408967141047</v>
      </c>
      <c r="V12" s="1">
        <f t="shared" si="0"/>
        <v>9873.9339999999993</v>
      </c>
      <c r="W12" s="1">
        <f t="shared" si="1"/>
        <v>21746.170999999998</v>
      </c>
      <c r="X12" s="1">
        <f t="shared" si="2"/>
        <v>33618.409</v>
      </c>
    </row>
    <row r="13" spans="1:30" ht="15.5" thickTop="1" thickBot="1" x14ac:dyDescent="0.4">
      <c r="A13" s="5" t="str">
        <f t="shared" si="7"/>
        <v>2024Q2</v>
      </c>
      <c r="B13" s="2">
        <f t="shared" si="8"/>
        <v>79.39</v>
      </c>
      <c r="C13" s="3">
        <f t="shared" si="8"/>
        <v>122.45699999999999</v>
      </c>
      <c r="D13" s="2">
        <f t="shared" si="8"/>
        <v>165.524</v>
      </c>
      <c r="E13" s="2">
        <f t="shared" si="9"/>
        <v>9873.9339999999993</v>
      </c>
      <c r="F13" s="3">
        <f t="shared" si="9"/>
        <v>21746.170999999998</v>
      </c>
      <c r="G13" s="2">
        <f t="shared" si="9"/>
        <v>33618.409</v>
      </c>
      <c r="K13" s="14" t="s">
        <v>77</v>
      </c>
      <c r="L13" s="41">
        <v>123.99725594203261</v>
      </c>
      <c r="M13" s="41">
        <v>80.759223004839654</v>
      </c>
      <c r="N13" s="41">
        <v>167.23528887922555</v>
      </c>
      <c r="O13" s="1">
        <f t="shared" si="3"/>
        <v>80.759</v>
      </c>
      <c r="P13" s="1">
        <f t="shared" si="4"/>
        <v>123.997</v>
      </c>
      <c r="Q13" s="1">
        <f t="shared" si="5"/>
        <v>167.23500000000001</v>
      </c>
      <c r="R13" s="14" t="str">
        <f t="shared" si="6"/>
        <v>2024Q3</v>
      </c>
      <c r="S13" s="54">
        <v>21854.36431792855</v>
      </c>
      <c r="T13" s="54">
        <v>9388.4203784865931</v>
      </c>
      <c r="U13" s="54">
        <v>34320.308257370511</v>
      </c>
      <c r="V13" s="1">
        <f t="shared" si="0"/>
        <v>9388.42</v>
      </c>
      <c r="W13" s="1">
        <f t="shared" si="1"/>
        <v>21854.364000000001</v>
      </c>
      <c r="X13" s="1">
        <f t="shared" si="2"/>
        <v>34320.307999999997</v>
      </c>
    </row>
    <row r="14" spans="1:30" ht="15.5" thickTop="1" thickBot="1" x14ac:dyDescent="0.4">
      <c r="A14" s="5" t="str">
        <f t="shared" si="7"/>
        <v>2024Q3</v>
      </c>
      <c r="B14" s="2">
        <f t="shared" si="8"/>
        <v>80.759</v>
      </c>
      <c r="C14" s="3">
        <f t="shared" si="8"/>
        <v>123.997</v>
      </c>
      <c r="D14" s="2">
        <f t="shared" si="8"/>
        <v>167.23500000000001</v>
      </c>
      <c r="E14" s="2">
        <f t="shared" si="9"/>
        <v>9388.42</v>
      </c>
      <c r="F14" s="3">
        <f t="shared" si="9"/>
        <v>21854.364000000001</v>
      </c>
      <c r="G14" s="2">
        <f t="shared" si="9"/>
        <v>34320.307999999997</v>
      </c>
      <c r="K14" s="14" t="s">
        <v>82</v>
      </c>
      <c r="L14" s="41">
        <v>125.56247042536668</v>
      </c>
      <c r="M14" s="41">
        <v>82.201625382434358</v>
      </c>
      <c r="N14" s="41">
        <v>168.92331546829899</v>
      </c>
      <c r="O14" s="1">
        <f t="shared" si="3"/>
        <v>82.201999999999998</v>
      </c>
      <c r="P14" s="1">
        <f t="shared" si="4"/>
        <v>125.562</v>
      </c>
      <c r="Q14" s="1">
        <f t="shared" si="5"/>
        <v>168.923</v>
      </c>
      <c r="R14" s="14" t="str">
        <f t="shared" si="6"/>
        <v>2024Q4</v>
      </c>
      <c r="S14" s="54">
        <v>22068.488800811891</v>
      </c>
      <c r="T14" s="54">
        <v>9035.5957593886778</v>
      </c>
      <c r="U14" s="54">
        <v>35101.381842235111</v>
      </c>
      <c r="V14" s="1">
        <f t="shared" si="0"/>
        <v>9035.5959999999995</v>
      </c>
      <c r="W14" s="1">
        <f t="shared" si="1"/>
        <v>22068.489000000001</v>
      </c>
      <c r="X14" s="1">
        <f t="shared" si="2"/>
        <v>35101.381999999998</v>
      </c>
    </row>
    <row r="15" spans="1:30" ht="15.5" thickTop="1" thickBot="1" x14ac:dyDescent="0.4">
      <c r="A15" s="5" t="str">
        <f t="shared" si="7"/>
        <v>2024Q4</v>
      </c>
      <c r="B15" s="2">
        <f t="shared" si="8"/>
        <v>82.201999999999998</v>
      </c>
      <c r="C15" s="3">
        <f t="shared" si="8"/>
        <v>125.562</v>
      </c>
      <c r="D15" s="2">
        <f t="shared" si="8"/>
        <v>168.923</v>
      </c>
      <c r="E15" s="2">
        <f t="shared" si="9"/>
        <v>9035.5959999999995</v>
      </c>
      <c r="F15" s="3">
        <f t="shared" si="9"/>
        <v>22068.489000000001</v>
      </c>
      <c r="G15" s="2">
        <f t="shared" si="9"/>
        <v>35101.381999999998</v>
      </c>
      <c r="K15" s="14" t="s">
        <v>79</v>
      </c>
      <c r="L15" s="41">
        <v>127.27294789375784</v>
      </c>
      <c r="M15" s="41">
        <v>83.823782057384847</v>
      </c>
      <c r="N15" s="41">
        <v>170.72211373013084</v>
      </c>
      <c r="O15" s="1">
        <f t="shared" si="3"/>
        <v>83.823999999999998</v>
      </c>
      <c r="P15" s="1">
        <f t="shared" si="4"/>
        <v>127.273</v>
      </c>
      <c r="Q15" s="1">
        <f t="shared" si="5"/>
        <v>170.72200000000001</v>
      </c>
      <c r="R15" s="14" t="str">
        <f t="shared" si="6"/>
        <v>2025Q1</v>
      </c>
      <c r="S15" s="54">
        <v>22319.183313452333</v>
      </c>
      <c r="T15" s="54">
        <v>8743.1173311014918</v>
      </c>
      <c r="U15" s="54">
        <v>35895.249295803173</v>
      </c>
      <c r="V15" s="1">
        <f t="shared" si="0"/>
        <v>8743.1170000000002</v>
      </c>
      <c r="W15" s="1">
        <f t="shared" si="1"/>
        <v>22319.183000000001</v>
      </c>
      <c r="X15" s="1">
        <f t="shared" si="2"/>
        <v>35895.249000000003</v>
      </c>
    </row>
    <row r="16" spans="1:30" ht="15.5" thickTop="1" thickBot="1" x14ac:dyDescent="0.4">
      <c r="A16" s="5" t="str">
        <f t="shared" si="7"/>
        <v>2025Q1</v>
      </c>
      <c r="B16" s="2">
        <f t="shared" si="8"/>
        <v>83.823999999999998</v>
      </c>
      <c r="C16" s="3">
        <f t="shared" si="8"/>
        <v>127.273</v>
      </c>
      <c r="D16" s="2">
        <f t="shared" si="8"/>
        <v>170.72200000000001</v>
      </c>
      <c r="E16" s="2">
        <f t="shared" si="9"/>
        <v>8743.1170000000002</v>
      </c>
      <c r="F16" s="3">
        <f t="shared" si="9"/>
        <v>22319.183000000001</v>
      </c>
      <c r="G16" s="2">
        <f t="shared" si="9"/>
        <v>35895.249000000003</v>
      </c>
      <c r="K16" s="14" t="s">
        <v>80</v>
      </c>
      <c r="L16" s="41">
        <v>128.78093699274413</v>
      </c>
      <c r="M16" s="41">
        <v>85.268211268199551</v>
      </c>
      <c r="N16" s="41">
        <v>172.2936627172887</v>
      </c>
      <c r="O16" s="1">
        <f>ROUND(M16,3)</f>
        <v>85.268000000000001</v>
      </c>
      <c r="P16" s="1">
        <f>ROUND(L16,3)</f>
        <v>128.78100000000001</v>
      </c>
      <c r="Q16" s="1">
        <f>ROUND(N16,3)</f>
        <v>172.29400000000001</v>
      </c>
      <c r="R16" s="14" t="str">
        <f t="shared" si="6"/>
        <v>2025Q2</v>
      </c>
      <c r="S16" s="54">
        <v>22647.138178745805</v>
      </c>
      <c r="T16" s="54">
        <v>8548.7549328555542</v>
      </c>
      <c r="U16" s="54">
        <v>36745.521424636063</v>
      </c>
      <c r="V16" s="1">
        <f t="shared" si="0"/>
        <v>8548.7549999999992</v>
      </c>
      <c r="W16" s="1">
        <f t="shared" si="1"/>
        <v>22647.137999999999</v>
      </c>
      <c r="X16" s="1">
        <f t="shared" si="2"/>
        <v>36745.521000000001</v>
      </c>
    </row>
    <row r="17" spans="1:24" ht="15.5" thickTop="1" thickBot="1" x14ac:dyDescent="0.4">
      <c r="A17" s="5" t="str">
        <f t="shared" si="7"/>
        <v>2025Q2</v>
      </c>
      <c r="B17" s="2">
        <f t="shared" si="8"/>
        <v>85.268000000000001</v>
      </c>
      <c r="C17" s="3">
        <f t="shared" si="8"/>
        <v>128.78100000000001</v>
      </c>
      <c r="D17" s="2">
        <f t="shared" si="8"/>
        <v>172.29400000000001</v>
      </c>
      <c r="E17" s="2">
        <f t="shared" si="9"/>
        <v>8548.7549999999992</v>
      </c>
      <c r="F17" s="3">
        <f t="shared" si="9"/>
        <v>22647.137999999999</v>
      </c>
      <c r="G17" s="2">
        <f t="shared" si="9"/>
        <v>36745.521000000001</v>
      </c>
      <c r="K17" s="14" t="s">
        <v>81</v>
      </c>
      <c r="L17" s="41">
        <v>130.31569501815082</v>
      </c>
      <c r="M17" s="41">
        <v>86.757206046851664</v>
      </c>
      <c r="N17" s="41">
        <v>173.87418398944999</v>
      </c>
      <c r="O17" s="1">
        <f>ROUND(M17,3)</f>
        <v>86.757000000000005</v>
      </c>
      <c r="P17" s="1">
        <f>ROUND(L17,3)</f>
        <v>130.316</v>
      </c>
      <c r="Q17" s="1">
        <f>ROUND(N17,3)</f>
        <v>173.874</v>
      </c>
      <c r="R17" s="14" t="str">
        <f t="shared" si="6"/>
        <v>2025Q3</v>
      </c>
      <c r="S17" s="54">
        <v>22755.561288626122</v>
      </c>
      <c r="T17" s="54">
        <v>8153.5581891124311</v>
      </c>
      <c r="U17" s="54">
        <v>37357.564388139814</v>
      </c>
      <c r="V17" s="1">
        <f t="shared" si="0"/>
        <v>8153.558</v>
      </c>
      <c r="W17" s="1">
        <f t="shared" si="1"/>
        <v>22755.561000000002</v>
      </c>
      <c r="X17" s="1">
        <f t="shared" si="2"/>
        <v>37357.563999999998</v>
      </c>
    </row>
    <row r="18" spans="1:24" ht="15.5" thickTop="1" thickBot="1" x14ac:dyDescent="0.4">
      <c r="A18" s="5" t="str">
        <f t="shared" si="7"/>
        <v>2025Q3</v>
      </c>
      <c r="B18" s="2">
        <f t="shared" si="8"/>
        <v>86.757000000000005</v>
      </c>
      <c r="C18" s="3">
        <f t="shared" si="8"/>
        <v>130.316</v>
      </c>
      <c r="D18" s="2">
        <f t="shared" si="8"/>
        <v>173.874</v>
      </c>
      <c r="E18" s="2">
        <f t="shared" si="9"/>
        <v>8153.558</v>
      </c>
      <c r="F18" s="3">
        <f t="shared" si="9"/>
        <v>22755.561000000002</v>
      </c>
      <c r="G18" s="2">
        <f t="shared" si="9"/>
        <v>37357.563999999998</v>
      </c>
      <c r="K18" s="14" t="s">
        <v>78</v>
      </c>
      <c r="L18" s="41">
        <v>131.87636481028812</v>
      </c>
      <c r="M18" s="41">
        <v>88.284914589002909</v>
      </c>
      <c r="N18" s="41">
        <v>175.46781503157334</v>
      </c>
      <c r="O18" s="1">
        <f>ROUND(M18,3)</f>
        <v>88.284999999999997</v>
      </c>
      <c r="P18" s="1">
        <f>ROUND(L18,3)</f>
        <v>131.876</v>
      </c>
      <c r="Q18" s="1">
        <f>ROUND(N18,3)</f>
        <v>175.46799999999999</v>
      </c>
      <c r="R18" s="14" t="str">
        <f t="shared" si="6"/>
        <v>2025Q4</v>
      </c>
      <c r="S18" s="54">
        <v>22969.575039667867</v>
      </c>
      <c r="T18" s="54">
        <v>7880.7399736476455</v>
      </c>
      <c r="U18" s="54">
        <v>38058.41010568809</v>
      </c>
      <c r="V18" s="1">
        <f t="shared" si="0"/>
        <v>7880.74</v>
      </c>
      <c r="W18" s="1">
        <f t="shared" si="1"/>
        <v>22969.575000000001</v>
      </c>
      <c r="X18" s="1">
        <f t="shared" si="2"/>
        <v>38058.410000000003</v>
      </c>
    </row>
    <row r="19" spans="1:24" ht="15.5" thickTop="1" thickBot="1" x14ac:dyDescent="0.4">
      <c r="A19" s="5" t="str">
        <f t="shared" si="7"/>
        <v>2025Q4</v>
      </c>
      <c r="B19" s="2">
        <f t="shared" si="8"/>
        <v>88.284999999999997</v>
      </c>
      <c r="C19" s="3">
        <f t="shared" si="8"/>
        <v>131.876</v>
      </c>
      <c r="D19" s="2">
        <f t="shared" si="8"/>
        <v>175.46799999999999</v>
      </c>
      <c r="E19" s="2">
        <f t="shared" si="9"/>
        <v>7880.74</v>
      </c>
      <c r="F19" s="3">
        <f t="shared" si="9"/>
        <v>22969.575000000001</v>
      </c>
      <c r="G19" s="2">
        <f t="shared" si="9"/>
        <v>38058.410000000003</v>
      </c>
      <c r="K19" s="14" t="s">
        <v>90</v>
      </c>
      <c r="L19" s="41">
        <v>133.58298355176817</v>
      </c>
      <c r="M19" s="41">
        <v>89.96778678157213</v>
      </c>
      <c r="N19" s="41">
        <v>177.1981803219642</v>
      </c>
      <c r="O19" s="1">
        <f t="shared" ref="O19:O34" si="10">ROUND(M19,3)</f>
        <v>89.968000000000004</v>
      </c>
      <c r="P19" s="1">
        <f t="shared" ref="P19:P34" si="11">ROUND(L19,3)</f>
        <v>133.583</v>
      </c>
      <c r="Q19" s="1">
        <f t="shared" ref="Q19:Q34" si="12">ROUND(N19,3)</f>
        <v>177.19800000000001</v>
      </c>
      <c r="R19" s="14" t="str">
        <f t="shared" si="6"/>
        <v>2026Q1</v>
      </c>
      <c r="S19" s="54">
        <v>23220.322823013099</v>
      </c>
      <c r="T19" s="54">
        <v>7659.8852552064764</v>
      </c>
      <c r="U19" s="54">
        <v>38780.76039081972</v>
      </c>
      <c r="V19" s="1">
        <f t="shared" si="0"/>
        <v>7659.8850000000002</v>
      </c>
      <c r="W19" s="1">
        <f t="shared" si="1"/>
        <v>23220.323</v>
      </c>
      <c r="X19" s="1">
        <f t="shared" si="2"/>
        <v>38780.76</v>
      </c>
    </row>
    <row r="20" spans="1:24" ht="15.5" thickTop="1" thickBot="1" x14ac:dyDescent="0.4">
      <c r="A20" s="5" t="str">
        <f t="shared" si="7"/>
        <v>2026Q1</v>
      </c>
      <c r="B20" s="2">
        <f t="shared" si="8"/>
        <v>89.968000000000004</v>
      </c>
      <c r="C20" s="3">
        <f t="shared" si="8"/>
        <v>133.583</v>
      </c>
      <c r="D20" s="2">
        <f t="shared" si="8"/>
        <v>177.19800000000001</v>
      </c>
      <c r="E20" s="2">
        <f t="shared" si="9"/>
        <v>7659.8850000000002</v>
      </c>
      <c r="F20" s="3">
        <f t="shared" si="9"/>
        <v>23220.323</v>
      </c>
      <c r="G20" s="2">
        <f t="shared" si="9"/>
        <v>38780.76</v>
      </c>
      <c r="K20" s="14" t="s">
        <v>91</v>
      </c>
      <c r="L20" s="41">
        <v>135.0876963504009</v>
      </c>
      <c r="M20" s="41">
        <v>91.455388540208816</v>
      </c>
      <c r="N20" s="41">
        <v>178.72000416059299</v>
      </c>
      <c r="O20" s="1">
        <f t="shared" si="10"/>
        <v>91.454999999999998</v>
      </c>
      <c r="P20" s="1">
        <f t="shared" si="11"/>
        <v>135.08799999999999</v>
      </c>
      <c r="Q20" s="1">
        <f t="shared" si="12"/>
        <v>178.72</v>
      </c>
      <c r="R20" s="14" t="str">
        <f t="shared" si="6"/>
        <v>2026Q2</v>
      </c>
      <c r="S20" s="54">
        <v>23548.252060917483</v>
      </c>
      <c r="T20" s="54">
        <v>7530.0881407661618</v>
      </c>
      <c r="U20" s="54">
        <v>39566.415981068807</v>
      </c>
      <c r="V20" s="1">
        <f t="shared" si="0"/>
        <v>7530.0879999999997</v>
      </c>
      <c r="W20" s="1">
        <f t="shared" si="1"/>
        <v>23548.252</v>
      </c>
      <c r="X20" s="1">
        <f t="shared" si="2"/>
        <v>39566.415999999997</v>
      </c>
    </row>
    <row r="21" spans="1:24" ht="15.5" thickTop="1" thickBot="1" x14ac:dyDescent="0.4">
      <c r="A21" s="5" t="str">
        <f t="shared" si="7"/>
        <v>2026Q2</v>
      </c>
      <c r="B21" s="2">
        <f t="shared" ref="B21:D35" si="13">O20</f>
        <v>91.454999999999998</v>
      </c>
      <c r="C21" s="3">
        <f t="shared" si="13"/>
        <v>135.08799999999999</v>
      </c>
      <c r="D21" s="2">
        <f t="shared" si="13"/>
        <v>178.72</v>
      </c>
      <c r="E21" s="2">
        <f t="shared" ref="E21:G35" si="14">V20</f>
        <v>7530.0879999999997</v>
      </c>
      <c r="F21" s="3">
        <f t="shared" si="14"/>
        <v>23548.252</v>
      </c>
      <c r="G21" s="2">
        <f t="shared" si="14"/>
        <v>39566.415999999997</v>
      </c>
      <c r="K21" s="14" t="s">
        <v>92</v>
      </c>
      <c r="L21" s="41">
        <v>136.61967259200844</v>
      </c>
      <c r="M21" s="41">
        <v>92.975033472128828</v>
      </c>
      <c r="N21" s="41">
        <v>180.26431171188807</v>
      </c>
      <c r="O21" s="1">
        <f t="shared" si="10"/>
        <v>92.974999999999994</v>
      </c>
      <c r="P21" s="1">
        <f t="shared" si="11"/>
        <v>136.62</v>
      </c>
      <c r="Q21" s="1">
        <f t="shared" si="12"/>
        <v>180.26400000000001</v>
      </c>
      <c r="R21" s="14" t="str">
        <f t="shared" si="6"/>
        <v>2026Q3</v>
      </c>
      <c r="S21" s="54">
        <v>23656.687499582898</v>
      </c>
      <c r="T21" s="54">
        <v>7193.5197353953208</v>
      </c>
      <c r="U21" s="54">
        <v>40119.855263770478</v>
      </c>
      <c r="V21" s="1">
        <f t="shared" si="0"/>
        <v>7193.52</v>
      </c>
      <c r="W21" s="1">
        <f t="shared" si="1"/>
        <v>23656.687000000002</v>
      </c>
      <c r="X21" s="1">
        <f t="shared" si="2"/>
        <v>40119.855000000003</v>
      </c>
    </row>
    <row r="22" spans="1:24" ht="15.5" thickTop="1" thickBot="1" x14ac:dyDescent="0.4">
      <c r="A22" s="5" t="str">
        <f t="shared" si="7"/>
        <v>2026Q3</v>
      </c>
      <c r="B22" s="2">
        <f t="shared" si="13"/>
        <v>92.974999999999994</v>
      </c>
      <c r="C22" s="3">
        <f t="shared" si="13"/>
        <v>136.62</v>
      </c>
      <c r="D22" s="2">
        <f t="shared" si="13"/>
        <v>180.26400000000001</v>
      </c>
      <c r="E22" s="2">
        <f t="shared" si="14"/>
        <v>7193.52</v>
      </c>
      <c r="F22" s="3">
        <f t="shared" si="14"/>
        <v>23656.687000000002</v>
      </c>
      <c r="G22" s="2">
        <f t="shared" si="14"/>
        <v>40119.855000000003</v>
      </c>
      <c r="K22" s="14" t="s">
        <v>93</v>
      </c>
      <c r="L22" s="41">
        <v>138.17798047581314</v>
      </c>
      <c r="M22" s="41">
        <v>94.524453787434553</v>
      </c>
      <c r="N22" s="41">
        <v>181.83150716419175</v>
      </c>
      <c r="O22" s="1">
        <f t="shared" si="10"/>
        <v>94.524000000000001</v>
      </c>
      <c r="P22" s="1">
        <f t="shared" si="11"/>
        <v>138.178</v>
      </c>
      <c r="Q22" s="1">
        <f t="shared" si="12"/>
        <v>181.83199999999999</v>
      </c>
      <c r="R22" s="14" t="str">
        <f t="shared" si="6"/>
        <v>2026Q4</v>
      </c>
      <c r="S22" s="54">
        <v>23870.695319511589</v>
      </c>
      <c r="T22" s="54">
        <v>6974.2391872801891</v>
      </c>
      <c r="U22" s="54">
        <v>40767.151451742997</v>
      </c>
      <c r="V22" s="1">
        <f t="shared" si="0"/>
        <v>6974.2389999999996</v>
      </c>
      <c r="W22" s="1">
        <f t="shared" si="1"/>
        <v>23870.695</v>
      </c>
      <c r="X22" s="1">
        <f t="shared" si="2"/>
        <v>40767.150999999998</v>
      </c>
    </row>
    <row r="23" spans="1:24" ht="15.5" thickTop="1" thickBot="1" x14ac:dyDescent="0.4">
      <c r="A23" s="5" t="str">
        <f t="shared" si="7"/>
        <v>2026Q4</v>
      </c>
      <c r="B23" s="2">
        <f t="shared" si="13"/>
        <v>94.524000000000001</v>
      </c>
      <c r="C23" s="3">
        <f t="shared" si="13"/>
        <v>138.178</v>
      </c>
      <c r="D23" s="2">
        <f t="shared" si="13"/>
        <v>181.83199999999999</v>
      </c>
      <c r="E23" s="2">
        <f t="shared" si="14"/>
        <v>6974.2389999999996</v>
      </c>
      <c r="F23" s="3">
        <f t="shared" si="14"/>
        <v>23870.695</v>
      </c>
      <c r="G23" s="2">
        <f t="shared" si="14"/>
        <v>40767.150999999998</v>
      </c>
      <c r="K23" s="14" t="s">
        <v>94</v>
      </c>
      <c r="L23" s="41">
        <v>139.88259380947773</v>
      </c>
      <c r="M23" s="41">
        <v>96.222661131720457</v>
      </c>
      <c r="N23" s="41">
        <v>183.54252648723499</v>
      </c>
      <c r="O23" s="1">
        <f t="shared" si="10"/>
        <v>96.222999999999999</v>
      </c>
      <c r="P23" s="1">
        <f t="shared" si="11"/>
        <v>139.88300000000001</v>
      </c>
      <c r="Q23" s="1">
        <f t="shared" si="12"/>
        <v>183.54300000000001</v>
      </c>
      <c r="R23" s="14" t="str">
        <f t="shared" si="6"/>
        <v>2027Q1</v>
      </c>
      <c r="S23" s="54">
        <v>24121.44595618761</v>
      </c>
      <c r="T23" s="54">
        <v>6802.5384437059765</v>
      </c>
      <c r="U23" s="54">
        <v>41440.353468669244</v>
      </c>
      <c r="V23" s="1">
        <f t="shared" si="0"/>
        <v>6802.5379999999996</v>
      </c>
      <c r="W23" s="1">
        <f t="shared" si="1"/>
        <v>24121.446</v>
      </c>
      <c r="X23" s="1">
        <f t="shared" si="2"/>
        <v>41440.353000000003</v>
      </c>
    </row>
    <row r="24" spans="1:24" ht="15.5" thickTop="1" thickBot="1" x14ac:dyDescent="0.4">
      <c r="A24" s="5" t="str">
        <f t="shared" si="7"/>
        <v>2027Q1</v>
      </c>
      <c r="B24" s="2">
        <f t="shared" si="13"/>
        <v>96.222999999999999</v>
      </c>
      <c r="C24" s="3">
        <f t="shared" si="13"/>
        <v>139.88300000000001</v>
      </c>
      <c r="D24" s="2">
        <f t="shared" si="13"/>
        <v>183.54300000000001</v>
      </c>
      <c r="E24" s="2">
        <f t="shared" si="14"/>
        <v>6802.5379999999996</v>
      </c>
      <c r="F24" s="3">
        <f t="shared" si="14"/>
        <v>24121.446</v>
      </c>
      <c r="G24" s="2">
        <f t="shared" si="14"/>
        <v>41440.353000000003</v>
      </c>
      <c r="K24" s="14" t="s">
        <v>95</v>
      </c>
      <c r="L24" s="41">
        <v>141.38560389151871</v>
      </c>
      <c r="M24" s="41">
        <v>97.721053673225782</v>
      </c>
      <c r="N24" s="41">
        <v>185.05015410981164</v>
      </c>
      <c r="O24" s="1">
        <f t="shared" si="10"/>
        <v>97.721000000000004</v>
      </c>
      <c r="P24" s="1">
        <f t="shared" si="11"/>
        <v>141.386</v>
      </c>
      <c r="Q24" s="1">
        <f t="shared" si="12"/>
        <v>185.05</v>
      </c>
      <c r="R24" s="14" t="str">
        <f t="shared" si="6"/>
        <v>2027Q2</v>
      </c>
      <c r="S24" s="54">
        <v>24449.373821415989</v>
      </c>
      <c r="T24" s="54">
        <v>6718.0769273616916</v>
      </c>
      <c r="U24" s="54">
        <v>42180.670715470289</v>
      </c>
      <c r="V24" s="1">
        <f t="shared" si="0"/>
        <v>6718.0770000000002</v>
      </c>
      <c r="W24" s="1">
        <f t="shared" si="1"/>
        <v>24449.374</v>
      </c>
      <c r="X24" s="1">
        <f t="shared" si="2"/>
        <v>42180.671000000002</v>
      </c>
    </row>
    <row r="25" spans="1:24" ht="15.5" thickTop="1" thickBot="1" x14ac:dyDescent="0.4">
      <c r="A25" s="5" t="str">
        <f t="shared" si="7"/>
        <v>2027Q2</v>
      </c>
      <c r="B25" s="2">
        <f t="shared" si="13"/>
        <v>97.721000000000004</v>
      </c>
      <c r="C25" s="3">
        <f t="shared" si="13"/>
        <v>141.386</v>
      </c>
      <c r="D25" s="2">
        <f t="shared" si="13"/>
        <v>185.05</v>
      </c>
      <c r="E25" s="2">
        <f t="shared" si="14"/>
        <v>6718.0770000000002</v>
      </c>
      <c r="F25" s="3">
        <f t="shared" si="14"/>
        <v>24449.374</v>
      </c>
      <c r="G25" s="2">
        <f t="shared" si="14"/>
        <v>42180.671000000002</v>
      </c>
      <c r="K25" s="14" t="s">
        <v>96</v>
      </c>
      <c r="L25" s="41">
        <v>142.91613442030439</v>
      </c>
      <c r="M25" s="41">
        <v>99.248255686925887</v>
      </c>
      <c r="N25" s="41">
        <v>186.58401315368289</v>
      </c>
      <c r="O25" s="1">
        <f t="shared" si="10"/>
        <v>99.248000000000005</v>
      </c>
      <c r="P25" s="1">
        <f t="shared" si="11"/>
        <v>142.916</v>
      </c>
      <c r="Q25" s="1">
        <f t="shared" si="12"/>
        <v>186.584</v>
      </c>
      <c r="R25" s="14" t="str">
        <f t="shared" si="6"/>
        <v>2027Q3</v>
      </c>
      <c r="S25" s="54">
        <v>24557.809920446274</v>
      </c>
      <c r="T25" s="54">
        <v>6423.499360378175</v>
      </c>
      <c r="U25" s="54">
        <v>42692.120480514379</v>
      </c>
      <c r="V25" s="1">
        <f t="shared" si="0"/>
        <v>6423.4989999999998</v>
      </c>
      <c r="W25" s="1">
        <f t="shared" si="1"/>
        <v>24557.81</v>
      </c>
      <c r="X25" s="1">
        <f t="shared" si="2"/>
        <v>42692.12</v>
      </c>
    </row>
    <row r="26" spans="1:24" ht="15.5" thickTop="1" thickBot="1" x14ac:dyDescent="0.4">
      <c r="A26" s="5" t="str">
        <f t="shared" si="7"/>
        <v>2027Q3</v>
      </c>
      <c r="B26" s="2">
        <f t="shared" si="13"/>
        <v>99.248000000000005</v>
      </c>
      <c r="C26" s="3">
        <f t="shared" si="13"/>
        <v>142.916</v>
      </c>
      <c r="D26" s="2">
        <f t="shared" si="13"/>
        <v>186.584</v>
      </c>
      <c r="E26" s="2">
        <f t="shared" si="14"/>
        <v>6423.4989999999998</v>
      </c>
      <c r="F26" s="3">
        <f t="shared" si="14"/>
        <v>24557.81</v>
      </c>
      <c r="G26" s="2">
        <f t="shared" si="14"/>
        <v>42692.12</v>
      </c>
      <c r="K26" s="14" t="s">
        <v>97</v>
      </c>
      <c r="L26" s="41">
        <v>144.47321480355291</v>
      </c>
      <c r="M26" s="41">
        <v>100.80293667723841</v>
      </c>
      <c r="N26" s="41">
        <v>188.14349292986742</v>
      </c>
      <c r="O26" s="1">
        <f t="shared" si="10"/>
        <v>100.803</v>
      </c>
      <c r="P26" s="1">
        <f t="shared" si="11"/>
        <v>144.47300000000001</v>
      </c>
      <c r="Q26" s="1">
        <f t="shared" si="12"/>
        <v>188.143</v>
      </c>
      <c r="R26" s="14" t="str">
        <f t="shared" si="6"/>
        <v>2027Q4</v>
      </c>
      <c r="S26" s="54">
        <v>24771.817422687644</v>
      </c>
      <c r="T26" s="54">
        <v>6243.2570231479767</v>
      </c>
      <c r="U26" s="54">
        <v>43300.377822227318</v>
      </c>
      <c r="V26" s="1">
        <f t="shared" si="0"/>
        <v>6243.2569999999996</v>
      </c>
      <c r="W26" s="1">
        <f t="shared" si="1"/>
        <v>24771.816999999999</v>
      </c>
      <c r="X26" s="1">
        <f t="shared" si="2"/>
        <v>43300.377999999997</v>
      </c>
    </row>
    <row r="27" spans="1:24" ht="15.5" thickTop="1" thickBot="1" x14ac:dyDescent="0.4">
      <c r="A27" s="5" t="str">
        <f t="shared" si="7"/>
        <v>2027Q4</v>
      </c>
      <c r="B27" s="2">
        <f t="shared" si="13"/>
        <v>100.803</v>
      </c>
      <c r="C27" s="3">
        <f t="shared" si="13"/>
        <v>144.47300000000001</v>
      </c>
      <c r="D27" s="2">
        <f t="shared" si="13"/>
        <v>188.143</v>
      </c>
      <c r="E27" s="2">
        <f t="shared" si="14"/>
        <v>6243.2569999999996</v>
      </c>
      <c r="F27" s="3">
        <f t="shared" si="14"/>
        <v>24771.816999999999</v>
      </c>
      <c r="G27" s="2">
        <f t="shared" si="14"/>
        <v>43300.377999999997</v>
      </c>
      <c r="K27" s="14" t="s">
        <v>98</v>
      </c>
      <c r="L27" s="41">
        <v>146.17678591251521</v>
      </c>
      <c r="M27" s="41">
        <v>102.50477812846286</v>
      </c>
      <c r="N27" s="41">
        <v>189.84879369656758</v>
      </c>
      <c r="O27" s="1">
        <f t="shared" si="10"/>
        <v>102.505</v>
      </c>
      <c r="P27" s="1">
        <f t="shared" si="11"/>
        <v>146.17699999999999</v>
      </c>
      <c r="Q27" s="1">
        <f t="shared" si="12"/>
        <v>189.84899999999999</v>
      </c>
      <c r="R27" s="14" t="str">
        <f t="shared" si="6"/>
        <v>2028Q1</v>
      </c>
      <c r="S27" s="54">
        <v>25022.568212196195</v>
      </c>
      <c r="T27" s="54">
        <v>6107.9738214529498</v>
      </c>
      <c r="U27" s="54">
        <v>43937.162602939439</v>
      </c>
      <c r="V27" s="1">
        <f t="shared" si="0"/>
        <v>6107.9740000000002</v>
      </c>
      <c r="W27" s="1">
        <f t="shared" si="1"/>
        <v>25022.567999999999</v>
      </c>
      <c r="X27" s="1">
        <f t="shared" si="2"/>
        <v>43937.163</v>
      </c>
    </row>
    <row r="28" spans="1:24" ht="15.5" thickTop="1" thickBot="1" x14ac:dyDescent="0.4">
      <c r="A28" s="5" t="str">
        <f t="shared" si="7"/>
        <v>2028Q1</v>
      </c>
      <c r="B28" s="2">
        <f t="shared" si="13"/>
        <v>102.505</v>
      </c>
      <c r="C28" s="3">
        <f t="shared" si="13"/>
        <v>146.17699999999999</v>
      </c>
      <c r="D28" s="2">
        <f t="shared" si="13"/>
        <v>189.84899999999999</v>
      </c>
      <c r="E28" s="2">
        <f t="shared" si="14"/>
        <v>6107.9740000000002</v>
      </c>
      <c r="F28" s="3">
        <f t="shared" si="14"/>
        <v>25022.567999999999</v>
      </c>
      <c r="G28" s="2">
        <f t="shared" si="14"/>
        <v>43937.163</v>
      </c>
      <c r="K28" s="14" t="s">
        <v>99</v>
      </c>
      <c r="L28" s="41">
        <v>147.67891108063529</v>
      </c>
      <c r="M28" s="41">
        <v>104.00565641645451</v>
      </c>
      <c r="N28" s="41">
        <v>191.35216574481606</v>
      </c>
      <c r="O28" s="1">
        <f t="shared" si="10"/>
        <v>104.006</v>
      </c>
      <c r="P28" s="1">
        <f t="shared" si="11"/>
        <v>147.679</v>
      </c>
      <c r="Q28" s="1">
        <f t="shared" si="12"/>
        <v>191.352</v>
      </c>
      <c r="R28" s="14" t="str">
        <f t="shared" si="6"/>
        <v>2028Q2</v>
      </c>
      <c r="S28" s="54">
        <v>25350.496003900131</v>
      </c>
      <c r="T28" s="54">
        <v>6057.5902690068269</v>
      </c>
      <c r="U28" s="54">
        <v>44643.401738793444</v>
      </c>
      <c r="V28" s="1">
        <f t="shared" si="0"/>
        <v>6057.59</v>
      </c>
      <c r="W28" s="1">
        <f t="shared" si="1"/>
        <v>25350.495999999999</v>
      </c>
      <c r="X28" s="1">
        <f t="shared" si="2"/>
        <v>44643.402000000002</v>
      </c>
    </row>
    <row r="29" spans="1:24" ht="15.5" thickTop="1" thickBot="1" x14ac:dyDescent="0.4">
      <c r="A29" s="5" t="str">
        <f t="shared" si="7"/>
        <v>2028Q2</v>
      </c>
      <c r="B29" s="2">
        <f t="shared" si="13"/>
        <v>104.006</v>
      </c>
      <c r="C29" s="3">
        <f t="shared" si="13"/>
        <v>147.679</v>
      </c>
      <c r="D29" s="2">
        <f t="shared" si="13"/>
        <v>191.352</v>
      </c>
      <c r="E29" s="2">
        <f t="shared" si="14"/>
        <v>6057.59</v>
      </c>
      <c r="F29" s="3">
        <f t="shared" si="14"/>
        <v>25350.495999999999</v>
      </c>
      <c r="G29" s="2">
        <f t="shared" si="14"/>
        <v>44643.402000000002</v>
      </c>
      <c r="K29" s="14" t="s">
        <v>100</v>
      </c>
      <c r="L29" s="41">
        <v>149.20869026218682</v>
      </c>
      <c r="M29" s="41">
        <v>105.53453673529474</v>
      </c>
      <c r="N29" s="41">
        <v>192.88284378907892</v>
      </c>
      <c r="O29" s="1">
        <f t="shared" si="10"/>
        <v>105.535</v>
      </c>
      <c r="P29" s="1">
        <f t="shared" si="11"/>
        <v>149.209</v>
      </c>
      <c r="Q29" s="1">
        <f t="shared" si="12"/>
        <v>192.88300000000001</v>
      </c>
      <c r="R29" s="14" t="str">
        <f t="shared" si="6"/>
        <v>2028Q3</v>
      </c>
      <c r="S29" s="54">
        <v>25458.932138301443</v>
      </c>
      <c r="T29" s="54">
        <v>5794.9919861318795</v>
      </c>
      <c r="U29" s="54">
        <v>45122.872290471008</v>
      </c>
      <c r="V29" s="1">
        <f t="shared" si="0"/>
        <v>5794.9920000000002</v>
      </c>
      <c r="W29" s="1">
        <f t="shared" si="1"/>
        <v>25458.932000000001</v>
      </c>
      <c r="X29" s="1">
        <f t="shared" si="2"/>
        <v>45122.872000000003</v>
      </c>
    </row>
    <row r="30" spans="1:24" ht="15.5" thickTop="1" thickBot="1" x14ac:dyDescent="0.4">
      <c r="A30" s="5" t="str">
        <f t="shared" si="7"/>
        <v>2028Q3</v>
      </c>
      <c r="B30" s="2">
        <f t="shared" si="13"/>
        <v>105.535</v>
      </c>
      <c r="C30" s="3">
        <f t="shared" si="13"/>
        <v>149.209</v>
      </c>
      <c r="D30" s="2">
        <f t="shared" si="13"/>
        <v>192.88300000000001</v>
      </c>
      <c r="E30" s="2">
        <f t="shared" si="14"/>
        <v>5794.9920000000002</v>
      </c>
      <c r="F30" s="3">
        <f t="shared" si="14"/>
        <v>25458.932000000001</v>
      </c>
      <c r="G30" s="2">
        <f t="shared" si="14"/>
        <v>45122.872000000003</v>
      </c>
      <c r="K30" s="14" t="s">
        <v>101</v>
      </c>
      <c r="L30" s="41">
        <v>150.76513270466745</v>
      </c>
      <c r="M30" s="41">
        <v>107.09033119270005</v>
      </c>
      <c r="N30" s="41">
        <v>194.43993421663487</v>
      </c>
      <c r="O30" s="1">
        <f t="shared" si="10"/>
        <v>107.09</v>
      </c>
      <c r="P30" s="1">
        <f t="shared" si="11"/>
        <v>150.76499999999999</v>
      </c>
      <c r="Q30" s="1">
        <f t="shared" si="12"/>
        <v>194.44</v>
      </c>
      <c r="R30" s="14" t="str">
        <f t="shared" si="6"/>
        <v>2028Q4</v>
      </c>
      <c r="S30" s="54">
        <v>25672.939623526574</v>
      </c>
      <c r="T30" s="54">
        <v>5644.8375422811514</v>
      </c>
      <c r="U30" s="54">
        <v>45701.041704772004</v>
      </c>
      <c r="V30" s="1">
        <f t="shared" si="0"/>
        <v>5644.8379999999997</v>
      </c>
      <c r="W30" s="1">
        <f t="shared" si="1"/>
        <v>25672.94</v>
      </c>
      <c r="X30" s="1">
        <f t="shared" si="2"/>
        <v>45701.042000000001</v>
      </c>
    </row>
    <row r="31" spans="1:24" ht="15.5" thickTop="1" thickBot="1" x14ac:dyDescent="0.4">
      <c r="A31" s="5" t="str">
        <f t="shared" si="7"/>
        <v>2028Q4</v>
      </c>
      <c r="B31" s="2">
        <f t="shared" si="13"/>
        <v>107.09</v>
      </c>
      <c r="C31" s="3">
        <f t="shared" si="13"/>
        <v>150.76499999999999</v>
      </c>
      <c r="D31" s="2">
        <f t="shared" si="13"/>
        <v>194.44</v>
      </c>
      <c r="E31" s="2">
        <f t="shared" si="14"/>
        <v>5644.8379999999997</v>
      </c>
      <c r="F31" s="3">
        <f t="shared" si="14"/>
        <v>25672.94</v>
      </c>
      <c r="G31" s="2">
        <f t="shared" si="14"/>
        <v>45701.042000000001</v>
      </c>
      <c r="K31" s="14" t="s">
        <v>102</v>
      </c>
      <c r="L31" s="41">
        <v>152.46816216204067</v>
      </c>
      <c r="M31" s="41">
        <v>108.79289351896638</v>
      </c>
      <c r="N31" s="41">
        <v>196.14343080511495</v>
      </c>
      <c r="O31" s="1">
        <f t="shared" si="10"/>
        <v>108.79300000000001</v>
      </c>
      <c r="P31" s="1">
        <f t="shared" si="11"/>
        <v>152.46799999999999</v>
      </c>
      <c r="Q31" s="1">
        <f t="shared" si="12"/>
        <v>196.143</v>
      </c>
      <c r="R31" s="14" t="str">
        <f t="shared" si="6"/>
        <v>2029Q1</v>
      </c>
      <c r="S31" s="54">
        <v>25923.690421221268</v>
      </c>
      <c r="T31" s="54">
        <v>5537.9305968119334</v>
      </c>
      <c r="U31" s="54">
        <v>46309.4502456306</v>
      </c>
      <c r="V31" s="1">
        <f t="shared" si="0"/>
        <v>5537.9309999999996</v>
      </c>
      <c r="W31" s="1">
        <f t="shared" si="1"/>
        <v>25923.69</v>
      </c>
      <c r="X31" s="1">
        <f t="shared" si="2"/>
        <v>46309.45</v>
      </c>
    </row>
    <row r="32" spans="1:24" ht="15.5" thickTop="1" thickBot="1" x14ac:dyDescent="0.4">
      <c r="A32" s="5" t="str">
        <f t="shared" si="7"/>
        <v>2029Q1</v>
      </c>
      <c r="B32" s="2">
        <f t="shared" si="13"/>
        <v>108.79300000000001</v>
      </c>
      <c r="C32" s="3">
        <f t="shared" si="13"/>
        <v>152.46799999999999</v>
      </c>
      <c r="D32" s="2">
        <f t="shared" si="13"/>
        <v>196.143</v>
      </c>
      <c r="E32" s="2">
        <f t="shared" si="14"/>
        <v>5537.9309999999996</v>
      </c>
      <c r="F32" s="3">
        <f t="shared" si="14"/>
        <v>25923.69</v>
      </c>
      <c r="G32" s="2">
        <f t="shared" si="14"/>
        <v>46309.45</v>
      </c>
      <c r="K32" s="14" t="s">
        <v>103</v>
      </c>
      <c r="L32" s="41">
        <v>153.96982743410337</v>
      </c>
      <c r="M32" s="41">
        <v>110.29422203597586</v>
      </c>
      <c r="N32" s="41">
        <v>197.64543283223085</v>
      </c>
      <c r="O32" s="1">
        <f t="shared" si="10"/>
        <v>110.294</v>
      </c>
      <c r="P32" s="1">
        <f t="shared" si="11"/>
        <v>153.97</v>
      </c>
      <c r="Q32" s="1">
        <f t="shared" si="12"/>
        <v>197.64500000000001</v>
      </c>
      <c r="R32" s="14" t="str">
        <f t="shared" si="6"/>
        <v>2029Q2</v>
      </c>
      <c r="S32" s="54">
        <v>26251.618208987031</v>
      </c>
      <c r="T32" s="54">
        <v>5514.3682882962657</v>
      </c>
      <c r="U32" s="54">
        <v>46988.868129677801</v>
      </c>
      <c r="V32" s="1">
        <f t="shared" si="0"/>
        <v>5514.3680000000004</v>
      </c>
      <c r="W32" s="1">
        <f t="shared" si="1"/>
        <v>26251.617999999999</v>
      </c>
      <c r="X32" s="1">
        <f t="shared" si="2"/>
        <v>46988.868000000002</v>
      </c>
    </row>
    <row r="33" spans="1:24" ht="15.5" thickTop="1" thickBot="1" x14ac:dyDescent="0.4">
      <c r="A33" s="5" t="str">
        <f t="shared" si="7"/>
        <v>2029Q2</v>
      </c>
      <c r="B33" s="2">
        <f t="shared" si="13"/>
        <v>110.294</v>
      </c>
      <c r="C33" s="3">
        <f t="shared" si="13"/>
        <v>153.97</v>
      </c>
      <c r="D33" s="2">
        <f t="shared" si="13"/>
        <v>197.64500000000001</v>
      </c>
      <c r="E33" s="2">
        <f t="shared" si="14"/>
        <v>5514.3680000000004</v>
      </c>
      <c r="F33" s="3">
        <f t="shared" si="14"/>
        <v>26251.617999999999</v>
      </c>
      <c r="G33" s="2">
        <f t="shared" si="14"/>
        <v>46988.868000000002</v>
      </c>
      <c r="K33" s="14" t="s">
        <v>107</v>
      </c>
      <c r="L33" s="41">
        <v>155.49921613515443</v>
      </c>
      <c r="M33" s="41">
        <v>111.82336796951374</v>
      </c>
      <c r="N33" s="41">
        <v>199.17506430079513</v>
      </c>
      <c r="O33" s="1">
        <f t="shared" si="10"/>
        <v>111.82299999999999</v>
      </c>
      <c r="P33" s="1">
        <f t="shared" si="11"/>
        <v>155.499</v>
      </c>
      <c r="Q33" s="1">
        <f t="shared" si="12"/>
        <v>199.17500000000001</v>
      </c>
      <c r="R33" s="14" t="str">
        <f t="shared" si="6"/>
        <v>2029Q3</v>
      </c>
      <c r="S33" s="54">
        <v>26360.054345282915</v>
      </c>
      <c r="T33" s="54">
        <v>5277.1734956068995</v>
      </c>
      <c r="U33" s="54">
        <v>47442.935194958933</v>
      </c>
      <c r="V33" s="1">
        <f t="shared" si="0"/>
        <v>5277.1729999999998</v>
      </c>
      <c r="W33" s="1">
        <f t="shared" si="1"/>
        <v>26360.054</v>
      </c>
      <c r="X33" s="1">
        <f t="shared" si="2"/>
        <v>47442.934999999998</v>
      </c>
    </row>
    <row r="34" spans="1:24" ht="15.5" thickTop="1" thickBot="1" x14ac:dyDescent="0.4">
      <c r="A34" s="5" t="str">
        <f t="shared" si="7"/>
        <v>2029Q3</v>
      </c>
      <c r="B34" s="2">
        <f t="shared" si="13"/>
        <v>111.82299999999999</v>
      </c>
      <c r="C34" s="3">
        <f t="shared" si="13"/>
        <v>155.499</v>
      </c>
      <c r="D34" s="2">
        <f t="shared" si="13"/>
        <v>199.17500000000001</v>
      </c>
      <c r="E34" s="2">
        <f t="shared" si="14"/>
        <v>5277.1729999999998</v>
      </c>
      <c r="F34" s="3">
        <f t="shared" si="14"/>
        <v>26360.054</v>
      </c>
      <c r="G34" s="2">
        <f t="shared" si="14"/>
        <v>47442.934999999998</v>
      </c>
      <c r="K34" s="14" t="s">
        <v>108</v>
      </c>
      <c r="L34" s="41">
        <v>157.05532703528155</v>
      </c>
      <c r="M34" s="41">
        <v>113.37930385764315</v>
      </c>
      <c r="N34" s="41">
        <v>200.73135021291998</v>
      </c>
      <c r="O34" s="1">
        <f t="shared" si="10"/>
        <v>113.379</v>
      </c>
      <c r="P34" s="1">
        <f t="shared" si="11"/>
        <v>157.05500000000001</v>
      </c>
      <c r="Q34" s="1">
        <f t="shared" si="12"/>
        <v>200.73099999999999</v>
      </c>
      <c r="R34" s="14" t="str">
        <f t="shared" si="6"/>
        <v>2029Q4</v>
      </c>
      <c r="S34" s="54">
        <v>26574.061829596609</v>
      </c>
      <c r="T34" s="54">
        <v>5151.1256262400602</v>
      </c>
      <c r="U34" s="54">
        <v>47996.998032953161</v>
      </c>
      <c r="V34" s="1">
        <f t="shared" si="0"/>
        <v>5151.1260000000002</v>
      </c>
      <c r="W34" s="1">
        <f t="shared" si="1"/>
        <v>26574.062000000002</v>
      </c>
      <c r="X34" s="1">
        <f t="shared" si="2"/>
        <v>47996.998</v>
      </c>
    </row>
    <row r="35" spans="1:24" ht="13" thickTop="1" thickBot="1" x14ac:dyDescent="0.35">
      <c r="A35" s="5" t="str">
        <f t="shared" si="7"/>
        <v>2029Q4</v>
      </c>
      <c r="B35" s="2">
        <f t="shared" si="13"/>
        <v>113.379</v>
      </c>
      <c r="C35" s="3">
        <f t="shared" si="13"/>
        <v>157.05500000000001</v>
      </c>
      <c r="D35" s="2">
        <f t="shared" si="13"/>
        <v>200.73099999999999</v>
      </c>
      <c r="E35" s="2">
        <f t="shared" si="14"/>
        <v>5151.1260000000002</v>
      </c>
      <c r="F35" s="3">
        <f t="shared" si="14"/>
        <v>26574.062000000002</v>
      </c>
      <c r="G35" s="2">
        <f t="shared" si="14"/>
        <v>47996.998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132.67531249999996</v>
      </c>
      <c r="F38" s="1">
        <f>AVERAGE(F4:F35)</f>
        <v>23120.918156249998</v>
      </c>
    </row>
    <row r="40" spans="1:24" ht="12.5" thickBot="1" x14ac:dyDescent="0.35"/>
    <row r="41" spans="1:24" ht="15.5" thickTop="1" thickBot="1" x14ac:dyDescent="0.4">
      <c r="A41" s="30" t="s">
        <v>52</v>
      </c>
      <c r="B41" s="31"/>
      <c r="C41" s="31"/>
      <c r="D41" s="31"/>
      <c r="E41" s="31"/>
      <c r="F41" s="31"/>
      <c r="G41" s="31"/>
      <c r="K41" s="30" t="s">
        <v>29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73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100.621</v>
      </c>
      <c r="D44" s="6"/>
      <c r="E44" s="6"/>
      <c r="F44" s="9">
        <f>ROUND(F4-((G4-F4)*(0.5/2)),3)</f>
        <v>18774.069</v>
      </c>
      <c r="G44" s="6"/>
      <c r="K44" s="7" t="str">
        <f>A4</f>
        <v>2022Q1</v>
      </c>
      <c r="L44" s="6"/>
      <c r="M44" s="9">
        <f>ROUND(C4-((D4-C4)*(1/2)),3)</f>
        <v>93.11</v>
      </c>
      <c r="N44" s="6"/>
      <c r="O44" s="6"/>
      <c r="P44" s="9">
        <f>ROUND(F4-((G4-F4)*(1/2)),3)</f>
        <v>18051.275000000001</v>
      </c>
      <c r="Q44" s="6"/>
    </row>
    <row r="45" spans="1:24" ht="15.5" thickTop="1" thickBot="1" x14ac:dyDescent="0.4">
      <c r="A45" s="7" t="str">
        <f t="shared" ref="A45:A75" si="15">A5</f>
        <v>2022Q2</v>
      </c>
      <c r="B45" s="6"/>
      <c r="C45" s="9">
        <f t="shared" ref="C45:C75" si="16">ROUND(C5-((D5-C5)*(0.5/2)),3)</f>
        <v>101.08199999999999</v>
      </c>
      <c r="D45" s="6"/>
      <c r="E45" s="6"/>
      <c r="F45" s="9">
        <f t="shared" ref="F45:F75" si="17">ROUND(F5-((G5-F5)*(0.5/2)),3)</f>
        <v>18718.018</v>
      </c>
      <c r="G45" s="6"/>
      <c r="K45" s="7" t="str">
        <f t="shared" ref="K45:K75" si="18">A5</f>
        <v>2022Q2</v>
      </c>
      <c r="L45" s="6"/>
      <c r="M45" s="9">
        <f t="shared" ref="M45:M75" si="19">ROUND(C5-((D5-C5)*(1/2)),3)</f>
        <v>92.483999999999995</v>
      </c>
      <c r="N45" s="6"/>
      <c r="O45" s="6"/>
      <c r="P45" s="9">
        <f t="shared" ref="P45:P75" si="20">ROUND(F5-((G5-F5)*(1/2)),3)</f>
        <v>17435.039000000001</v>
      </c>
      <c r="Q45" s="6"/>
    </row>
    <row r="46" spans="1:24" ht="15.5" thickTop="1" thickBot="1" x14ac:dyDescent="0.4">
      <c r="A46" s="7" t="str">
        <f t="shared" si="15"/>
        <v>2022Q3</v>
      </c>
      <c r="B46" s="6"/>
      <c r="C46" s="9">
        <f t="shared" si="16"/>
        <v>101.946</v>
      </c>
      <c r="D46" s="6"/>
      <c r="E46" s="6"/>
      <c r="F46" s="9">
        <f t="shared" si="17"/>
        <v>18458.766</v>
      </c>
      <c r="G46" s="6"/>
      <c r="K46" s="7" t="str">
        <f t="shared" si="18"/>
        <v>2022Q3</v>
      </c>
      <c r="L46" s="6"/>
      <c r="M46" s="9">
        <f t="shared" si="19"/>
        <v>92.641999999999996</v>
      </c>
      <c r="N46" s="6"/>
      <c r="O46" s="6"/>
      <c r="P46" s="9">
        <f t="shared" si="20"/>
        <v>16892.866000000002</v>
      </c>
      <c r="Q46" s="6"/>
    </row>
    <row r="47" spans="1:24" ht="15.5" thickTop="1" thickBot="1" x14ac:dyDescent="0.4">
      <c r="A47" s="7" t="str">
        <f t="shared" si="15"/>
        <v>2022Q4</v>
      </c>
      <c r="B47" s="6"/>
      <c r="C47" s="9">
        <f t="shared" si="16"/>
        <v>103.06</v>
      </c>
      <c r="D47" s="6"/>
      <c r="E47" s="6"/>
      <c r="F47" s="9">
        <f t="shared" si="17"/>
        <v>18434.387999999999</v>
      </c>
      <c r="G47" s="6"/>
      <c r="K47" s="7" t="str">
        <f t="shared" si="18"/>
        <v>2022Q4</v>
      </c>
      <c r="L47" s="6"/>
      <c r="M47" s="9">
        <f t="shared" si="19"/>
        <v>93.278000000000006</v>
      </c>
      <c r="N47" s="6"/>
      <c r="O47" s="6"/>
      <c r="P47" s="9">
        <f t="shared" si="20"/>
        <v>16589.322</v>
      </c>
      <c r="Q47" s="6"/>
    </row>
    <row r="48" spans="1:24" ht="15.5" thickTop="1" thickBot="1" x14ac:dyDescent="0.4">
      <c r="A48" s="7" t="str">
        <f t="shared" si="15"/>
        <v>2023Q1</v>
      </c>
      <c r="B48" s="6"/>
      <c r="C48" s="9">
        <f t="shared" si="16"/>
        <v>104.462</v>
      </c>
      <c r="D48" s="6"/>
      <c r="E48" s="6"/>
      <c r="F48" s="9">
        <f t="shared" si="17"/>
        <v>18440.651000000002</v>
      </c>
      <c r="G48" s="6"/>
      <c r="K48" s="7" t="str">
        <f t="shared" si="18"/>
        <v>2023Q1</v>
      </c>
      <c r="L48" s="6"/>
      <c r="M48" s="9">
        <f t="shared" si="19"/>
        <v>94.349000000000004</v>
      </c>
      <c r="N48" s="6"/>
      <c r="O48" s="6"/>
      <c r="P48" s="9">
        <f t="shared" si="20"/>
        <v>16370.716</v>
      </c>
      <c r="Q48" s="6"/>
    </row>
    <row r="49" spans="1:17" ht="15.5" thickTop="1" thickBot="1" x14ac:dyDescent="0.4">
      <c r="A49" s="7" t="str">
        <f t="shared" si="15"/>
        <v>2023Q2</v>
      </c>
      <c r="B49" s="6"/>
      <c r="C49" s="9">
        <f t="shared" si="16"/>
        <v>105.75700000000001</v>
      </c>
      <c r="D49" s="6"/>
      <c r="E49" s="6"/>
      <c r="F49" s="9">
        <f t="shared" si="17"/>
        <v>18567.773000000001</v>
      </c>
      <c r="G49" s="6"/>
      <c r="K49" s="7" t="str">
        <f t="shared" si="18"/>
        <v>2023Q2</v>
      </c>
      <c r="L49" s="6"/>
      <c r="M49" s="9">
        <f t="shared" si="19"/>
        <v>95.414000000000001</v>
      </c>
      <c r="N49" s="6"/>
      <c r="O49" s="6"/>
      <c r="P49" s="9">
        <f t="shared" si="20"/>
        <v>16287.594999999999</v>
      </c>
      <c r="Q49" s="6"/>
    </row>
    <row r="50" spans="1:17" ht="15.5" thickTop="1" thickBot="1" x14ac:dyDescent="0.4">
      <c r="A50" s="7" t="str">
        <f t="shared" si="15"/>
        <v>2023Q3</v>
      </c>
      <c r="B50" s="6"/>
      <c r="C50" s="9">
        <f t="shared" si="16"/>
        <v>107.14400000000001</v>
      </c>
      <c r="D50" s="6"/>
      <c r="E50" s="6"/>
      <c r="F50" s="9">
        <f t="shared" si="17"/>
        <v>18482.584999999999</v>
      </c>
      <c r="G50" s="6"/>
      <c r="K50" s="7" t="str">
        <f t="shared" si="18"/>
        <v>2023Q3</v>
      </c>
      <c r="L50" s="6"/>
      <c r="M50" s="9">
        <f t="shared" si="19"/>
        <v>96.635999999999996</v>
      </c>
      <c r="N50" s="6"/>
      <c r="O50" s="6"/>
      <c r="P50" s="9">
        <f t="shared" si="20"/>
        <v>16013.324000000001</v>
      </c>
      <c r="Q50" s="6"/>
    </row>
    <row r="51" spans="1:17" ht="15.5" thickTop="1" thickBot="1" x14ac:dyDescent="0.4">
      <c r="A51" s="7" t="str">
        <f t="shared" si="15"/>
        <v>2023Q4</v>
      </c>
      <c r="B51" s="6"/>
      <c r="C51" s="9">
        <f t="shared" si="16"/>
        <v>108.601</v>
      </c>
      <c r="D51" s="6"/>
      <c r="E51" s="6"/>
      <c r="F51" s="9">
        <f t="shared" si="17"/>
        <v>18521.677</v>
      </c>
      <c r="G51" s="6"/>
      <c r="K51" s="7" t="str">
        <f t="shared" si="18"/>
        <v>2023Q4</v>
      </c>
      <c r="L51" s="6"/>
      <c r="M51" s="9">
        <f t="shared" si="19"/>
        <v>97.977000000000004</v>
      </c>
      <c r="N51" s="6"/>
      <c r="O51" s="6"/>
      <c r="P51" s="9">
        <f t="shared" si="20"/>
        <v>15875.315000000001</v>
      </c>
      <c r="Q51" s="6"/>
    </row>
    <row r="52" spans="1:17" ht="15.5" thickTop="1" thickBot="1" x14ac:dyDescent="0.4">
      <c r="A52" s="7" t="str">
        <f t="shared" si="15"/>
        <v>2024Q1</v>
      </c>
      <c r="B52" s="6"/>
      <c r="C52" s="9">
        <f t="shared" si="16"/>
        <v>110.236</v>
      </c>
      <c r="D52" s="6"/>
      <c r="E52" s="6"/>
      <c r="F52" s="9">
        <f t="shared" si="17"/>
        <v>18606.087</v>
      </c>
      <c r="G52" s="6"/>
      <c r="K52" s="7" t="str">
        <f t="shared" si="18"/>
        <v>2024Q1</v>
      </c>
      <c r="L52" s="6"/>
      <c r="M52" s="9">
        <f t="shared" si="19"/>
        <v>99.528999999999996</v>
      </c>
      <c r="N52" s="6"/>
      <c r="O52" s="6"/>
      <c r="P52" s="9">
        <f t="shared" si="20"/>
        <v>15794.434999999999</v>
      </c>
      <c r="Q52" s="6"/>
    </row>
    <row r="53" spans="1:17" ht="15.5" thickTop="1" thickBot="1" x14ac:dyDescent="0.4">
      <c r="A53" s="7" t="str">
        <f t="shared" si="15"/>
        <v>2024Q2</v>
      </c>
      <c r="B53" s="6"/>
      <c r="C53" s="9">
        <f t="shared" si="16"/>
        <v>111.69</v>
      </c>
      <c r="D53" s="6"/>
      <c r="E53" s="6"/>
      <c r="F53" s="9">
        <f t="shared" si="17"/>
        <v>18778.112000000001</v>
      </c>
      <c r="G53" s="6"/>
      <c r="K53" s="7" t="str">
        <f t="shared" si="18"/>
        <v>2024Q2</v>
      </c>
      <c r="L53" s="6"/>
      <c r="M53" s="9">
        <f t="shared" si="19"/>
        <v>100.92400000000001</v>
      </c>
      <c r="N53" s="6"/>
      <c r="O53" s="6"/>
      <c r="P53" s="9">
        <f t="shared" si="20"/>
        <v>15810.052</v>
      </c>
      <c r="Q53" s="6"/>
    </row>
    <row r="54" spans="1:17" ht="15.5" thickTop="1" thickBot="1" x14ac:dyDescent="0.4">
      <c r="A54" s="7" t="str">
        <f t="shared" si="15"/>
        <v>2024Q3</v>
      </c>
      <c r="B54" s="6"/>
      <c r="C54" s="9">
        <f t="shared" si="16"/>
        <v>113.188</v>
      </c>
      <c r="D54" s="6"/>
      <c r="E54" s="6"/>
      <c r="F54" s="9">
        <f t="shared" si="17"/>
        <v>18737.878000000001</v>
      </c>
      <c r="G54" s="6"/>
      <c r="K54" s="7" t="str">
        <f t="shared" si="18"/>
        <v>2024Q3</v>
      </c>
      <c r="L54" s="6"/>
      <c r="M54" s="9">
        <f t="shared" si="19"/>
        <v>102.378</v>
      </c>
      <c r="N54" s="6"/>
      <c r="O54" s="6"/>
      <c r="P54" s="9">
        <f t="shared" si="20"/>
        <v>15621.392</v>
      </c>
      <c r="Q54" s="6"/>
    </row>
    <row r="55" spans="1:17" ht="15.5" thickTop="1" thickBot="1" x14ac:dyDescent="0.4">
      <c r="A55" s="7" t="str">
        <f t="shared" si="15"/>
        <v>2024Q4</v>
      </c>
      <c r="B55" s="6"/>
      <c r="C55" s="9">
        <f t="shared" si="16"/>
        <v>114.72199999999999</v>
      </c>
      <c r="D55" s="6"/>
      <c r="E55" s="6"/>
      <c r="F55" s="9">
        <f t="shared" si="17"/>
        <v>18810.266</v>
      </c>
      <c r="G55" s="6"/>
      <c r="K55" s="7" t="str">
        <f t="shared" si="18"/>
        <v>2024Q4</v>
      </c>
      <c r="L55" s="6"/>
      <c r="M55" s="9">
        <f t="shared" si="19"/>
        <v>103.88200000000001</v>
      </c>
      <c r="N55" s="6"/>
      <c r="O55" s="6"/>
      <c r="P55" s="9">
        <f t="shared" si="20"/>
        <v>15552.043</v>
      </c>
      <c r="Q55" s="6"/>
    </row>
    <row r="56" spans="1:17" ht="15.5" thickTop="1" thickBot="1" x14ac:dyDescent="0.4">
      <c r="A56" s="7" t="str">
        <f t="shared" si="15"/>
        <v>2025Q1</v>
      </c>
      <c r="B56" s="6"/>
      <c r="C56" s="9">
        <f t="shared" si="16"/>
        <v>116.411</v>
      </c>
      <c r="D56" s="6"/>
      <c r="E56" s="6"/>
      <c r="F56" s="9">
        <f t="shared" si="17"/>
        <v>18925.167000000001</v>
      </c>
      <c r="G56" s="6"/>
      <c r="K56" s="7" t="str">
        <f t="shared" si="18"/>
        <v>2025Q1</v>
      </c>
      <c r="L56" s="6"/>
      <c r="M56" s="9">
        <f t="shared" si="19"/>
        <v>105.54900000000001</v>
      </c>
      <c r="N56" s="6"/>
      <c r="O56" s="6"/>
      <c r="P56" s="9">
        <f t="shared" si="20"/>
        <v>15531.15</v>
      </c>
      <c r="Q56" s="6"/>
    </row>
    <row r="57" spans="1:17" ht="15.5" thickTop="1" thickBot="1" x14ac:dyDescent="0.4">
      <c r="A57" s="7" t="str">
        <f t="shared" si="15"/>
        <v>2025Q2</v>
      </c>
      <c r="B57" s="6"/>
      <c r="C57" s="9">
        <f t="shared" si="16"/>
        <v>117.90300000000001</v>
      </c>
      <c r="D57" s="6"/>
      <c r="E57" s="6"/>
      <c r="F57" s="9">
        <f t="shared" si="17"/>
        <v>19122.542000000001</v>
      </c>
      <c r="G57" s="6"/>
      <c r="K57" s="7" t="str">
        <f t="shared" si="18"/>
        <v>2025Q2</v>
      </c>
      <c r="L57" s="6"/>
      <c r="M57" s="9">
        <f t="shared" si="19"/>
        <v>107.02500000000001</v>
      </c>
      <c r="N57" s="6"/>
      <c r="O57" s="6"/>
      <c r="P57" s="9">
        <f t="shared" si="20"/>
        <v>15597.947</v>
      </c>
      <c r="Q57" s="6"/>
    </row>
    <row r="58" spans="1:17" ht="15.5" thickTop="1" thickBot="1" x14ac:dyDescent="0.4">
      <c r="A58" s="7" t="str">
        <f t="shared" si="15"/>
        <v>2025Q3</v>
      </c>
      <c r="B58" s="6"/>
      <c r="C58" s="9">
        <f t="shared" si="16"/>
        <v>119.42700000000001</v>
      </c>
      <c r="D58" s="6"/>
      <c r="E58" s="6"/>
      <c r="F58" s="9">
        <f t="shared" si="17"/>
        <v>19105.060000000001</v>
      </c>
      <c r="G58" s="6"/>
      <c r="K58" s="7" t="str">
        <f t="shared" si="18"/>
        <v>2025Q3</v>
      </c>
      <c r="L58" s="6"/>
      <c r="M58" s="9">
        <f t="shared" si="19"/>
        <v>108.53700000000001</v>
      </c>
      <c r="N58" s="6"/>
      <c r="O58" s="6"/>
      <c r="P58" s="9">
        <f t="shared" si="20"/>
        <v>15454.56</v>
      </c>
      <c r="Q58" s="6"/>
    </row>
    <row r="59" spans="1:17" ht="15.5" thickTop="1" thickBot="1" x14ac:dyDescent="0.4">
      <c r="A59" s="7" t="str">
        <f t="shared" si="15"/>
        <v>2025Q4</v>
      </c>
      <c r="B59" s="6"/>
      <c r="C59" s="9">
        <f t="shared" si="16"/>
        <v>120.97799999999999</v>
      </c>
      <c r="D59" s="6"/>
      <c r="E59" s="6"/>
      <c r="F59" s="9">
        <f t="shared" si="17"/>
        <v>19197.366000000002</v>
      </c>
      <c r="G59" s="6"/>
      <c r="K59" s="7" t="str">
        <f t="shared" si="18"/>
        <v>2025Q4</v>
      </c>
      <c r="L59" s="6"/>
      <c r="M59" s="9">
        <f t="shared" si="19"/>
        <v>110.08</v>
      </c>
      <c r="N59" s="6"/>
      <c r="O59" s="6"/>
      <c r="P59" s="9">
        <f t="shared" si="20"/>
        <v>15425.157999999999</v>
      </c>
      <c r="Q59" s="6"/>
    </row>
    <row r="60" spans="1:17" ht="15.5" thickTop="1" thickBot="1" x14ac:dyDescent="0.4">
      <c r="A60" s="7" t="str">
        <f t="shared" si="15"/>
        <v>2026Q1</v>
      </c>
      <c r="B60" s="6"/>
      <c r="C60" s="9">
        <f t="shared" si="16"/>
        <v>122.679</v>
      </c>
      <c r="D60" s="6"/>
      <c r="E60" s="6"/>
      <c r="F60" s="9">
        <f t="shared" si="17"/>
        <v>19330.214</v>
      </c>
      <c r="G60" s="6"/>
      <c r="K60" s="7" t="str">
        <f t="shared" si="18"/>
        <v>2026Q1</v>
      </c>
      <c r="L60" s="6"/>
      <c r="M60" s="9">
        <f t="shared" si="19"/>
        <v>111.776</v>
      </c>
      <c r="N60" s="6"/>
      <c r="O60" s="6"/>
      <c r="P60" s="9">
        <f t="shared" si="20"/>
        <v>15440.105</v>
      </c>
      <c r="Q60" s="6"/>
    </row>
    <row r="61" spans="1:17" ht="15.5" thickTop="1" thickBot="1" x14ac:dyDescent="0.4">
      <c r="A61" s="7" t="str">
        <f t="shared" si="15"/>
        <v>2026Q2</v>
      </c>
      <c r="B61" s="6"/>
      <c r="C61" s="9">
        <f t="shared" si="16"/>
        <v>124.18</v>
      </c>
      <c r="D61" s="6"/>
      <c r="E61" s="6"/>
      <c r="F61" s="9">
        <f t="shared" si="17"/>
        <v>19543.710999999999</v>
      </c>
      <c r="G61" s="6"/>
      <c r="K61" s="7" t="str">
        <f t="shared" si="18"/>
        <v>2026Q2</v>
      </c>
      <c r="L61" s="6"/>
      <c r="M61" s="9">
        <f t="shared" si="19"/>
        <v>113.27200000000001</v>
      </c>
      <c r="N61" s="6"/>
      <c r="O61" s="6"/>
      <c r="P61" s="9">
        <f t="shared" si="20"/>
        <v>15539.17</v>
      </c>
      <c r="Q61" s="6"/>
    </row>
    <row r="62" spans="1:17" ht="15.5" thickTop="1" thickBot="1" x14ac:dyDescent="0.4">
      <c r="A62" s="7" t="str">
        <f t="shared" si="15"/>
        <v>2026Q3</v>
      </c>
      <c r="B62" s="6"/>
      <c r="C62" s="9">
        <f t="shared" si="16"/>
        <v>125.709</v>
      </c>
      <c r="D62" s="6"/>
      <c r="E62" s="6"/>
      <c r="F62" s="9">
        <f t="shared" si="17"/>
        <v>19540.895</v>
      </c>
      <c r="G62" s="6"/>
      <c r="K62" s="7" t="str">
        <f t="shared" si="18"/>
        <v>2026Q3</v>
      </c>
      <c r="L62" s="6"/>
      <c r="M62" s="9">
        <f t="shared" si="19"/>
        <v>114.798</v>
      </c>
      <c r="N62" s="6"/>
      <c r="O62" s="6"/>
      <c r="P62" s="9">
        <f t="shared" si="20"/>
        <v>15425.102999999999</v>
      </c>
      <c r="Q62" s="6"/>
    </row>
    <row r="63" spans="1:17" ht="15.5" thickTop="1" thickBot="1" x14ac:dyDescent="0.4">
      <c r="A63" s="7" t="str">
        <f t="shared" si="15"/>
        <v>2026Q4</v>
      </c>
      <c r="B63" s="6"/>
      <c r="C63" s="9">
        <f t="shared" si="16"/>
        <v>127.265</v>
      </c>
      <c r="D63" s="6"/>
      <c r="E63" s="6"/>
      <c r="F63" s="9">
        <f t="shared" si="17"/>
        <v>19646.580999999998</v>
      </c>
      <c r="G63" s="6"/>
      <c r="K63" s="7" t="str">
        <f t="shared" si="18"/>
        <v>2026Q4</v>
      </c>
      <c r="L63" s="6"/>
      <c r="M63" s="9">
        <f t="shared" si="19"/>
        <v>116.351</v>
      </c>
      <c r="N63" s="6"/>
      <c r="O63" s="6"/>
      <c r="P63" s="9">
        <f t="shared" si="20"/>
        <v>15422.467000000001</v>
      </c>
      <c r="Q63" s="6"/>
    </row>
    <row r="64" spans="1:17" ht="15.5" thickTop="1" thickBot="1" x14ac:dyDescent="0.4">
      <c r="A64" s="7" t="str">
        <f t="shared" si="15"/>
        <v>2027Q1</v>
      </c>
      <c r="B64" s="6"/>
      <c r="C64" s="9">
        <f t="shared" si="16"/>
        <v>128.96799999999999</v>
      </c>
      <c r="D64" s="6"/>
      <c r="E64" s="6"/>
      <c r="F64" s="9">
        <f t="shared" si="17"/>
        <v>19791.719000000001</v>
      </c>
      <c r="G64" s="6"/>
      <c r="K64" s="7" t="str">
        <f t="shared" si="18"/>
        <v>2027Q1</v>
      </c>
      <c r="L64" s="6"/>
      <c r="M64" s="9">
        <f t="shared" si="19"/>
        <v>118.053</v>
      </c>
      <c r="N64" s="6"/>
      <c r="O64" s="6"/>
      <c r="P64" s="9">
        <f t="shared" si="20"/>
        <v>15461.993</v>
      </c>
      <c r="Q64" s="6"/>
    </row>
    <row r="65" spans="1:17" ht="15.5" thickTop="1" thickBot="1" x14ac:dyDescent="0.4">
      <c r="A65" s="7" t="str">
        <f t="shared" si="15"/>
        <v>2027Q2</v>
      </c>
      <c r="B65" s="6"/>
      <c r="C65" s="9">
        <f t="shared" si="16"/>
        <v>130.47</v>
      </c>
      <c r="D65" s="6"/>
      <c r="E65" s="6"/>
      <c r="F65" s="9">
        <f t="shared" si="17"/>
        <v>20016.55</v>
      </c>
      <c r="G65" s="6"/>
      <c r="K65" s="7" t="str">
        <f t="shared" si="18"/>
        <v>2027Q2</v>
      </c>
      <c r="L65" s="6"/>
      <c r="M65" s="9">
        <f t="shared" si="19"/>
        <v>119.554</v>
      </c>
      <c r="N65" s="6"/>
      <c r="O65" s="6"/>
      <c r="P65" s="9">
        <f t="shared" si="20"/>
        <v>15583.726000000001</v>
      </c>
      <c r="Q65" s="6"/>
    </row>
    <row r="66" spans="1:17" ht="15.5" thickTop="1" thickBot="1" x14ac:dyDescent="0.4">
      <c r="A66" s="7" t="str">
        <f t="shared" si="15"/>
        <v>2027Q3</v>
      </c>
      <c r="B66" s="6"/>
      <c r="C66" s="9">
        <f t="shared" si="16"/>
        <v>131.999</v>
      </c>
      <c r="D66" s="6"/>
      <c r="E66" s="6"/>
      <c r="F66" s="9">
        <f t="shared" si="17"/>
        <v>20024.233</v>
      </c>
      <c r="G66" s="6"/>
      <c r="K66" s="7" t="str">
        <f t="shared" si="18"/>
        <v>2027Q3</v>
      </c>
      <c r="L66" s="6"/>
      <c r="M66" s="9">
        <f t="shared" si="19"/>
        <v>121.08199999999999</v>
      </c>
      <c r="N66" s="6"/>
      <c r="O66" s="6"/>
      <c r="P66" s="9">
        <f t="shared" si="20"/>
        <v>15490.655000000001</v>
      </c>
      <c r="Q66" s="6"/>
    </row>
    <row r="67" spans="1:17" ht="15.5" thickTop="1" thickBot="1" x14ac:dyDescent="0.4">
      <c r="A67" s="7" t="str">
        <f t="shared" si="15"/>
        <v>2027Q4</v>
      </c>
      <c r="B67" s="6"/>
      <c r="C67" s="9">
        <f t="shared" si="16"/>
        <v>133.55600000000001</v>
      </c>
      <c r="D67" s="6"/>
      <c r="E67" s="6"/>
      <c r="F67" s="9">
        <f t="shared" si="17"/>
        <v>20139.677</v>
      </c>
      <c r="G67" s="6"/>
      <c r="K67" s="7" t="str">
        <f t="shared" si="18"/>
        <v>2027Q4</v>
      </c>
      <c r="L67" s="6"/>
      <c r="M67" s="9">
        <f t="shared" si="19"/>
        <v>122.63800000000001</v>
      </c>
      <c r="N67" s="6"/>
      <c r="O67" s="6"/>
      <c r="P67" s="9">
        <f t="shared" si="20"/>
        <v>15507.537</v>
      </c>
      <c r="Q67" s="6"/>
    </row>
    <row r="68" spans="1:17" ht="15.5" thickTop="1" thickBot="1" x14ac:dyDescent="0.4">
      <c r="A68" s="7" t="str">
        <f t="shared" si="15"/>
        <v>2028Q1</v>
      </c>
      <c r="B68" s="6"/>
      <c r="C68" s="9">
        <f t="shared" si="16"/>
        <v>135.25899999999999</v>
      </c>
      <c r="D68" s="6"/>
      <c r="E68" s="6"/>
      <c r="F68" s="9">
        <f t="shared" si="17"/>
        <v>20293.919000000002</v>
      </c>
      <c r="G68" s="6"/>
      <c r="K68" s="7" t="str">
        <f t="shared" si="18"/>
        <v>2028Q1</v>
      </c>
      <c r="L68" s="6"/>
      <c r="M68" s="9">
        <f t="shared" si="19"/>
        <v>124.34099999999999</v>
      </c>
      <c r="N68" s="6"/>
      <c r="O68" s="6"/>
      <c r="P68" s="9">
        <f t="shared" si="20"/>
        <v>15565.271000000001</v>
      </c>
      <c r="Q68" s="6"/>
    </row>
    <row r="69" spans="1:17" ht="15.5" thickTop="1" thickBot="1" x14ac:dyDescent="0.4">
      <c r="A69" s="7" t="str">
        <f t="shared" si="15"/>
        <v>2028Q2</v>
      </c>
      <c r="B69" s="6"/>
      <c r="C69" s="9">
        <f t="shared" si="16"/>
        <v>136.761</v>
      </c>
      <c r="D69" s="6"/>
      <c r="E69" s="6"/>
      <c r="F69" s="9">
        <f t="shared" si="17"/>
        <v>20527.27</v>
      </c>
      <c r="G69" s="6"/>
      <c r="K69" s="7" t="str">
        <f t="shared" si="18"/>
        <v>2028Q2</v>
      </c>
      <c r="L69" s="6"/>
      <c r="M69" s="9">
        <f t="shared" si="19"/>
        <v>125.843</v>
      </c>
      <c r="N69" s="6"/>
      <c r="O69" s="6"/>
      <c r="P69" s="9">
        <f t="shared" si="20"/>
        <v>15704.043</v>
      </c>
      <c r="Q69" s="6"/>
    </row>
    <row r="70" spans="1:17" ht="15.5" thickTop="1" thickBot="1" x14ac:dyDescent="0.4">
      <c r="A70" s="7" t="str">
        <f t="shared" si="15"/>
        <v>2028Q3</v>
      </c>
      <c r="B70" s="6"/>
      <c r="C70" s="9">
        <f t="shared" si="16"/>
        <v>138.291</v>
      </c>
      <c r="D70" s="6"/>
      <c r="E70" s="6"/>
      <c r="F70" s="9">
        <f t="shared" si="17"/>
        <v>20542.947</v>
      </c>
      <c r="G70" s="6"/>
      <c r="K70" s="7" t="str">
        <f t="shared" si="18"/>
        <v>2028Q3</v>
      </c>
      <c r="L70" s="6"/>
      <c r="M70" s="9">
        <f t="shared" si="19"/>
        <v>127.372</v>
      </c>
      <c r="N70" s="6"/>
      <c r="O70" s="6"/>
      <c r="P70" s="9">
        <f t="shared" si="20"/>
        <v>15626.962</v>
      </c>
      <c r="Q70" s="6"/>
    </row>
    <row r="71" spans="1:17" ht="15.5" thickTop="1" thickBot="1" x14ac:dyDescent="0.4">
      <c r="A71" s="7" t="str">
        <f t="shared" si="15"/>
        <v>2028Q4</v>
      </c>
      <c r="B71" s="6"/>
      <c r="C71" s="9">
        <f t="shared" si="16"/>
        <v>139.846</v>
      </c>
      <c r="D71" s="6"/>
      <c r="E71" s="6"/>
      <c r="F71" s="9">
        <f t="shared" si="17"/>
        <v>20665.915000000001</v>
      </c>
      <c r="G71" s="6"/>
      <c r="K71" s="7" t="str">
        <f t="shared" si="18"/>
        <v>2028Q4</v>
      </c>
      <c r="L71" s="6"/>
      <c r="M71" s="9">
        <f t="shared" si="19"/>
        <v>128.928</v>
      </c>
      <c r="N71" s="6"/>
      <c r="O71" s="6"/>
      <c r="P71" s="9">
        <f t="shared" si="20"/>
        <v>15658.888999999999</v>
      </c>
      <c r="Q71" s="6"/>
    </row>
    <row r="72" spans="1:17" ht="15.5" thickTop="1" thickBot="1" x14ac:dyDescent="0.4">
      <c r="A72" s="7" t="str">
        <f t="shared" si="15"/>
        <v>2029Q1</v>
      </c>
      <c r="B72" s="6"/>
      <c r="C72" s="9">
        <f t="shared" si="16"/>
        <v>141.54900000000001</v>
      </c>
      <c r="D72" s="6"/>
      <c r="E72" s="6"/>
      <c r="F72" s="9">
        <f t="shared" si="17"/>
        <v>20827.25</v>
      </c>
      <c r="G72" s="6"/>
      <c r="K72" s="7" t="str">
        <f t="shared" si="18"/>
        <v>2029Q1</v>
      </c>
      <c r="L72" s="6"/>
      <c r="M72" s="9">
        <f t="shared" si="19"/>
        <v>130.631</v>
      </c>
      <c r="N72" s="6"/>
      <c r="O72" s="6"/>
      <c r="P72" s="9">
        <f t="shared" si="20"/>
        <v>15730.81</v>
      </c>
      <c r="Q72" s="6"/>
    </row>
    <row r="73" spans="1:17" ht="15.5" thickTop="1" thickBot="1" x14ac:dyDescent="0.4">
      <c r="A73" s="7" t="str">
        <f t="shared" si="15"/>
        <v>2029Q2</v>
      </c>
      <c r="B73" s="6"/>
      <c r="C73" s="9">
        <f t="shared" si="16"/>
        <v>143.05099999999999</v>
      </c>
      <c r="D73" s="6"/>
      <c r="E73" s="6"/>
      <c r="F73" s="9">
        <f t="shared" si="17"/>
        <v>21067.306</v>
      </c>
      <c r="G73" s="6"/>
      <c r="K73" s="7" t="str">
        <f t="shared" si="18"/>
        <v>2029Q2</v>
      </c>
      <c r="L73" s="6"/>
      <c r="M73" s="9">
        <f t="shared" si="19"/>
        <v>132.13300000000001</v>
      </c>
      <c r="N73" s="6"/>
      <c r="O73" s="6"/>
      <c r="P73" s="9">
        <f t="shared" si="20"/>
        <v>15882.993</v>
      </c>
      <c r="Q73" s="6"/>
    </row>
    <row r="74" spans="1:17" ht="15.5" thickTop="1" thickBot="1" x14ac:dyDescent="0.4">
      <c r="A74" s="7" t="str">
        <f t="shared" si="15"/>
        <v>2029Q3</v>
      </c>
      <c r="B74" s="6"/>
      <c r="C74" s="9">
        <f t="shared" si="16"/>
        <v>144.58000000000001</v>
      </c>
      <c r="D74" s="6"/>
      <c r="E74" s="6"/>
      <c r="F74" s="9">
        <f t="shared" si="17"/>
        <v>21089.333999999999</v>
      </c>
      <c r="G74" s="6"/>
      <c r="K74" s="7" t="str">
        <f t="shared" si="18"/>
        <v>2029Q3</v>
      </c>
      <c r="L74" s="6"/>
      <c r="M74" s="9">
        <f t="shared" si="19"/>
        <v>133.661</v>
      </c>
      <c r="N74" s="6"/>
      <c r="O74" s="6"/>
      <c r="P74" s="9">
        <f t="shared" si="20"/>
        <v>15818.614</v>
      </c>
      <c r="Q74" s="6"/>
    </row>
    <row r="75" spans="1:17" ht="15.5" thickTop="1" thickBot="1" x14ac:dyDescent="0.4">
      <c r="A75" s="7" t="str">
        <f t="shared" si="15"/>
        <v>2029Q4</v>
      </c>
      <c r="B75" s="6"/>
      <c r="C75" s="9">
        <f t="shared" si="16"/>
        <v>146.136</v>
      </c>
      <c r="D75" s="6"/>
      <c r="E75" s="6"/>
      <c r="F75" s="9">
        <f t="shared" si="17"/>
        <v>21218.328000000001</v>
      </c>
      <c r="G75" s="6"/>
      <c r="K75" s="7" t="str">
        <f t="shared" si="18"/>
        <v>2029Q4</v>
      </c>
      <c r="L75" s="6"/>
      <c r="M75" s="9">
        <f t="shared" si="19"/>
        <v>135.21700000000001</v>
      </c>
      <c r="N75" s="6"/>
      <c r="O75" s="6"/>
      <c r="P75" s="9">
        <f t="shared" si="20"/>
        <v>15862.593999999999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L1:Q1"/>
    <mergeCell ref="S1:X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4" t="s">
        <v>4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2">
        <v>8.5143886573542087</v>
      </c>
      <c r="M3" s="42">
        <v>6.0186274615877586</v>
      </c>
      <c r="N3" s="42">
        <v>11.010149853120657</v>
      </c>
      <c r="O3" s="1">
        <f t="shared" ref="O3:O34" si="0">ROUND(M3,3)</f>
        <v>6.0190000000000001</v>
      </c>
      <c r="P3" s="1">
        <f t="shared" ref="P3:P14" si="1">ROUND(L3,3)</f>
        <v>8.5139999999999993</v>
      </c>
      <c r="Q3" s="1">
        <f t="shared" ref="Q3:Q14" si="2">ROUND(N3,3)</f>
        <v>11.01</v>
      </c>
      <c r="R3" s="14" t="str">
        <f>K3</f>
        <v>2022Q1</v>
      </c>
      <c r="S3" s="55">
        <v>45.399570964682226</v>
      </c>
      <c r="T3" s="55">
        <v>31.680259749686915</v>
      </c>
      <c r="U3" s="55">
        <v>59.118882179677541</v>
      </c>
      <c r="V3" s="1">
        <f t="shared" ref="V3:V34" si="3">ROUND(T3,3)</f>
        <v>31.68</v>
      </c>
      <c r="W3" s="1">
        <f t="shared" ref="W3:W34" si="4">ROUND(S3,3)</f>
        <v>45.4</v>
      </c>
      <c r="X3" s="1">
        <f t="shared" ref="X3:X34" si="5">ROUND(U3,3)</f>
        <v>59.119</v>
      </c>
    </row>
    <row r="4" spans="1:30" ht="15.5" thickTop="1" thickBot="1" x14ac:dyDescent="0.4">
      <c r="A4" s="5" t="str">
        <f>K3</f>
        <v>2022Q1</v>
      </c>
      <c r="B4" s="2">
        <f>O3</f>
        <v>6.0190000000000001</v>
      </c>
      <c r="C4" s="3">
        <f>P3</f>
        <v>8.5139999999999993</v>
      </c>
      <c r="D4" s="2">
        <f>Q3</f>
        <v>11.01</v>
      </c>
      <c r="E4" s="2">
        <f>V3</f>
        <v>31.68</v>
      </c>
      <c r="F4" s="3">
        <f>W3</f>
        <v>45.4</v>
      </c>
      <c r="G4" s="2">
        <f>X3</f>
        <v>59.119</v>
      </c>
      <c r="K4" s="14" t="s">
        <v>68</v>
      </c>
      <c r="L4" s="42">
        <v>10.184414463140154</v>
      </c>
      <c r="M4" s="42">
        <v>7.3391141874993444</v>
      </c>
      <c r="N4" s="42">
        <v>13.029714738780964</v>
      </c>
      <c r="O4" s="1">
        <f t="shared" si="0"/>
        <v>7.3390000000000004</v>
      </c>
      <c r="P4" s="1">
        <f t="shared" si="1"/>
        <v>10.183999999999999</v>
      </c>
      <c r="Q4" s="1">
        <f t="shared" si="2"/>
        <v>13.03</v>
      </c>
      <c r="R4" s="14" t="str">
        <f t="shared" ref="R4:R34" si="6">K4</f>
        <v>2022Q2</v>
      </c>
      <c r="S4" s="55">
        <v>46.358093182145851</v>
      </c>
      <c r="T4" s="55">
        <v>29.504473388729622</v>
      </c>
      <c r="U4" s="55">
        <v>63.211712975562065</v>
      </c>
      <c r="V4" s="1">
        <f t="shared" si="3"/>
        <v>29.504000000000001</v>
      </c>
      <c r="W4" s="1">
        <f t="shared" si="4"/>
        <v>46.357999999999997</v>
      </c>
      <c r="X4" s="1">
        <f t="shared" si="5"/>
        <v>63.212000000000003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7.3390000000000004</v>
      </c>
      <c r="C5" s="3">
        <f t="shared" si="8"/>
        <v>10.183999999999999</v>
      </c>
      <c r="D5" s="2">
        <f t="shared" si="8"/>
        <v>13.03</v>
      </c>
      <c r="E5" s="2">
        <f t="shared" ref="E5:G20" si="9">V4</f>
        <v>29.504000000000001</v>
      </c>
      <c r="F5" s="3">
        <f t="shared" si="9"/>
        <v>46.357999999999997</v>
      </c>
      <c r="G5" s="2">
        <f t="shared" si="9"/>
        <v>63.212000000000003</v>
      </c>
      <c r="I5" s="1">
        <f>SUM(F5:F8)</f>
        <v>181.36599999999999</v>
      </c>
      <c r="K5" s="14" t="s">
        <v>69</v>
      </c>
      <c r="L5" s="42">
        <v>9.0813770940428711</v>
      </c>
      <c r="M5" s="42">
        <v>5.9868153974280629</v>
      </c>
      <c r="N5" s="42">
        <v>12.175938790657678</v>
      </c>
      <c r="O5" s="1">
        <f t="shared" si="0"/>
        <v>5.9870000000000001</v>
      </c>
      <c r="P5" s="1">
        <f t="shared" si="1"/>
        <v>9.0809999999999995</v>
      </c>
      <c r="Q5" s="1">
        <f t="shared" si="2"/>
        <v>12.176</v>
      </c>
      <c r="R5" s="14" t="str">
        <f t="shared" si="6"/>
        <v>2022Q3</v>
      </c>
      <c r="S5" s="55">
        <v>44.951634525496893</v>
      </c>
      <c r="T5" s="55">
        <v>25.816929153034984</v>
      </c>
      <c r="U5" s="55">
        <v>64.086339897958794</v>
      </c>
      <c r="V5" s="1">
        <f t="shared" si="3"/>
        <v>25.817</v>
      </c>
      <c r="W5" s="1">
        <f t="shared" si="4"/>
        <v>44.951999999999998</v>
      </c>
      <c r="X5" s="1">
        <f t="shared" si="5"/>
        <v>64.085999999999999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5.9870000000000001</v>
      </c>
      <c r="C6" s="3">
        <f t="shared" si="8"/>
        <v>9.0809999999999995</v>
      </c>
      <c r="D6" s="2">
        <f t="shared" si="8"/>
        <v>12.176</v>
      </c>
      <c r="E6" s="2">
        <f t="shared" si="9"/>
        <v>25.817</v>
      </c>
      <c r="F6" s="3">
        <f t="shared" si="9"/>
        <v>44.951999999999998</v>
      </c>
      <c r="G6" s="2">
        <f t="shared" si="9"/>
        <v>64.085999999999999</v>
      </c>
      <c r="I6" s="1">
        <f>SUM(F9:F12)</f>
        <v>180.25300000000001</v>
      </c>
      <c r="K6" s="14" t="s">
        <v>70</v>
      </c>
      <c r="L6" s="42">
        <v>9.6924402609090148</v>
      </c>
      <c r="M6" s="42">
        <v>6.4136439581559976</v>
      </c>
      <c r="N6" s="42">
        <v>12.971236563662032</v>
      </c>
      <c r="O6" s="1">
        <f t="shared" si="0"/>
        <v>6.4139999999999997</v>
      </c>
      <c r="P6" s="1">
        <f t="shared" si="1"/>
        <v>9.6920000000000002</v>
      </c>
      <c r="Q6" s="1">
        <f t="shared" si="2"/>
        <v>12.971</v>
      </c>
      <c r="R6" s="14" t="str">
        <f t="shared" si="6"/>
        <v>2022Q4</v>
      </c>
      <c r="S6" s="55">
        <v>45.033570200228183</v>
      </c>
      <c r="T6" s="55">
        <v>23.919582124777783</v>
      </c>
      <c r="U6" s="55">
        <v>66.147558275678577</v>
      </c>
      <c r="V6" s="1">
        <f t="shared" si="3"/>
        <v>23.92</v>
      </c>
      <c r="W6" s="1">
        <f t="shared" si="4"/>
        <v>45.033999999999999</v>
      </c>
      <c r="X6" s="1">
        <f t="shared" si="5"/>
        <v>66.147999999999996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6.4139999999999997</v>
      </c>
      <c r="C7" s="3">
        <f t="shared" si="8"/>
        <v>9.6920000000000002</v>
      </c>
      <c r="D7" s="2">
        <f t="shared" si="8"/>
        <v>12.971</v>
      </c>
      <c r="E7" s="2">
        <f t="shared" si="9"/>
        <v>23.92</v>
      </c>
      <c r="F7" s="3">
        <f t="shared" si="9"/>
        <v>45.033999999999999</v>
      </c>
      <c r="G7" s="2">
        <f t="shared" si="9"/>
        <v>66.147999999999996</v>
      </c>
      <c r="I7" s="1">
        <f>SUM(F13:F16)</f>
        <v>179.16200000000001</v>
      </c>
      <c r="K7" s="14" t="s">
        <v>71</v>
      </c>
      <c r="L7" s="42">
        <v>8.4601994634946216</v>
      </c>
      <c r="M7" s="42">
        <v>5.0423470397969323</v>
      </c>
      <c r="N7" s="42">
        <v>11.87805188719231</v>
      </c>
      <c r="O7" s="1">
        <f t="shared" si="0"/>
        <v>5.0419999999999998</v>
      </c>
      <c r="P7" s="1">
        <f t="shared" si="1"/>
        <v>8.4600000000000009</v>
      </c>
      <c r="Q7" s="1">
        <f t="shared" si="2"/>
        <v>11.878</v>
      </c>
      <c r="R7" s="14" t="str">
        <f t="shared" si="6"/>
        <v>2023Q1</v>
      </c>
      <c r="S7" s="55">
        <v>45.022266588116963</v>
      </c>
      <c r="T7" s="55">
        <v>22.108999492855901</v>
      </c>
      <c r="U7" s="55">
        <v>67.935533683378026</v>
      </c>
      <c r="V7" s="1">
        <f t="shared" si="3"/>
        <v>22.109000000000002</v>
      </c>
      <c r="W7" s="1">
        <f t="shared" si="4"/>
        <v>45.021999999999998</v>
      </c>
      <c r="X7" s="1">
        <f t="shared" si="5"/>
        <v>67.936000000000007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5.0419999999999998</v>
      </c>
      <c r="C8" s="3">
        <f t="shared" si="8"/>
        <v>8.4600000000000009</v>
      </c>
      <c r="D8" s="2">
        <f t="shared" si="8"/>
        <v>11.878</v>
      </c>
      <c r="E8" s="2">
        <f t="shared" si="9"/>
        <v>22.109000000000002</v>
      </c>
      <c r="F8" s="3">
        <f t="shared" si="9"/>
        <v>45.021999999999998</v>
      </c>
      <c r="G8" s="2">
        <f t="shared" si="9"/>
        <v>67.936000000000007</v>
      </c>
      <c r="I8" s="1">
        <f>SUM(F17:F20)</f>
        <v>178.07400000000001</v>
      </c>
      <c r="K8" s="14" t="s">
        <v>72</v>
      </c>
      <c r="L8" s="42">
        <v>10.088782170037842</v>
      </c>
      <c r="M8" s="42">
        <v>6.5645483398069668</v>
      </c>
      <c r="N8" s="42">
        <v>13.613016000268717</v>
      </c>
      <c r="O8" s="1">
        <f t="shared" si="0"/>
        <v>6.5650000000000004</v>
      </c>
      <c r="P8" s="1">
        <f t="shared" si="1"/>
        <v>10.089</v>
      </c>
      <c r="Q8" s="1">
        <f t="shared" si="2"/>
        <v>13.613</v>
      </c>
      <c r="R8" s="14" t="str">
        <f t="shared" si="6"/>
        <v>2023Q2</v>
      </c>
      <c r="S8" s="55">
        <v>46.066295025043715</v>
      </c>
      <c r="T8" s="55">
        <v>21.486780208037722</v>
      </c>
      <c r="U8" s="55">
        <v>70.645809842049715</v>
      </c>
      <c r="V8" s="1">
        <f t="shared" si="3"/>
        <v>21.486999999999998</v>
      </c>
      <c r="W8" s="1">
        <f t="shared" si="4"/>
        <v>46.066000000000003</v>
      </c>
      <c r="X8" s="1">
        <f t="shared" si="5"/>
        <v>70.646000000000001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6.5650000000000004</v>
      </c>
      <c r="C9" s="3">
        <f t="shared" si="8"/>
        <v>10.089</v>
      </c>
      <c r="D9" s="2">
        <f t="shared" si="8"/>
        <v>13.613</v>
      </c>
      <c r="E9" s="2">
        <f t="shared" si="9"/>
        <v>21.486999999999998</v>
      </c>
      <c r="F9" s="3">
        <f t="shared" si="9"/>
        <v>46.066000000000003</v>
      </c>
      <c r="G9" s="2">
        <f t="shared" si="9"/>
        <v>70.646000000000001</v>
      </c>
      <c r="I9" s="1">
        <f>SUM(F21:F24)</f>
        <v>176.98500000000001</v>
      </c>
      <c r="K9" s="14" t="s">
        <v>73</v>
      </c>
      <c r="L9" s="42">
        <v>8.9488380105636267</v>
      </c>
      <c r="M9" s="42">
        <v>5.3424674340715024</v>
      </c>
      <c r="N9" s="42">
        <v>12.55520858705575</v>
      </c>
      <c r="O9" s="1">
        <f t="shared" si="0"/>
        <v>5.3419999999999996</v>
      </c>
      <c r="P9" s="1">
        <f t="shared" si="1"/>
        <v>8.9489999999999998</v>
      </c>
      <c r="Q9" s="1">
        <f t="shared" si="2"/>
        <v>12.555</v>
      </c>
      <c r="R9" s="14" t="str">
        <f t="shared" si="6"/>
        <v>2023Q3</v>
      </c>
      <c r="S9" s="55">
        <v>44.675686195827666</v>
      </c>
      <c r="T9" s="55">
        <v>18.536214391645423</v>
      </c>
      <c r="U9" s="55">
        <v>70.815158000009916</v>
      </c>
      <c r="V9" s="1">
        <f t="shared" si="3"/>
        <v>18.536000000000001</v>
      </c>
      <c r="W9" s="1">
        <f t="shared" si="4"/>
        <v>44.676000000000002</v>
      </c>
      <c r="X9" s="1">
        <f t="shared" si="5"/>
        <v>70.814999999999998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5.3419999999999996</v>
      </c>
      <c r="C10" s="3">
        <f t="shared" si="8"/>
        <v>8.9489999999999998</v>
      </c>
      <c r="D10" s="2">
        <f t="shared" si="8"/>
        <v>12.555</v>
      </c>
      <c r="E10" s="2">
        <f t="shared" si="9"/>
        <v>18.536000000000001</v>
      </c>
      <c r="F10" s="3">
        <f t="shared" si="9"/>
        <v>44.676000000000002</v>
      </c>
      <c r="G10" s="2">
        <f t="shared" si="9"/>
        <v>70.814999999999998</v>
      </c>
      <c r="I10" s="1">
        <f>SUM(F25:F28)</f>
        <v>175.89399999999998</v>
      </c>
      <c r="K10" s="14" t="s">
        <v>74</v>
      </c>
      <c r="L10" s="42">
        <v>9.5270341573271153</v>
      </c>
      <c r="M10" s="42">
        <v>5.8568306205354848</v>
      </c>
      <c r="N10" s="42">
        <v>13.197237694118746</v>
      </c>
      <c r="O10" s="1">
        <f t="shared" si="0"/>
        <v>5.8570000000000002</v>
      </c>
      <c r="P10" s="1">
        <f t="shared" si="1"/>
        <v>9.5269999999999992</v>
      </c>
      <c r="Q10" s="1">
        <f t="shared" si="2"/>
        <v>13.196999999999999</v>
      </c>
      <c r="R10" s="14" t="str">
        <f t="shared" si="6"/>
        <v>2023Q4</v>
      </c>
      <c r="S10" s="55">
        <v>44.76055986771555</v>
      </c>
      <c r="T10" s="55">
        <v>17.149174761951059</v>
      </c>
      <c r="U10" s="55">
        <v>72.371944973480041</v>
      </c>
      <c r="V10" s="1">
        <f t="shared" si="3"/>
        <v>17.149000000000001</v>
      </c>
      <c r="W10" s="1">
        <f t="shared" si="4"/>
        <v>44.761000000000003</v>
      </c>
      <c r="X10" s="1">
        <f t="shared" si="5"/>
        <v>72.372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5.8570000000000002</v>
      </c>
      <c r="C11" s="3">
        <f t="shared" si="8"/>
        <v>9.5269999999999992</v>
      </c>
      <c r="D11" s="2">
        <f t="shared" si="8"/>
        <v>13.196999999999999</v>
      </c>
      <c r="E11" s="2">
        <f t="shared" si="9"/>
        <v>17.149000000000001</v>
      </c>
      <c r="F11" s="3">
        <f t="shared" si="9"/>
        <v>44.761000000000003</v>
      </c>
      <c r="G11" s="2">
        <f t="shared" si="9"/>
        <v>72.372</v>
      </c>
      <c r="I11" s="1">
        <f>SUM(F29:F32)</f>
        <v>174.80600000000001</v>
      </c>
      <c r="K11" s="14" t="s">
        <v>75</v>
      </c>
      <c r="L11" s="42">
        <v>8.2655239219747276</v>
      </c>
      <c r="M11" s="42">
        <v>4.5454754769560788</v>
      </c>
      <c r="N11" s="42">
        <v>11.985572366993376</v>
      </c>
      <c r="O11" s="1">
        <f t="shared" si="0"/>
        <v>4.5449999999999999</v>
      </c>
      <c r="P11" s="1">
        <f t="shared" si="1"/>
        <v>8.266</v>
      </c>
      <c r="Q11" s="1">
        <f t="shared" si="2"/>
        <v>11.986000000000001</v>
      </c>
      <c r="R11" s="14" t="str">
        <f t="shared" si="6"/>
        <v>2024Q1</v>
      </c>
      <c r="S11" s="55">
        <v>44.74980085631551</v>
      </c>
      <c r="T11" s="55">
        <v>15.741101075542424</v>
      </c>
      <c r="U11" s="55">
        <v>73.758500637088588</v>
      </c>
      <c r="V11" s="1">
        <f t="shared" si="3"/>
        <v>15.741</v>
      </c>
      <c r="W11" s="1">
        <f t="shared" si="4"/>
        <v>44.75</v>
      </c>
      <c r="X11" s="1">
        <f t="shared" si="5"/>
        <v>73.759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4.5449999999999999</v>
      </c>
      <c r="C12" s="3">
        <f t="shared" si="8"/>
        <v>8.266</v>
      </c>
      <c r="D12" s="2">
        <f t="shared" si="8"/>
        <v>11.986000000000001</v>
      </c>
      <c r="E12" s="2">
        <f t="shared" si="9"/>
        <v>15.741</v>
      </c>
      <c r="F12" s="3">
        <f t="shared" si="9"/>
        <v>44.75</v>
      </c>
      <c r="G12" s="2">
        <f t="shared" si="9"/>
        <v>73.759</v>
      </c>
      <c r="K12" s="14" t="s">
        <v>76</v>
      </c>
      <c r="L12" s="42">
        <v>9.8680409859823488</v>
      </c>
      <c r="M12" s="42">
        <v>6.1089322484390385</v>
      </c>
      <c r="N12" s="42">
        <v>13.627149723525658</v>
      </c>
      <c r="O12" s="1">
        <f t="shared" si="0"/>
        <v>6.109</v>
      </c>
      <c r="P12" s="1">
        <f t="shared" si="1"/>
        <v>9.8680000000000003</v>
      </c>
      <c r="Q12" s="1">
        <f t="shared" si="2"/>
        <v>13.627000000000001</v>
      </c>
      <c r="R12" s="14" t="str">
        <f t="shared" si="6"/>
        <v>2024Q2</v>
      </c>
      <c r="S12" s="55">
        <v>45.793930242943304</v>
      </c>
      <c r="T12" s="55">
        <v>15.452199227246663</v>
      </c>
      <c r="U12" s="55">
        <v>76.135661258639942</v>
      </c>
      <c r="V12" s="1">
        <f t="shared" si="3"/>
        <v>15.452</v>
      </c>
      <c r="W12" s="1">
        <f t="shared" si="4"/>
        <v>45.793999999999997</v>
      </c>
      <c r="X12" s="1">
        <f t="shared" si="5"/>
        <v>76.135999999999996</v>
      </c>
    </row>
    <row r="13" spans="1:30" ht="15.5" thickTop="1" thickBot="1" x14ac:dyDescent="0.4">
      <c r="A13" s="5" t="str">
        <f t="shared" si="7"/>
        <v>2024Q2</v>
      </c>
      <c r="B13" s="2">
        <f t="shared" si="8"/>
        <v>6.109</v>
      </c>
      <c r="C13" s="3">
        <f t="shared" si="8"/>
        <v>9.8680000000000003</v>
      </c>
      <c r="D13" s="2">
        <f t="shared" si="8"/>
        <v>13.627000000000001</v>
      </c>
      <c r="E13" s="2">
        <f t="shared" si="9"/>
        <v>15.452</v>
      </c>
      <c r="F13" s="3">
        <f t="shared" si="9"/>
        <v>45.793999999999997</v>
      </c>
      <c r="G13" s="2">
        <f t="shared" si="9"/>
        <v>76.135999999999996</v>
      </c>
      <c r="K13" s="14" t="s">
        <v>77</v>
      </c>
      <c r="L13" s="42">
        <v>8.7048842960101798</v>
      </c>
      <c r="M13" s="42">
        <v>4.9150844840445549</v>
      </c>
      <c r="N13" s="42">
        <v>12.494684107975804</v>
      </c>
      <c r="O13" s="1">
        <f t="shared" si="0"/>
        <v>4.915</v>
      </c>
      <c r="P13" s="1">
        <f t="shared" si="1"/>
        <v>8.7050000000000001</v>
      </c>
      <c r="Q13" s="1">
        <f t="shared" si="2"/>
        <v>12.494999999999999</v>
      </c>
      <c r="R13" s="14" t="str">
        <f t="shared" si="6"/>
        <v>2024Q3</v>
      </c>
      <c r="S13" s="55">
        <v>44.403340126229708</v>
      </c>
      <c r="T13" s="55">
        <v>12.784728502343166</v>
      </c>
      <c r="U13" s="55">
        <v>76.021951750116244</v>
      </c>
      <c r="V13" s="1">
        <f t="shared" si="3"/>
        <v>12.785</v>
      </c>
      <c r="W13" s="1">
        <f t="shared" si="4"/>
        <v>44.402999999999999</v>
      </c>
      <c r="X13" s="1">
        <f t="shared" si="5"/>
        <v>76.022000000000006</v>
      </c>
    </row>
    <row r="14" spans="1:30" ht="15.5" thickTop="1" thickBot="1" x14ac:dyDescent="0.4">
      <c r="A14" s="5" t="str">
        <f t="shared" si="7"/>
        <v>2024Q3</v>
      </c>
      <c r="B14" s="2">
        <f t="shared" si="8"/>
        <v>4.915</v>
      </c>
      <c r="C14" s="3">
        <f t="shared" si="8"/>
        <v>8.7050000000000001</v>
      </c>
      <c r="D14" s="2">
        <f t="shared" si="8"/>
        <v>12.494999999999999</v>
      </c>
      <c r="E14" s="2">
        <f t="shared" si="9"/>
        <v>12.785</v>
      </c>
      <c r="F14" s="3">
        <f t="shared" si="9"/>
        <v>44.402999999999999</v>
      </c>
      <c r="G14" s="2">
        <f t="shared" si="9"/>
        <v>76.022000000000006</v>
      </c>
      <c r="K14" s="14" t="s">
        <v>82</v>
      </c>
      <c r="L14" s="42">
        <v>9.2624087263031267</v>
      </c>
      <c r="M14" s="42">
        <v>5.4484445301699385</v>
      </c>
      <c r="N14" s="42">
        <v>13.076372922436315</v>
      </c>
      <c r="O14" s="1">
        <f t="shared" si="0"/>
        <v>5.4480000000000004</v>
      </c>
      <c r="P14" s="1">
        <f t="shared" si="1"/>
        <v>9.2620000000000005</v>
      </c>
      <c r="Q14" s="1">
        <f t="shared" si="2"/>
        <v>13.076000000000001</v>
      </c>
      <c r="R14" s="14" t="str">
        <f t="shared" si="6"/>
        <v>2024Q4</v>
      </c>
      <c r="S14" s="55">
        <v>44.488217266753395</v>
      </c>
      <c r="T14" s="55">
        <v>11.64232623504402</v>
      </c>
      <c r="U14" s="55">
        <v>77.334108298462766</v>
      </c>
      <c r="V14" s="1">
        <f t="shared" si="3"/>
        <v>11.641999999999999</v>
      </c>
      <c r="W14" s="1">
        <f t="shared" si="4"/>
        <v>44.488</v>
      </c>
      <c r="X14" s="1">
        <f t="shared" si="5"/>
        <v>77.334000000000003</v>
      </c>
    </row>
    <row r="15" spans="1:30" ht="15.5" thickTop="1" thickBot="1" x14ac:dyDescent="0.4">
      <c r="A15" s="5" t="str">
        <f t="shared" si="7"/>
        <v>2024Q4</v>
      </c>
      <c r="B15" s="2">
        <f t="shared" si="8"/>
        <v>5.4480000000000004</v>
      </c>
      <c r="C15" s="3">
        <f t="shared" si="8"/>
        <v>9.2620000000000005</v>
      </c>
      <c r="D15" s="2">
        <f t="shared" si="8"/>
        <v>13.076000000000001</v>
      </c>
      <c r="E15" s="2">
        <f t="shared" si="9"/>
        <v>11.641999999999999</v>
      </c>
      <c r="F15" s="3">
        <f t="shared" si="9"/>
        <v>44.488</v>
      </c>
      <c r="G15" s="2">
        <f t="shared" si="9"/>
        <v>77.334000000000003</v>
      </c>
      <c r="K15" s="14" t="s">
        <v>79</v>
      </c>
      <c r="L15" s="42">
        <v>7.9824894742398671</v>
      </c>
      <c r="M15" s="42">
        <v>4.1494696931282062</v>
      </c>
      <c r="N15" s="42">
        <v>11.815509255351529</v>
      </c>
      <c r="O15" s="1">
        <f t="shared" si="0"/>
        <v>4.149</v>
      </c>
      <c r="P15" s="1">
        <f t="shared" ref="P15:P34" si="10">ROUND(L15,3)</f>
        <v>7.9820000000000002</v>
      </c>
      <c r="Q15" s="1">
        <f t="shared" ref="Q15:Q34" si="11">ROUND(N15,3)</f>
        <v>11.816000000000001</v>
      </c>
      <c r="R15" s="14" t="str">
        <f t="shared" si="6"/>
        <v>2025Q1</v>
      </c>
      <c r="S15" s="55">
        <v>44.477458898315696</v>
      </c>
      <c r="T15" s="55">
        <v>10.448522481040186</v>
      </c>
      <c r="U15" s="55">
        <v>78.506395315591206</v>
      </c>
      <c r="V15" s="1">
        <f t="shared" si="3"/>
        <v>10.449</v>
      </c>
      <c r="W15" s="1">
        <f t="shared" si="4"/>
        <v>44.476999999999997</v>
      </c>
      <c r="X15" s="1">
        <f t="shared" si="5"/>
        <v>78.506</v>
      </c>
    </row>
    <row r="16" spans="1:30" ht="15.5" thickTop="1" thickBot="1" x14ac:dyDescent="0.4">
      <c r="A16" s="5" t="str">
        <f t="shared" si="7"/>
        <v>2025Q1</v>
      </c>
      <c r="B16" s="2">
        <f t="shared" si="8"/>
        <v>4.149</v>
      </c>
      <c r="C16" s="3">
        <f t="shared" si="8"/>
        <v>7.9820000000000002</v>
      </c>
      <c r="D16" s="2">
        <f t="shared" si="8"/>
        <v>11.816000000000001</v>
      </c>
      <c r="E16" s="2">
        <f t="shared" si="9"/>
        <v>10.449</v>
      </c>
      <c r="F16" s="3">
        <f t="shared" si="9"/>
        <v>44.476999999999997</v>
      </c>
      <c r="G16" s="2">
        <f t="shared" si="9"/>
        <v>78.506</v>
      </c>
      <c r="K16" s="14" t="s">
        <v>80</v>
      </c>
      <c r="L16" s="42">
        <v>9.5686125490621148</v>
      </c>
      <c r="M16" s="42">
        <v>5.7205475663128578</v>
      </c>
      <c r="N16" s="42">
        <v>13.416677531811372</v>
      </c>
      <c r="O16" s="1">
        <f t="shared" si="0"/>
        <v>5.7210000000000001</v>
      </c>
      <c r="P16" s="1">
        <f t="shared" si="10"/>
        <v>9.5690000000000008</v>
      </c>
      <c r="Q16" s="1">
        <f t="shared" si="11"/>
        <v>13.417</v>
      </c>
      <c r="R16" s="14" t="str">
        <f t="shared" si="6"/>
        <v>2025Q2</v>
      </c>
      <c r="S16" s="55">
        <v>45.52158840412595</v>
      </c>
      <c r="T16" s="55">
        <v>10.3493767932537</v>
      </c>
      <c r="U16" s="55">
        <v>80.693800014998203</v>
      </c>
      <c r="V16" s="1">
        <f t="shared" si="3"/>
        <v>10.349</v>
      </c>
      <c r="W16" s="1">
        <f t="shared" si="4"/>
        <v>45.521999999999998</v>
      </c>
      <c r="X16" s="1">
        <f t="shared" si="5"/>
        <v>80.694000000000003</v>
      </c>
    </row>
    <row r="17" spans="1:24" ht="15.5" thickTop="1" thickBot="1" x14ac:dyDescent="0.4">
      <c r="A17" s="5" t="str">
        <f t="shared" si="7"/>
        <v>2025Q2</v>
      </c>
      <c r="B17" s="2">
        <f t="shared" si="8"/>
        <v>5.7210000000000001</v>
      </c>
      <c r="C17" s="3">
        <f t="shared" si="8"/>
        <v>9.5690000000000008</v>
      </c>
      <c r="D17" s="2">
        <f t="shared" si="8"/>
        <v>13.417</v>
      </c>
      <c r="E17" s="2">
        <f t="shared" si="9"/>
        <v>10.349</v>
      </c>
      <c r="F17" s="3">
        <f t="shared" si="9"/>
        <v>45.521999999999998</v>
      </c>
      <c r="G17" s="2">
        <f t="shared" si="9"/>
        <v>80.694000000000003</v>
      </c>
      <c r="K17" s="14" t="s">
        <v>81</v>
      </c>
      <c r="L17" s="42">
        <v>8.3908563350832441</v>
      </c>
      <c r="M17" s="42">
        <v>4.5309012432805016</v>
      </c>
      <c r="N17" s="42">
        <v>12.250811426885985</v>
      </c>
      <c r="O17" s="1">
        <f t="shared" si="0"/>
        <v>4.5309999999999997</v>
      </c>
      <c r="P17" s="1">
        <f t="shared" si="10"/>
        <v>8.391</v>
      </c>
      <c r="Q17" s="1">
        <f t="shared" si="11"/>
        <v>12.250999999999999</v>
      </c>
      <c r="R17" s="14" t="str">
        <f t="shared" si="6"/>
        <v>2025Q3</v>
      </c>
      <c r="S17" s="55">
        <v>44.130998309504569</v>
      </c>
      <c r="T17" s="55">
        <v>7.8515216665367635</v>
      </c>
      <c r="U17" s="55">
        <v>80.410474952472384</v>
      </c>
      <c r="V17" s="1">
        <f t="shared" si="3"/>
        <v>7.8520000000000003</v>
      </c>
      <c r="W17" s="1">
        <f t="shared" si="4"/>
        <v>44.131</v>
      </c>
      <c r="X17" s="1">
        <f t="shared" si="5"/>
        <v>80.41</v>
      </c>
    </row>
    <row r="18" spans="1:24" ht="15.5" thickTop="1" thickBot="1" x14ac:dyDescent="0.4">
      <c r="A18" s="5" t="str">
        <f t="shared" si="7"/>
        <v>2025Q3</v>
      </c>
      <c r="B18" s="2">
        <f t="shared" si="8"/>
        <v>4.5309999999999997</v>
      </c>
      <c r="C18" s="3">
        <f t="shared" si="8"/>
        <v>8.391</v>
      </c>
      <c r="D18" s="2">
        <f t="shared" si="8"/>
        <v>12.250999999999999</v>
      </c>
      <c r="E18" s="2">
        <f t="shared" si="9"/>
        <v>7.8520000000000003</v>
      </c>
      <c r="F18" s="3">
        <f t="shared" si="9"/>
        <v>44.131</v>
      </c>
      <c r="G18" s="2">
        <f t="shared" si="9"/>
        <v>80.41</v>
      </c>
      <c r="K18" s="14" t="s">
        <v>78</v>
      </c>
      <c r="L18" s="42">
        <v>8.9353792866749338</v>
      </c>
      <c r="M18" s="42">
        <v>5.0660205582432187</v>
      </c>
      <c r="N18" s="42">
        <v>12.804738015106651</v>
      </c>
      <c r="O18" s="1">
        <f t="shared" si="0"/>
        <v>5.0659999999999998</v>
      </c>
      <c r="P18" s="1">
        <f t="shared" si="10"/>
        <v>8.9350000000000005</v>
      </c>
      <c r="Q18" s="1">
        <f t="shared" si="11"/>
        <v>12.805</v>
      </c>
      <c r="R18" s="14" t="str">
        <f t="shared" si="6"/>
        <v>2025Q4</v>
      </c>
      <c r="S18" s="55">
        <v>44.215875454123378</v>
      </c>
      <c r="T18" s="55">
        <v>6.8619415063935314</v>
      </c>
      <c r="U18" s="55">
        <v>81.56980940185322</v>
      </c>
      <c r="V18" s="1">
        <f t="shared" si="3"/>
        <v>6.8620000000000001</v>
      </c>
      <c r="W18" s="1">
        <f t="shared" si="4"/>
        <v>44.216000000000001</v>
      </c>
      <c r="X18" s="1">
        <f t="shared" si="5"/>
        <v>81.569999999999993</v>
      </c>
    </row>
    <row r="19" spans="1:24" ht="15.5" thickTop="1" thickBot="1" x14ac:dyDescent="0.4">
      <c r="A19" s="5" t="str">
        <f t="shared" si="7"/>
        <v>2025Q4</v>
      </c>
      <c r="B19" s="2">
        <f t="shared" si="8"/>
        <v>5.0659999999999998</v>
      </c>
      <c r="C19" s="3">
        <f t="shared" si="8"/>
        <v>8.9350000000000005</v>
      </c>
      <c r="D19" s="2">
        <f t="shared" si="8"/>
        <v>12.805</v>
      </c>
      <c r="E19" s="2">
        <f t="shared" si="9"/>
        <v>6.8620000000000001</v>
      </c>
      <c r="F19" s="3">
        <f t="shared" si="9"/>
        <v>44.216000000000001</v>
      </c>
      <c r="G19" s="2">
        <f t="shared" si="9"/>
        <v>81.569999999999993</v>
      </c>
      <c r="K19" s="14" t="s">
        <v>90</v>
      </c>
      <c r="L19" s="42">
        <v>7.6438816812118207</v>
      </c>
      <c r="M19" s="42">
        <v>3.7670814871315503</v>
      </c>
      <c r="N19" s="42">
        <v>11.520681875292093</v>
      </c>
      <c r="O19" s="1">
        <f t="shared" si="0"/>
        <v>3.7669999999999999</v>
      </c>
      <c r="P19" s="1">
        <f t="shared" si="10"/>
        <v>7.6440000000000001</v>
      </c>
      <c r="Q19" s="1">
        <f t="shared" si="11"/>
        <v>11.521000000000001</v>
      </c>
      <c r="R19" s="14" t="str">
        <f t="shared" si="6"/>
        <v>2026Q1</v>
      </c>
      <c r="S19" s="55">
        <v>44.205117086444766</v>
      </c>
      <c r="T19" s="55">
        <v>5.806779397758973</v>
      </c>
      <c r="U19" s="55">
        <v>82.603454775130558</v>
      </c>
      <c r="V19" s="1">
        <f t="shared" si="3"/>
        <v>5.8070000000000004</v>
      </c>
      <c r="W19" s="1">
        <f t="shared" si="4"/>
        <v>44.204999999999998</v>
      </c>
      <c r="X19" s="1">
        <f t="shared" si="5"/>
        <v>82.602999999999994</v>
      </c>
    </row>
    <row r="20" spans="1:24" ht="15.5" thickTop="1" thickBot="1" x14ac:dyDescent="0.4">
      <c r="A20" s="5" t="str">
        <f t="shared" si="7"/>
        <v>2026Q1</v>
      </c>
      <c r="B20" s="2">
        <f>O19</f>
        <v>3.7669999999999999</v>
      </c>
      <c r="C20" s="3">
        <f t="shared" si="8"/>
        <v>7.6440000000000001</v>
      </c>
      <c r="D20" s="2">
        <f t="shared" si="8"/>
        <v>11.521000000000001</v>
      </c>
      <c r="E20" s="2">
        <f t="shared" si="9"/>
        <v>5.8070000000000004</v>
      </c>
      <c r="F20" s="3">
        <f t="shared" si="9"/>
        <v>44.204999999999998</v>
      </c>
      <c r="G20" s="2">
        <f t="shared" si="9"/>
        <v>82.602999999999994</v>
      </c>
      <c r="K20" s="14" t="s">
        <v>91</v>
      </c>
      <c r="L20" s="42">
        <v>9.2196937544524609</v>
      </c>
      <c r="M20" s="42">
        <v>5.337002144099241</v>
      </c>
      <c r="N20" s="42">
        <v>13.102385364805681</v>
      </c>
      <c r="O20" s="1">
        <f t="shared" si="0"/>
        <v>5.3369999999999997</v>
      </c>
      <c r="P20" s="1">
        <f t="shared" si="10"/>
        <v>9.2200000000000006</v>
      </c>
      <c r="Q20" s="1">
        <f t="shared" si="11"/>
        <v>13.102</v>
      </c>
      <c r="R20" s="14" t="str">
        <f t="shared" si="6"/>
        <v>2026Q2</v>
      </c>
      <c r="S20" s="55">
        <v>45.249246592395735</v>
      </c>
      <c r="T20" s="55">
        <v>5.8341696149598583</v>
      </c>
      <c r="U20" s="55">
        <v>84.664323569831623</v>
      </c>
      <c r="V20" s="1">
        <f t="shared" si="3"/>
        <v>5.8339999999999996</v>
      </c>
      <c r="W20" s="1">
        <f t="shared" si="4"/>
        <v>45.249000000000002</v>
      </c>
      <c r="X20" s="1">
        <f t="shared" si="5"/>
        <v>84.664000000000001</v>
      </c>
    </row>
    <row r="21" spans="1:24" ht="15.5" thickTop="1" thickBot="1" x14ac:dyDescent="0.4">
      <c r="A21" s="5" t="str">
        <f t="shared" si="7"/>
        <v>2026Q2</v>
      </c>
      <c r="B21" s="2">
        <f t="shared" ref="B21:D35" si="12">O20</f>
        <v>5.3369999999999997</v>
      </c>
      <c r="C21" s="3">
        <f t="shared" si="12"/>
        <v>9.2200000000000006</v>
      </c>
      <c r="D21" s="2">
        <f t="shared" si="12"/>
        <v>13.102</v>
      </c>
      <c r="E21" s="2">
        <f t="shared" ref="E21:G35" si="13">V20</f>
        <v>5.8339999999999996</v>
      </c>
      <c r="F21" s="3">
        <f t="shared" si="13"/>
        <v>45.249000000000002</v>
      </c>
      <c r="G21" s="2">
        <f t="shared" si="13"/>
        <v>84.664000000000001</v>
      </c>
      <c r="K21" s="14" t="s">
        <v>92</v>
      </c>
      <c r="L21" s="42">
        <v>8.0327551679941589</v>
      </c>
      <c r="M21" s="42">
        <v>4.145397637215364</v>
      </c>
      <c r="N21" s="42">
        <v>11.920112698772954</v>
      </c>
      <c r="O21" s="1">
        <f t="shared" si="0"/>
        <v>4.1449999999999996</v>
      </c>
      <c r="P21" s="1">
        <f t="shared" si="10"/>
        <v>8.0329999999999995</v>
      </c>
      <c r="Q21" s="1">
        <f t="shared" si="11"/>
        <v>11.92</v>
      </c>
      <c r="R21" s="14" t="str">
        <f t="shared" si="6"/>
        <v>2026Q3</v>
      </c>
      <c r="S21" s="55">
        <v>43.858656497800439</v>
      </c>
      <c r="T21" s="55">
        <v>3.4524162740426916</v>
      </c>
      <c r="U21" s="55">
        <v>84.264896721558188</v>
      </c>
      <c r="V21" s="1">
        <f t="shared" si="3"/>
        <v>3.452</v>
      </c>
      <c r="W21" s="1">
        <f t="shared" si="4"/>
        <v>43.859000000000002</v>
      </c>
      <c r="X21" s="1">
        <f t="shared" si="5"/>
        <v>84.265000000000001</v>
      </c>
    </row>
    <row r="22" spans="1:24" ht="15.5" thickTop="1" thickBot="1" x14ac:dyDescent="0.4">
      <c r="A22" s="5" t="str">
        <f t="shared" si="7"/>
        <v>2026Q3</v>
      </c>
      <c r="B22" s="2">
        <f t="shared" si="12"/>
        <v>4.1449999999999996</v>
      </c>
      <c r="C22" s="3">
        <f t="shared" si="12"/>
        <v>8.0329999999999995</v>
      </c>
      <c r="D22" s="2">
        <f t="shared" si="12"/>
        <v>11.92</v>
      </c>
      <c r="E22" s="2">
        <f t="shared" si="13"/>
        <v>3.452</v>
      </c>
      <c r="F22" s="3">
        <f t="shared" si="13"/>
        <v>43.859000000000002</v>
      </c>
      <c r="G22" s="2">
        <f t="shared" si="13"/>
        <v>84.265000000000001</v>
      </c>
      <c r="K22" s="14" t="s">
        <v>93</v>
      </c>
      <c r="L22" s="42">
        <v>8.5691008379043723</v>
      </c>
      <c r="M22" s="42">
        <v>4.6780469128788287</v>
      </c>
      <c r="N22" s="42">
        <v>12.460154762929916</v>
      </c>
      <c r="O22" s="1">
        <f t="shared" si="0"/>
        <v>4.6779999999999999</v>
      </c>
      <c r="P22" s="1">
        <f t="shared" si="10"/>
        <v>8.5690000000000008</v>
      </c>
      <c r="Q22" s="1">
        <f t="shared" si="11"/>
        <v>12.46</v>
      </c>
      <c r="R22" s="14" t="str">
        <f t="shared" si="6"/>
        <v>2026Q4</v>
      </c>
      <c r="S22" s="55">
        <v>43.943533642424072</v>
      </c>
      <c r="T22" s="55">
        <v>2.5698680457811029</v>
      </c>
      <c r="U22" s="55">
        <v>85.317199239067037</v>
      </c>
      <c r="V22" s="1">
        <f t="shared" si="3"/>
        <v>2.57</v>
      </c>
      <c r="W22" s="1">
        <f t="shared" si="4"/>
        <v>43.944000000000003</v>
      </c>
      <c r="X22" s="1">
        <f t="shared" si="5"/>
        <v>85.316999999999993</v>
      </c>
    </row>
    <row r="23" spans="1:24" ht="15.5" thickTop="1" thickBot="1" x14ac:dyDescent="0.4">
      <c r="A23" s="5" t="str">
        <f t="shared" si="7"/>
        <v>2026Q4</v>
      </c>
      <c r="B23" s="2">
        <f t="shared" si="12"/>
        <v>4.6779999999999999</v>
      </c>
      <c r="C23" s="3">
        <f t="shared" si="12"/>
        <v>8.5690000000000008</v>
      </c>
      <c r="D23" s="2">
        <f t="shared" si="12"/>
        <v>12.46</v>
      </c>
      <c r="E23" s="2">
        <f t="shared" si="13"/>
        <v>2.57</v>
      </c>
      <c r="F23" s="3">
        <f t="shared" si="13"/>
        <v>43.944000000000003</v>
      </c>
      <c r="G23" s="2">
        <f t="shared" si="13"/>
        <v>85.316999999999993</v>
      </c>
      <c r="K23" s="14" t="s">
        <v>94</v>
      </c>
      <c r="L23" s="42">
        <v>7.2703210255989612</v>
      </c>
      <c r="M23" s="42">
        <v>3.376338119057297</v>
      </c>
      <c r="N23" s="42">
        <v>11.164303932140626</v>
      </c>
      <c r="O23" s="1">
        <f t="shared" si="0"/>
        <v>3.3759999999999999</v>
      </c>
      <c r="P23" s="1">
        <f t="shared" si="10"/>
        <v>7.27</v>
      </c>
      <c r="Q23" s="1">
        <f t="shared" si="11"/>
        <v>11.164</v>
      </c>
      <c r="R23" s="14" t="str">
        <f t="shared" si="6"/>
        <v>2027Q1</v>
      </c>
      <c r="S23" s="55">
        <v>43.932775274746362</v>
      </c>
      <c r="T23" s="55">
        <v>1.6137941813214591</v>
      </c>
      <c r="U23" s="55">
        <v>86.251756368171272</v>
      </c>
      <c r="V23" s="1">
        <f t="shared" si="3"/>
        <v>1.6140000000000001</v>
      </c>
      <c r="W23" s="1">
        <f t="shared" si="4"/>
        <v>43.933</v>
      </c>
      <c r="X23" s="1">
        <f t="shared" si="5"/>
        <v>86.251999999999995</v>
      </c>
    </row>
    <row r="24" spans="1:24" ht="15.5" thickTop="1" thickBot="1" x14ac:dyDescent="0.4">
      <c r="A24" s="5" t="str">
        <f t="shared" si="7"/>
        <v>2027Q1</v>
      </c>
      <c r="B24" s="2">
        <f t="shared" si="12"/>
        <v>3.3759999999999999</v>
      </c>
      <c r="C24" s="3">
        <f t="shared" si="12"/>
        <v>7.27</v>
      </c>
      <c r="D24" s="2">
        <f t="shared" si="12"/>
        <v>11.164</v>
      </c>
      <c r="E24" s="2">
        <f t="shared" si="13"/>
        <v>1.6140000000000001</v>
      </c>
      <c r="F24" s="3">
        <f t="shared" si="13"/>
        <v>43.933</v>
      </c>
      <c r="G24" s="2">
        <f t="shared" si="13"/>
        <v>86.251999999999995</v>
      </c>
      <c r="K24" s="14" t="s">
        <v>95</v>
      </c>
      <c r="L24" s="42">
        <v>8.8396479930844514</v>
      </c>
      <c r="M24" s="42">
        <v>4.9433437829531837</v>
      </c>
      <c r="N24" s="42">
        <v>12.735952203215719</v>
      </c>
      <c r="O24" s="1">
        <f t="shared" si="0"/>
        <v>4.9429999999999996</v>
      </c>
      <c r="P24" s="1">
        <f t="shared" si="10"/>
        <v>8.84</v>
      </c>
      <c r="Q24" s="1">
        <f t="shared" si="11"/>
        <v>12.736000000000001</v>
      </c>
      <c r="R24" s="14" t="str">
        <f t="shared" si="6"/>
        <v>2027Q2</v>
      </c>
      <c r="S24" s="55">
        <v>44.976904780697495</v>
      </c>
      <c r="T24" s="55">
        <v>1.7332680618868004</v>
      </c>
      <c r="U24" s="55">
        <v>88.220541499508187</v>
      </c>
      <c r="V24" s="1">
        <f t="shared" si="3"/>
        <v>1.7330000000000001</v>
      </c>
      <c r="W24" s="1">
        <f t="shared" si="4"/>
        <v>44.976999999999997</v>
      </c>
      <c r="X24" s="1">
        <f t="shared" si="5"/>
        <v>88.221000000000004</v>
      </c>
    </row>
    <row r="25" spans="1:24" ht="15.5" thickTop="1" thickBot="1" x14ac:dyDescent="0.4">
      <c r="A25" s="5" t="str">
        <f t="shared" si="7"/>
        <v>2027Q2</v>
      </c>
      <c r="B25" s="2">
        <f t="shared" si="12"/>
        <v>4.9429999999999996</v>
      </c>
      <c r="C25" s="3">
        <f t="shared" si="12"/>
        <v>8.84</v>
      </c>
      <c r="D25" s="2">
        <f t="shared" si="12"/>
        <v>12.736000000000001</v>
      </c>
      <c r="E25" s="2">
        <f t="shared" si="13"/>
        <v>1.7330000000000001</v>
      </c>
      <c r="F25" s="3">
        <f t="shared" si="13"/>
        <v>44.976999999999997</v>
      </c>
      <c r="G25" s="2">
        <f t="shared" si="13"/>
        <v>88.221000000000004</v>
      </c>
      <c r="K25" s="14" t="s">
        <v>96</v>
      </c>
      <c r="L25" s="42">
        <v>7.646934152288253</v>
      </c>
      <c r="M25" s="42">
        <v>3.7487899832377116</v>
      </c>
      <c r="N25" s="42">
        <v>11.545078321338796</v>
      </c>
      <c r="O25" s="1">
        <f t="shared" si="0"/>
        <v>3.7490000000000001</v>
      </c>
      <c r="P25" s="1">
        <f t="shared" si="10"/>
        <v>7.6470000000000002</v>
      </c>
      <c r="Q25" s="1">
        <f t="shared" si="11"/>
        <v>11.545</v>
      </c>
      <c r="R25" s="14" t="str">
        <f t="shared" si="6"/>
        <v>2027Q3</v>
      </c>
      <c r="S25" s="55">
        <v>43.58631468610222</v>
      </c>
      <c r="T25" s="55">
        <v>-0.56261590741600154</v>
      </c>
      <c r="U25" s="55">
        <v>87.735245279620443</v>
      </c>
      <c r="V25" s="1">
        <f t="shared" si="3"/>
        <v>-0.56299999999999994</v>
      </c>
      <c r="W25" s="1">
        <f t="shared" si="4"/>
        <v>43.585999999999999</v>
      </c>
      <c r="X25" s="1">
        <f t="shared" si="5"/>
        <v>87.734999999999999</v>
      </c>
    </row>
    <row r="26" spans="1:24" ht="15.5" thickTop="1" thickBot="1" x14ac:dyDescent="0.4">
      <c r="A26" s="5" t="str">
        <f t="shared" si="7"/>
        <v>2027Q3</v>
      </c>
      <c r="B26" s="2">
        <f t="shared" si="12"/>
        <v>3.7490000000000001</v>
      </c>
      <c r="C26" s="3">
        <f t="shared" si="12"/>
        <v>7.6470000000000002</v>
      </c>
      <c r="D26" s="2">
        <f t="shared" si="12"/>
        <v>11.545</v>
      </c>
      <c r="E26" s="2">
        <f t="shared" si="13"/>
        <v>-0.56299999999999994</v>
      </c>
      <c r="F26" s="3">
        <f t="shared" si="13"/>
        <v>43.585999999999999</v>
      </c>
      <c r="G26" s="2">
        <f t="shared" si="13"/>
        <v>87.734999999999999</v>
      </c>
      <c r="K26" s="14" t="s">
        <v>97</v>
      </c>
      <c r="L26" s="42">
        <v>8.1781367198456749</v>
      </c>
      <c r="M26" s="42">
        <v>4.2785339633189752</v>
      </c>
      <c r="N26" s="42">
        <v>12.077739476372374</v>
      </c>
      <c r="O26" s="1">
        <f t="shared" si="0"/>
        <v>4.2789999999999999</v>
      </c>
      <c r="P26" s="1">
        <f t="shared" si="10"/>
        <v>8.1780000000000008</v>
      </c>
      <c r="Q26" s="1">
        <f t="shared" si="11"/>
        <v>12.077999999999999</v>
      </c>
      <c r="R26" s="14" t="str">
        <f t="shared" si="6"/>
        <v>2027Q4</v>
      </c>
      <c r="S26" s="55">
        <v>43.671191830725867</v>
      </c>
      <c r="T26" s="55">
        <v>-1.364838505373992</v>
      </c>
      <c r="U26" s="55">
        <v>88.707222166825716</v>
      </c>
      <c r="V26" s="1">
        <f t="shared" si="3"/>
        <v>-1.365</v>
      </c>
      <c r="W26" s="1">
        <f t="shared" si="4"/>
        <v>43.670999999999999</v>
      </c>
      <c r="X26" s="1">
        <f t="shared" si="5"/>
        <v>88.706999999999994</v>
      </c>
    </row>
    <row r="27" spans="1:24" ht="15.5" thickTop="1" thickBot="1" x14ac:dyDescent="0.4">
      <c r="A27" s="5" t="str">
        <f t="shared" si="7"/>
        <v>2027Q4</v>
      </c>
      <c r="B27" s="2">
        <f t="shared" si="12"/>
        <v>4.2789999999999999</v>
      </c>
      <c r="C27" s="3">
        <f t="shared" si="12"/>
        <v>8.1780000000000008</v>
      </c>
      <c r="D27" s="2">
        <f t="shared" si="12"/>
        <v>12.077999999999999</v>
      </c>
      <c r="E27" s="2">
        <f t="shared" si="13"/>
        <v>-1.365</v>
      </c>
      <c r="F27" s="3">
        <f t="shared" si="13"/>
        <v>43.670999999999999</v>
      </c>
      <c r="G27" s="2">
        <f t="shared" si="13"/>
        <v>88.706999999999994</v>
      </c>
      <c r="K27" s="14" t="s">
        <v>98</v>
      </c>
      <c r="L27" s="42">
        <v>6.8747767626213223</v>
      </c>
      <c r="M27" s="42">
        <v>2.9740176410105907</v>
      </c>
      <c r="N27" s="42">
        <v>10.775535884232054</v>
      </c>
      <c r="O27" s="1">
        <f t="shared" si="0"/>
        <v>2.9740000000000002</v>
      </c>
      <c r="P27" s="1">
        <f t="shared" si="10"/>
        <v>6.875</v>
      </c>
      <c r="Q27" s="1">
        <f t="shared" si="11"/>
        <v>10.776</v>
      </c>
      <c r="R27" s="14" t="str">
        <f t="shared" si="6"/>
        <v>2028Q1</v>
      </c>
      <c r="S27" s="55">
        <v>43.66043346304815</v>
      </c>
      <c r="T27" s="55">
        <v>-2.2455572605700884</v>
      </c>
      <c r="U27" s="55">
        <v>89.566424186666382</v>
      </c>
      <c r="V27" s="1">
        <f t="shared" si="3"/>
        <v>-2.246</v>
      </c>
      <c r="W27" s="1">
        <f t="shared" si="4"/>
        <v>43.66</v>
      </c>
      <c r="X27" s="1">
        <f t="shared" si="5"/>
        <v>89.566000000000003</v>
      </c>
    </row>
    <row r="28" spans="1:24" ht="15.5" thickTop="1" thickBot="1" x14ac:dyDescent="0.4">
      <c r="A28" s="5" t="str">
        <f t="shared" si="7"/>
        <v>2028Q1</v>
      </c>
      <c r="B28" s="2">
        <f t="shared" si="12"/>
        <v>2.9740000000000002</v>
      </c>
      <c r="C28" s="3">
        <f t="shared" si="12"/>
        <v>6.875</v>
      </c>
      <c r="D28" s="2">
        <f t="shared" si="12"/>
        <v>10.776</v>
      </c>
      <c r="E28" s="2">
        <f t="shared" si="13"/>
        <v>-2.246</v>
      </c>
      <c r="F28" s="3">
        <f t="shared" si="13"/>
        <v>43.66</v>
      </c>
      <c r="G28" s="2">
        <f t="shared" si="13"/>
        <v>89.566000000000003</v>
      </c>
      <c r="K28" s="14" t="s">
        <v>99</v>
      </c>
      <c r="L28" s="42">
        <v>8.4400249220179404</v>
      </c>
      <c r="M28" s="42">
        <v>4.5383489728418756</v>
      </c>
      <c r="N28" s="42">
        <v>12.341700871194003</v>
      </c>
      <c r="O28" s="1">
        <f t="shared" si="0"/>
        <v>4.5380000000000003</v>
      </c>
      <c r="P28" s="1">
        <f t="shared" si="10"/>
        <v>8.44</v>
      </c>
      <c r="Q28" s="1">
        <f t="shared" si="11"/>
        <v>12.342000000000001</v>
      </c>
      <c r="R28" s="14" t="str">
        <f t="shared" si="6"/>
        <v>2028Q2</v>
      </c>
      <c r="S28" s="55">
        <v>44.704562968999284</v>
      </c>
      <c r="T28" s="55">
        <v>-2.0552054243507918</v>
      </c>
      <c r="U28" s="55">
        <v>91.464331362349355</v>
      </c>
      <c r="V28" s="1">
        <f t="shared" si="3"/>
        <v>-2.0550000000000002</v>
      </c>
      <c r="W28" s="1">
        <f t="shared" si="4"/>
        <v>44.704999999999998</v>
      </c>
      <c r="X28" s="1">
        <f t="shared" si="5"/>
        <v>91.463999999999999</v>
      </c>
    </row>
    <row r="29" spans="1:24" ht="15.5" thickTop="1" thickBot="1" x14ac:dyDescent="0.4">
      <c r="A29" s="5" t="str">
        <f t="shared" si="7"/>
        <v>2028Q2</v>
      </c>
      <c r="B29" s="2">
        <f t="shared" si="12"/>
        <v>4.5380000000000003</v>
      </c>
      <c r="C29" s="3">
        <f t="shared" si="12"/>
        <v>8.44</v>
      </c>
      <c r="D29" s="2">
        <f t="shared" si="12"/>
        <v>12.342000000000001</v>
      </c>
      <c r="E29" s="2">
        <f t="shared" si="13"/>
        <v>-2.0550000000000002</v>
      </c>
      <c r="F29" s="3">
        <f t="shared" si="13"/>
        <v>44.704999999999998</v>
      </c>
      <c r="G29" s="2">
        <f t="shared" si="13"/>
        <v>91.463999999999999</v>
      </c>
      <c r="K29" s="14" t="s">
        <v>100</v>
      </c>
      <c r="L29" s="42">
        <v>7.2436787342719589</v>
      </c>
      <c r="M29" s="42">
        <v>3.3412758355298737</v>
      </c>
      <c r="N29" s="42">
        <v>11.146081633014045</v>
      </c>
      <c r="O29" s="1">
        <f t="shared" si="0"/>
        <v>3.3410000000000002</v>
      </c>
      <c r="P29" s="1">
        <f t="shared" si="10"/>
        <v>7.2439999999999998</v>
      </c>
      <c r="Q29" s="1">
        <f t="shared" si="11"/>
        <v>11.146000000000001</v>
      </c>
      <c r="R29" s="14" t="str">
        <f t="shared" si="6"/>
        <v>2028Q3</v>
      </c>
      <c r="S29" s="55">
        <v>43.313972874404016</v>
      </c>
      <c r="T29" s="55">
        <v>-4.284261295390122</v>
      </c>
      <c r="U29" s="55">
        <v>90.912207044198155</v>
      </c>
      <c r="V29" s="1">
        <f t="shared" si="3"/>
        <v>-4.2839999999999998</v>
      </c>
      <c r="W29" s="1">
        <f t="shared" si="4"/>
        <v>43.314</v>
      </c>
      <c r="X29" s="1">
        <f t="shared" si="5"/>
        <v>90.912000000000006</v>
      </c>
    </row>
    <row r="30" spans="1:24" ht="15.5" thickTop="1" thickBot="1" x14ac:dyDescent="0.4">
      <c r="A30" s="5" t="str">
        <f t="shared" si="7"/>
        <v>2028Q3</v>
      </c>
      <c r="B30" s="2">
        <f t="shared" si="12"/>
        <v>3.3410000000000002</v>
      </c>
      <c r="C30" s="3">
        <f t="shared" si="12"/>
        <v>7.2439999999999998</v>
      </c>
      <c r="D30" s="2">
        <f t="shared" si="12"/>
        <v>11.146000000000001</v>
      </c>
      <c r="E30" s="2">
        <f t="shared" si="13"/>
        <v>-4.2839999999999998</v>
      </c>
      <c r="F30" s="3">
        <f t="shared" si="13"/>
        <v>43.314</v>
      </c>
      <c r="G30" s="2">
        <f t="shared" si="13"/>
        <v>90.912000000000006</v>
      </c>
      <c r="K30" s="14" t="s">
        <v>101</v>
      </c>
      <c r="L30" s="42">
        <v>7.7716465469509668</v>
      </c>
      <c r="M30" s="42">
        <v>3.8686672271218092</v>
      </c>
      <c r="N30" s="42">
        <v>11.674625866780126</v>
      </c>
      <c r="O30" s="1">
        <f t="shared" si="0"/>
        <v>3.8690000000000002</v>
      </c>
      <c r="P30" s="1">
        <f t="shared" si="10"/>
        <v>7.7720000000000002</v>
      </c>
      <c r="Q30" s="1">
        <f t="shared" si="11"/>
        <v>11.675000000000001</v>
      </c>
      <c r="R30" s="14" t="str">
        <f t="shared" si="6"/>
        <v>2028Q4</v>
      </c>
      <c r="S30" s="55">
        <v>43.398850019027655</v>
      </c>
      <c r="T30" s="55">
        <v>-5.0233334505906448</v>
      </c>
      <c r="U30" s="55">
        <v>91.821033488645952</v>
      </c>
      <c r="V30" s="1">
        <f t="shared" si="3"/>
        <v>-5.0229999999999997</v>
      </c>
      <c r="W30" s="1">
        <f t="shared" si="4"/>
        <v>43.399000000000001</v>
      </c>
      <c r="X30" s="1">
        <f t="shared" si="5"/>
        <v>91.820999999999998</v>
      </c>
    </row>
    <row r="31" spans="1:24" ht="15.5" thickTop="1" thickBot="1" x14ac:dyDescent="0.4">
      <c r="A31" s="5" t="str">
        <f t="shared" si="7"/>
        <v>2028Q4</v>
      </c>
      <c r="B31" s="2">
        <f t="shared" si="12"/>
        <v>3.8690000000000002</v>
      </c>
      <c r="C31" s="3">
        <f t="shared" si="12"/>
        <v>7.7720000000000002</v>
      </c>
      <c r="D31" s="2">
        <f t="shared" si="12"/>
        <v>11.675000000000001</v>
      </c>
      <c r="E31" s="2">
        <f t="shared" si="13"/>
        <v>-5.0229999999999997</v>
      </c>
      <c r="F31" s="3">
        <f t="shared" si="13"/>
        <v>43.399000000000001</v>
      </c>
      <c r="G31" s="2">
        <f t="shared" si="13"/>
        <v>91.820999999999998</v>
      </c>
      <c r="K31" s="14" t="s">
        <v>102</v>
      </c>
      <c r="L31" s="42">
        <v>6.4654059069977725</v>
      </c>
      <c r="M31" s="42">
        <v>2.5619695090151291</v>
      </c>
      <c r="N31" s="42">
        <v>10.368842304980417</v>
      </c>
      <c r="O31" s="1">
        <f t="shared" si="0"/>
        <v>2.5619999999999998</v>
      </c>
      <c r="P31" s="1">
        <f t="shared" si="10"/>
        <v>6.4649999999999999</v>
      </c>
      <c r="Q31" s="1">
        <f t="shared" si="11"/>
        <v>10.369</v>
      </c>
      <c r="R31" s="14" t="str">
        <f t="shared" si="6"/>
        <v>2029Q1</v>
      </c>
      <c r="S31" s="55">
        <v>43.388091651349946</v>
      </c>
      <c r="T31" s="55">
        <v>-5.844253487269981</v>
      </c>
      <c r="U31" s="55">
        <v>92.620436789969872</v>
      </c>
      <c r="V31" s="1">
        <f t="shared" si="3"/>
        <v>-5.8440000000000003</v>
      </c>
      <c r="W31" s="1">
        <f t="shared" si="4"/>
        <v>43.387999999999998</v>
      </c>
      <c r="X31" s="1">
        <f t="shared" si="5"/>
        <v>92.62</v>
      </c>
    </row>
    <row r="32" spans="1:24" ht="15.5" thickTop="1" thickBot="1" x14ac:dyDescent="0.4">
      <c r="A32" s="5" t="str">
        <f t="shared" si="7"/>
        <v>2029Q1</v>
      </c>
      <c r="B32" s="2">
        <f t="shared" si="12"/>
        <v>2.5619999999999998</v>
      </c>
      <c r="C32" s="3">
        <f t="shared" si="12"/>
        <v>6.4649999999999999</v>
      </c>
      <c r="D32" s="2">
        <f t="shared" si="12"/>
        <v>10.369</v>
      </c>
      <c r="E32" s="2">
        <f t="shared" si="13"/>
        <v>-5.8440000000000003</v>
      </c>
      <c r="F32" s="3">
        <f t="shared" si="13"/>
        <v>43.387999999999998</v>
      </c>
      <c r="G32" s="2">
        <f t="shared" si="13"/>
        <v>92.62</v>
      </c>
      <c r="K32" s="14" t="s">
        <v>103</v>
      </c>
      <c r="L32" s="42">
        <v>8.0280886995285279</v>
      </c>
      <c r="M32" s="42">
        <v>4.1242898474780763</v>
      </c>
      <c r="N32" s="42">
        <v>11.93188755157898</v>
      </c>
      <c r="O32" s="1">
        <f t="shared" si="0"/>
        <v>4.1239999999999997</v>
      </c>
      <c r="P32" s="1">
        <f t="shared" si="10"/>
        <v>8.0280000000000005</v>
      </c>
      <c r="Q32" s="1">
        <f t="shared" si="11"/>
        <v>11.932</v>
      </c>
      <c r="R32" s="14" t="str">
        <f t="shared" si="6"/>
        <v>2029Q2</v>
      </c>
      <c r="S32" s="55">
        <v>44.432221157301072</v>
      </c>
      <c r="T32" s="55">
        <v>-5.5971678428757166</v>
      </c>
      <c r="U32" s="55">
        <v>94.461610157477864</v>
      </c>
      <c r="V32" s="1">
        <f t="shared" si="3"/>
        <v>-5.5970000000000004</v>
      </c>
      <c r="W32" s="1">
        <f t="shared" si="4"/>
        <v>44.432000000000002</v>
      </c>
      <c r="X32" s="1">
        <f t="shared" si="5"/>
        <v>94.462000000000003</v>
      </c>
    </row>
    <row r="33" spans="1:24" ht="15.5" thickTop="1" thickBot="1" x14ac:dyDescent="0.4">
      <c r="A33" s="5" t="str">
        <f t="shared" si="7"/>
        <v>2029Q2</v>
      </c>
      <c r="B33" s="2">
        <f t="shared" si="12"/>
        <v>4.1239999999999997</v>
      </c>
      <c r="C33" s="3">
        <f t="shared" si="12"/>
        <v>8.0280000000000005</v>
      </c>
      <c r="D33" s="2">
        <f t="shared" si="12"/>
        <v>11.932</v>
      </c>
      <c r="E33" s="2">
        <f t="shared" si="13"/>
        <v>-5.5970000000000004</v>
      </c>
      <c r="F33" s="3">
        <f t="shared" si="13"/>
        <v>44.432000000000002</v>
      </c>
      <c r="G33" s="2">
        <f t="shared" si="13"/>
        <v>94.462000000000003</v>
      </c>
      <c r="K33" s="14" t="s">
        <v>107</v>
      </c>
      <c r="L33" s="42">
        <v>6.8294579467068557</v>
      </c>
      <c r="M33" s="42">
        <v>2.9253716693961032</v>
      </c>
      <c r="N33" s="42">
        <v>10.73354422401761</v>
      </c>
      <c r="O33" s="1">
        <f t="shared" si="0"/>
        <v>2.9249999999999998</v>
      </c>
      <c r="P33" s="1">
        <f t="shared" si="10"/>
        <v>6.8289999999999997</v>
      </c>
      <c r="Q33" s="1">
        <f t="shared" si="11"/>
        <v>10.734</v>
      </c>
      <c r="R33" s="14" t="str">
        <f t="shared" si="6"/>
        <v>2029Q3</v>
      </c>
      <c r="S33" s="55">
        <v>43.041631062705804</v>
      </c>
      <c r="T33" s="55">
        <v>-7.772301274929978</v>
      </c>
      <c r="U33" s="55">
        <v>93.855563400341595</v>
      </c>
      <c r="V33" s="1">
        <f t="shared" si="3"/>
        <v>-7.7720000000000002</v>
      </c>
      <c r="W33" s="1">
        <f t="shared" si="4"/>
        <v>43.042000000000002</v>
      </c>
      <c r="X33" s="1">
        <f t="shared" si="5"/>
        <v>93.855999999999995</v>
      </c>
    </row>
    <row r="34" spans="1:24" ht="15.5" thickTop="1" thickBot="1" x14ac:dyDescent="0.4">
      <c r="A34" s="5" t="str">
        <f t="shared" si="7"/>
        <v>2029Q3</v>
      </c>
      <c r="B34" s="2">
        <f t="shared" si="12"/>
        <v>2.9249999999999998</v>
      </c>
      <c r="C34" s="3">
        <f t="shared" si="12"/>
        <v>6.8289999999999997</v>
      </c>
      <c r="D34" s="2">
        <f t="shared" si="12"/>
        <v>10.734</v>
      </c>
      <c r="E34" s="2">
        <f t="shared" si="13"/>
        <v>-7.7720000000000002</v>
      </c>
      <c r="F34" s="3">
        <f t="shared" si="13"/>
        <v>43.042000000000002</v>
      </c>
      <c r="G34" s="2">
        <f t="shared" si="13"/>
        <v>93.855999999999995</v>
      </c>
      <c r="K34" s="14" t="s">
        <v>108</v>
      </c>
      <c r="L34" s="42">
        <v>7.3553912598939934</v>
      </c>
      <c r="M34" s="42">
        <v>3.4510770510701891</v>
      </c>
      <c r="N34" s="42">
        <v>11.259705468717797</v>
      </c>
      <c r="O34" s="1">
        <f t="shared" si="0"/>
        <v>3.4510000000000001</v>
      </c>
      <c r="P34" s="1">
        <f t="shared" si="10"/>
        <v>7.3550000000000004</v>
      </c>
      <c r="Q34" s="1">
        <f t="shared" si="11"/>
        <v>11.26</v>
      </c>
      <c r="R34" s="14" t="str">
        <f t="shared" si="6"/>
        <v>2029Q4</v>
      </c>
      <c r="S34" s="55">
        <v>43.126508207329451</v>
      </c>
      <c r="T34" s="55">
        <v>-8.4600372817478906</v>
      </c>
      <c r="U34" s="55">
        <v>94.713053696406789</v>
      </c>
      <c r="V34" s="1">
        <f t="shared" si="3"/>
        <v>-8.4600000000000009</v>
      </c>
      <c r="W34" s="1">
        <f t="shared" si="4"/>
        <v>43.127000000000002</v>
      </c>
      <c r="X34" s="1">
        <f t="shared" si="5"/>
        <v>94.712999999999994</v>
      </c>
    </row>
    <row r="35" spans="1:24" ht="13" thickTop="1" thickBot="1" x14ac:dyDescent="0.35">
      <c r="A35" s="5" t="str">
        <f t="shared" si="7"/>
        <v>2029Q4</v>
      </c>
      <c r="B35" s="2">
        <f t="shared" si="12"/>
        <v>3.4510000000000001</v>
      </c>
      <c r="C35" s="3">
        <f t="shared" si="12"/>
        <v>7.3550000000000004</v>
      </c>
      <c r="D35" s="2">
        <f t="shared" si="12"/>
        <v>11.26</v>
      </c>
      <c r="E35" s="2">
        <f t="shared" si="13"/>
        <v>-8.4600000000000009</v>
      </c>
      <c r="F35" s="3">
        <f t="shared" si="13"/>
        <v>43.127000000000002</v>
      </c>
      <c r="G35" s="2">
        <f t="shared" si="13"/>
        <v>94.712999999999994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8.4338437499999994</v>
      </c>
      <c r="F38" s="1">
        <f>AVERAGE(F4:F35)</f>
        <v>44.454406249999998</v>
      </c>
    </row>
    <row r="40" spans="1:24" ht="12.5" thickBot="1" x14ac:dyDescent="0.35"/>
    <row r="41" spans="1:24" ht="15.5" thickTop="1" thickBot="1" x14ac:dyDescent="0.4">
      <c r="A41" s="30" t="s">
        <v>53</v>
      </c>
      <c r="B41" s="31"/>
      <c r="C41" s="31"/>
      <c r="D41" s="31"/>
      <c r="E41" s="31"/>
      <c r="F41" s="31"/>
      <c r="G41" s="31"/>
      <c r="K41" s="30" t="s">
        <v>30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7.89</v>
      </c>
      <c r="D44" s="6"/>
      <c r="E44" s="6"/>
      <c r="F44" s="9">
        <f>ROUND(F4-((G4-F4)*(0.5/2)),3)</f>
        <v>41.97</v>
      </c>
      <c r="G44" s="6"/>
      <c r="K44" s="7" t="str">
        <f>A4</f>
        <v>2022Q1</v>
      </c>
      <c r="L44" s="6"/>
      <c r="M44" s="9">
        <f>ROUND(C4-((D4-C4)*(1/2)),3)</f>
        <v>7.266</v>
      </c>
      <c r="N44" s="6"/>
      <c r="O44" s="6"/>
      <c r="P44" s="9">
        <f>ROUND(F4-((G4-F4)*(1/2)),3)</f>
        <v>38.540999999999997</v>
      </c>
      <c r="Q44" s="6"/>
    </row>
    <row r="45" spans="1:24" ht="15.5" thickTop="1" thickBot="1" x14ac:dyDescent="0.4">
      <c r="A45" s="7" t="str">
        <f t="shared" ref="A45:A75" si="14">A5</f>
        <v>2022Q2</v>
      </c>
      <c r="B45" s="6"/>
      <c r="C45" s="9">
        <f t="shared" ref="C45:C75" si="15">ROUND(C5-((D5-C5)*(0.5/2)),3)</f>
        <v>9.4730000000000008</v>
      </c>
      <c r="D45" s="6"/>
      <c r="E45" s="6"/>
      <c r="F45" s="9">
        <f t="shared" ref="F45:F75" si="16">ROUND(F5-((G5-F5)*(0.5/2)),3)</f>
        <v>42.145000000000003</v>
      </c>
      <c r="G45" s="6"/>
      <c r="K45" s="7" t="str">
        <f t="shared" ref="K45:K75" si="17">A5</f>
        <v>2022Q2</v>
      </c>
      <c r="L45" s="6"/>
      <c r="M45" s="9">
        <f t="shared" ref="M45:M75" si="18">ROUND(C5-((D5-C5)*(1/2)),3)</f>
        <v>8.7609999999999992</v>
      </c>
      <c r="N45" s="6"/>
      <c r="O45" s="6"/>
      <c r="P45" s="9">
        <f t="shared" ref="P45:P75" si="19">ROUND(F5-((G5-F5)*(1/2)),3)</f>
        <v>37.930999999999997</v>
      </c>
      <c r="Q45" s="6"/>
    </row>
    <row r="46" spans="1:24" ht="15.5" thickTop="1" thickBot="1" x14ac:dyDescent="0.4">
      <c r="A46" s="7" t="str">
        <f t="shared" si="14"/>
        <v>2022Q3</v>
      </c>
      <c r="B46" s="6"/>
      <c r="C46" s="9">
        <f t="shared" si="15"/>
        <v>8.3070000000000004</v>
      </c>
      <c r="D46" s="6"/>
      <c r="E46" s="6"/>
      <c r="F46" s="9">
        <f t="shared" si="16"/>
        <v>40.168999999999997</v>
      </c>
      <c r="G46" s="6"/>
      <c r="K46" s="7" t="str">
        <f t="shared" si="17"/>
        <v>2022Q3</v>
      </c>
      <c r="L46" s="6"/>
      <c r="M46" s="9">
        <f t="shared" si="18"/>
        <v>7.5339999999999998</v>
      </c>
      <c r="N46" s="6"/>
      <c r="O46" s="6"/>
      <c r="P46" s="9">
        <f t="shared" si="19"/>
        <v>35.384999999999998</v>
      </c>
      <c r="Q46" s="6"/>
    </row>
    <row r="47" spans="1:24" ht="15.5" thickTop="1" thickBot="1" x14ac:dyDescent="0.4">
      <c r="A47" s="7" t="str">
        <f t="shared" si="14"/>
        <v>2022Q4</v>
      </c>
      <c r="B47" s="6"/>
      <c r="C47" s="9">
        <f t="shared" si="15"/>
        <v>8.8719999999999999</v>
      </c>
      <c r="D47" s="6"/>
      <c r="E47" s="6"/>
      <c r="F47" s="9">
        <f t="shared" si="16"/>
        <v>39.756</v>
      </c>
      <c r="G47" s="6"/>
      <c r="K47" s="7" t="str">
        <f t="shared" si="17"/>
        <v>2022Q4</v>
      </c>
      <c r="L47" s="6"/>
      <c r="M47" s="9">
        <f t="shared" si="18"/>
        <v>8.0530000000000008</v>
      </c>
      <c r="N47" s="6"/>
      <c r="O47" s="6"/>
      <c r="P47" s="9">
        <f t="shared" si="19"/>
        <v>34.476999999999997</v>
      </c>
      <c r="Q47" s="6"/>
    </row>
    <row r="48" spans="1:24" ht="15.5" thickTop="1" thickBot="1" x14ac:dyDescent="0.4">
      <c r="A48" s="7" t="str">
        <f t="shared" si="14"/>
        <v>2023Q1</v>
      </c>
      <c r="B48" s="6"/>
      <c r="C48" s="9">
        <f t="shared" si="15"/>
        <v>7.6059999999999999</v>
      </c>
      <c r="D48" s="6"/>
      <c r="E48" s="6"/>
      <c r="F48" s="9">
        <f t="shared" si="16"/>
        <v>39.293999999999997</v>
      </c>
      <c r="G48" s="6"/>
      <c r="K48" s="7" t="str">
        <f t="shared" si="17"/>
        <v>2023Q1</v>
      </c>
      <c r="L48" s="6"/>
      <c r="M48" s="9">
        <f t="shared" si="18"/>
        <v>6.7510000000000003</v>
      </c>
      <c r="N48" s="6"/>
      <c r="O48" s="6"/>
      <c r="P48" s="9">
        <f t="shared" si="19"/>
        <v>33.564999999999998</v>
      </c>
      <c r="Q48" s="6"/>
    </row>
    <row r="49" spans="1:17" ht="15.5" thickTop="1" thickBot="1" x14ac:dyDescent="0.4">
      <c r="A49" s="7" t="str">
        <f t="shared" si="14"/>
        <v>2023Q2</v>
      </c>
      <c r="B49" s="6"/>
      <c r="C49" s="9">
        <f t="shared" si="15"/>
        <v>9.2080000000000002</v>
      </c>
      <c r="D49" s="6"/>
      <c r="E49" s="6"/>
      <c r="F49" s="9">
        <f t="shared" si="16"/>
        <v>39.920999999999999</v>
      </c>
      <c r="G49" s="6"/>
      <c r="K49" s="7" t="str">
        <f t="shared" si="17"/>
        <v>2023Q2</v>
      </c>
      <c r="L49" s="6"/>
      <c r="M49" s="9">
        <f t="shared" si="18"/>
        <v>8.327</v>
      </c>
      <c r="N49" s="6"/>
      <c r="O49" s="6"/>
      <c r="P49" s="9">
        <f t="shared" si="19"/>
        <v>33.776000000000003</v>
      </c>
      <c r="Q49" s="6"/>
    </row>
    <row r="50" spans="1:17" ht="15.5" thickTop="1" thickBot="1" x14ac:dyDescent="0.4">
      <c r="A50" s="7" t="str">
        <f t="shared" si="14"/>
        <v>2023Q3</v>
      </c>
      <c r="B50" s="6"/>
      <c r="C50" s="9">
        <f t="shared" si="15"/>
        <v>8.048</v>
      </c>
      <c r="D50" s="6"/>
      <c r="E50" s="6"/>
      <c r="F50" s="9">
        <f t="shared" si="16"/>
        <v>38.140999999999998</v>
      </c>
      <c r="G50" s="6"/>
      <c r="K50" s="7" t="str">
        <f t="shared" si="17"/>
        <v>2023Q3</v>
      </c>
      <c r="L50" s="6"/>
      <c r="M50" s="9">
        <f t="shared" si="18"/>
        <v>7.1459999999999999</v>
      </c>
      <c r="N50" s="6"/>
      <c r="O50" s="6"/>
      <c r="P50" s="9">
        <f t="shared" si="19"/>
        <v>31.606999999999999</v>
      </c>
      <c r="Q50" s="6"/>
    </row>
    <row r="51" spans="1:17" ht="15.5" thickTop="1" thickBot="1" x14ac:dyDescent="0.4">
      <c r="A51" s="7" t="str">
        <f t="shared" si="14"/>
        <v>2023Q4</v>
      </c>
      <c r="B51" s="6"/>
      <c r="C51" s="9">
        <f t="shared" si="15"/>
        <v>8.61</v>
      </c>
      <c r="D51" s="6"/>
      <c r="E51" s="6"/>
      <c r="F51" s="9">
        <f t="shared" si="16"/>
        <v>37.857999999999997</v>
      </c>
      <c r="G51" s="6"/>
      <c r="K51" s="7" t="str">
        <f t="shared" si="17"/>
        <v>2023Q4</v>
      </c>
      <c r="L51" s="6"/>
      <c r="M51" s="9">
        <f t="shared" si="18"/>
        <v>7.6920000000000002</v>
      </c>
      <c r="N51" s="6"/>
      <c r="O51" s="6"/>
      <c r="P51" s="9">
        <f t="shared" si="19"/>
        <v>30.956</v>
      </c>
      <c r="Q51" s="6"/>
    </row>
    <row r="52" spans="1:17" ht="15.5" thickTop="1" thickBot="1" x14ac:dyDescent="0.4">
      <c r="A52" s="7" t="str">
        <f t="shared" si="14"/>
        <v>2024Q1</v>
      </c>
      <c r="B52" s="6"/>
      <c r="C52" s="9">
        <f t="shared" si="15"/>
        <v>7.3360000000000003</v>
      </c>
      <c r="D52" s="6"/>
      <c r="E52" s="6"/>
      <c r="F52" s="9">
        <f t="shared" si="16"/>
        <v>37.497999999999998</v>
      </c>
      <c r="G52" s="6"/>
      <c r="K52" s="7" t="str">
        <f t="shared" si="17"/>
        <v>2024Q1</v>
      </c>
      <c r="L52" s="6"/>
      <c r="M52" s="9">
        <f t="shared" si="18"/>
        <v>6.4059999999999997</v>
      </c>
      <c r="N52" s="6"/>
      <c r="O52" s="6"/>
      <c r="P52" s="9">
        <f t="shared" si="19"/>
        <v>30.245999999999999</v>
      </c>
      <c r="Q52" s="6"/>
    </row>
    <row r="53" spans="1:17" ht="15.5" thickTop="1" thickBot="1" x14ac:dyDescent="0.4">
      <c r="A53" s="7" t="str">
        <f t="shared" si="14"/>
        <v>2024Q2</v>
      </c>
      <c r="B53" s="6"/>
      <c r="C53" s="9">
        <f t="shared" si="15"/>
        <v>8.9280000000000008</v>
      </c>
      <c r="D53" s="6"/>
      <c r="E53" s="6"/>
      <c r="F53" s="9">
        <f t="shared" si="16"/>
        <v>38.209000000000003</v>
      </c>
      <c r="G53" s="6"/>
      <c r="K53" s="7" t="str">
        <f t="shared" si="17"/>
        <v>2024Q2</v>
      </c>
      <c r="L53" s="6"/>
      <c r="M53" s="9">
        <f t="shared" si="18"/>
        <v>7.9889999999999999</v>
      </c>
      <c r="N53" s="6"/>
      <c r="O53" s="6"/>
      <c r="P53" s="9">
        <f t="shared" si="19"/>
        <v>30.623000000000001</v>
      </c>
      <c r="Q53" s="6"/>
    </row>
    <row r="54" spans="1:17" ht="15.5" thickTop="1" thickBot="1" x14ac:dyDescent="0.4">
      <c r="A54" s="7" t="str">
        <f t="shared" si="14"/>
        <v>2024Q3</v>
      </c>
      <c r="B54" s="6"/>
      <c r="C54" s="9">
        <f t="shared" si="15"/>
        <v>7.758</v>
      </c>
      <c r="D54" s="6"/>
      <c r="E54" s="6"/>
      <c r="F54" s="9">
        <f t="shared" si="16"/>
        <v>36.497999999999998</v>
      </c>
      <c r="G54" s="6"/>
      <c r="K54" s="7" t="str">
        <f t="shared" si="17"/>
        <v>2024Q3</v>
      </c>
      <c r="L54" s="6"/>
      <c r="M54" s="9">
        <f t="shared" si="18"/>
        <v>6.81</v>
      </c>
      <c r="N54" s="6"/>
      <c r="O54" s="6"/>
      <c r="P54" s="9">
        <f t="shared" si="19"/>
        <v>28.594000000000001</v>
      </c>
      <c r="Q54" s="6"/>
    </row>
    <row r="55" spans="1:17" ht="15.5" thickTop="1" thickBot="1" x14ac:dyDescent="0.4">
      <c r="A55" s="7" t="str">
        <f t="shared" si="14"/>
        <v>2024Q4</v>
      </c>
      <c r="B55" s="6"/>
      <c r="C55" s="9">
        <f t="shared" si="15"/>
        <v>8.3089999999999993</v>
      </c>
      <c r="D55" s="6"/>
      <c r="E55" s="6"/>
      <c r="F55" s="9">
        <f t="shared" si="16"/>
        <v>36.277000000000001</v>
      </c>
      <c r="G55" s="6"/>
      <c r="K55" s="7" t="str">
        <f t="shared" si="17"/>
        <v>2024Q4</v>
      </c>
      <c r="L55" s="6"/>
      <c r="M55" s="9">
        <f t="shared" si="18"/>
        <v>7.3550000000000004</v>
      </c>
      <c r="N55" s="6"/>
      <c r="O55" s="6"/>
      <c r="P55" s="9">
        <f t="shared" si="19"/>
        <v>28.065000000000001</v>
      </c>
      <c r="Q55" s="6"/>
    </row>
    <row r="56" spans="1:17" ht="15.5" thickTop="1" thickBot="1" x14ac:dyDescent="0.4">
      <c r="A56" s="7" t="str">
        <f t="shared" si="14"/>
        <v>2025Q1</v>
      </c>
      <c r="B56" s="6"/>
      <c r="C56" s="9">
        <f t="shared" si="15"/>
        <v>7.024</v>
      </c>
      <c r="D56" s="6"/>
      <c r="E56" s="6"/>
      <c r="F56" s="9">
        <f t="shared" si="16"/>
        <v>35.97</v>
      </c>
      <c r="G56" s="6"/>
      <c r="K56" s="7" t="str">
        <f t="shared" si="17"/>
        <v>2025Q1</v>
      </c>
      <c r="L56" s="6"/>
      <c r="M56" s="9">
        <f t="shared" si="18"/>
        <v>6.0650000000000004</v>
      </c>
      <c r="N56" s="6"/>
      <c r="O56" s="6"/>
      <c r="P56" s="9">
        <f t="shared" si="19"/>
        <v>27.463000000000001</v>
      </c>
      <c r="Q56" s="6"/>
    </row>
    <row r="57" spans="1:17" ht="15.5" thickTop="1" thickBot="1" x14ac:dyDescent="0.4">
      <c r="A57" s="7" t="str">
        <f t="shared" si="14"/>
        <v>2025Q2</v>
      </c>
      <c r="B57" s="6"/>
      <c r="C57" s="9">
        <f t="shared" si="15"/>
        <v>8.6069999999999993</v>
      </c>
      <c r="D57" s="6"/>
      <c r="E57" s="6"/>
      <c r="F57" s="9">
        <f t="shared" si="16"/>
        <v>36.728999999999999</v>
      </c>
      <c r="G57" s="6"/>
      <c r="K57" s="7" t="str">
        <f t="shared" si="17"/>
        <v>2025Q2</v>
      </c>
      <c r="L57" s="6"/>
      <c r="M57" s="9">
        <f t="shared" si="18"/>
        <v>7.6449999999999996</v>
      </c>
      <c r="N57" s="6"/>
      <c r="O57" s="6"/>
      <c r="P57" s="9">
        <f t="shared" si="19"/>
        <v>27.936</v>
      </c>
      <c r="Q57" s="6"/>
    </row>
    <row r="58" spans="1:17" ht="15.5" thickTop="1" thickBot="1" x14ac:dyDescent="0.4">
      <c r="A58" s="7" t="str">
        <f t="shared" si="14"/>
        <v>2025Q3</v>
      </c>
      <c r="B58" s="6"/>
      <c r="C58" s="9">
        <f t="shared" si="15"/>
        <v>7.4260000000000002</v>
      </c>
      <c r="D58" s="6"/>
      <c r="E58" s="6"/>
      <c r="F58" s="9">
        <f t="shared" si="16"/>
        <v>35.061</v>
      </c>
      <c r="G58" s="6"/>
      <c r="K58" s="7" t="str">
        <f t="shared" si="17"/>
        <v>2025Q3</v>
      </c>
      <c r="L58" s="6"/>
      <c r="M58" s="9">
        <f t="shared" si="18"/>
        <v>6.4610000000000003</v>
      </c>
      <c r="N58" s="6"/>
      <c r="O58" s="6"/>
      <c r="P58" s="9">
        <f t="shared" si="19"/>
        <v>25.992000000000001</v>
      </c>
      <c r="Q58" s="6"/>
    </row>
    <row r="59" spans="1:17" ht="15.5" thickTop="1" thickBot="1" x14ac:dyDescent="0.4">
      <c r="A59" s="7" t="str">
        <f t="shared" si="14"/>
        <v>2025Q4</v>
      </c>
      <c r="B59" s="6"/>
      <c r="C59" s="9">
        <f t="shared" si="15"/>
        <v>7.968</v>
      </c>
      <c r="D59" s="6"/>
      <c r="E59" s="6"/>
      <c r="F59" s="9">
        <f t="shared" si="16"/>
        <v>34.878</v>
      </c>
      <c r="G59" s="6"/>
      <c r="K59" s="7" t="str">
        <f t="shared" si="17"/>
        <v>2025Q4</v>
      </c>
      <c r="L59" s="6"/>
      <c r="M59" s="9">
        <f t="shared" si="18"/>
        <v>7</v>
      </c>
      <c r="N59" s="6"/>
      <c r="O59" s="6"/>
      <c r="P59" s="9">
        <f t="shared" si="19"/>
        <v>25.539000000000001</v>
      </c>
      <c r="Q59" s="6"/>
    </row>
    <row r="60" spans="1:17" ht="15.5" thickTop="1" thickBot="1" x14ac:dyDescent="0.4">
      <c r="A60" s="7" t="str">
        <f t="shared" si="14"/>
        <v>2026Q1</v>
      </c>
      <c r="B60" s="6"/>
      <c r="C60" s="9">
        <f t="shared" si="15"/>
        <v>6.6749999999999998</v>
      </c>
      <c r="D60" s="6"/>
      <c r="E60" s="6"/>
      <c r="F60" s="9">
        <f t="shared" si="16"/>
        <v>34.606000000000002</v>
      </c>
      <c r="G60" s="6"/>
      <c r="K60" s="7" t="str">
        <f t="shared" si="17"/>
        <v>2026Q1</v>
      </c>
      <c r="L60" s="6"/>
      <c r="M60" s="9">
        <f t="shared" si="18"/>
        <v>5.7060000000000004</v>
      </c>
      <c r="N60" s="6"/>
      <c r="O60" s="6"/>
      <c r="P60" s="9">
        <f t="shared" si="19"/>
        <v>25.006</v>
      </c>
      <c r="Q60" s="6"/>
    </row>
    <row r="61" spans="1:17" ht="15.5" thickTop="1" thickBot="1" x14ac:dyDescent="0.4">
      <c r="A61" s="7" t="str">
        <f t="shared" si="14"/>
        <v>2026Q2</v>
      </c>
      <c r="B61" s="6"/>
      <c r="C61" s="9">
        <f t="shared" si="15"/>
        <v>8.25</v>
      </c>
      <c r="D61" s="6"/>
      <c r="E61" s="6"/>
      <c r="F61" s="9">
        <f t="shared" si="16"/>
        <v>35.395000000000003</v>
      </c>
      <c r="G61" s="6"/>
      <c r="K61" s="7" t="str">
        <f t="shared" si="17"/>
        <v>2026Q2</v>
      </c>
      <c r="L61" s="6"/>
      <c r="M61" s="9">
        <f t="shared" si="18"/>
        <v>7.2789999999999999</v>
      </c>
      <c r="N61" s="6"/>
      <c r="O61" s="6"/>
      <c r="P61" s="9">
        <f t="shared" si="19"/>
        <v>25.542000000000002</v>
      </c>
      <c r="Q61" s="6"/>
    </row>
    <row r="62" spans="1:17" ht="15.5" thickTop="1" thickBot="1" x14ac:dyDescent="0.4">
      <c r="A62" s="7" t="str">
        <f t="shared" si="14"/>
        <v>2026Q3</v>
      </c>
      <c r="B62" s="6"/>
      <c r="C62" s="9">
        <f t="shared" si="15"/>
        <v>7.0609999999999999</v>
      </c>
      <c r="D62" s="6"/>
      <c r="E62" s="6"/>
      <c r="F62" s="9">
        <f t="shared" si="16"/>
        <v>33.758000000000003</v>
      </c>
      <c r="G62" s="6"/>
      <c r="K62" s="7" t="str">
        <f t="shared" si="17"/>
        <v>2026Q3</v>
      </c>
      <c r="L62" s="6"/>
      <c r="M62" s="9">
        <f t="shared" si="18"/>
        <v>6.09</v>
      </c>
      <c r="N62" s="6"/>
      <c r="O62" s="6"/>
      <c r="P62" s="9">
        <f t="shared" si="19"/>
        <v>23.655999999999999</v>
      </c>
      <c r="Q62" s="6"/>
    </row>
    <row r="63" spans="1:17" ht="15.5" thickTop="1" thickBot="1" x14ac:dyDescent="0.4">
      <c r="A63" s="7" t="str">
        <f t="shared" si="14"/>
        <v>2026Q4</v>
      </c>
      <c r="B63" s="6"/>
      <c r="C63" s="9">
        <f t="shared" si="15"/>
        <v>7.5960000000000001</v>
      </c>
      <c r="D63" s="6"/>
      <c r="E63" s="6"/>
      <c r="F63" s="9">
        <f t="shared" si="16"/>
        <v>33.600999999999999</v>
      </c>
      <c r="G63" s="6"/>
      <c r="K63" s="7" t="str">
        <f t="shared" si="17"/>
        <v>2026Q4</v>
      </c>
      <c r="L63" s="6"/>
      <c r="M63" s="9">
        <f t="shared" si="18"/>
        <v>6.6239999999999997</v>
      </c>
      <c r="N63" s="6"/>
      <c r="O63" s="6"/>
      <c r="P63" s="9">
        <f t="shared" si="19"/>
        <v>23.257999999999999</v>
      </c>
      <c r="Q63" s="6"/>
    </row>
    <row r="64" spans="1:17" ht="15.5" thickTop="1" thickBot="1" x14ac:dyDescent="0.4">
      <c r="A64" s="7" t="str">
        <f t="shared" si="14"/>
        <v>2027Q1</v>
      </c>
      <c r="B64" s="6"/>
      <c r="C64" s="9">
        <f t="shared" si="15"/>
        <v>6.2969999999999997</v>
      </c>
      <c r="D64" s="6"/>
      <c r="E64" s="6"/>
      <c r="F64" s="9">
        <f t="shared" si="16"/>
        <v>33.353000000000002</v>
      </c>
      <c r="G64" s="6"/>
      <c r="K64" s="7" t="str">
        <f t="shared" si="17"/>
        <v>2027Q1</v>
      </c>
      <c r="L64" s="6"/>
      <c r="M64" s="9">
        <f t="shared" si="18"/>
        <v>5.3230000000000004</v>
      </c>
      <c r="N64" s="6"/>
      <c r="O64" s="6"/>
      <c r="P64" s="9">
        <f t="shared" si="19"/>
        <v>22.774000000000001</v>
      </c>
      <c r="Q64" s="6"/>
    </row>
    <row r="65" spans="1:17" ht="15.5" thickTop="1" thickBot="1" x14ac:dyDescent="0.4">
      <c r="A65" s="7" t="str">
        <f t="shared" si="14"/>
        <v>2027Q2</v>
      </c>
      <c r="B65" s="6"/>
      <c r="C65" s="9">
        <f t="shared" si="15"/>
        <v>7.8659999999999997</v>
      </c>
      <c r="D65" s="6"/>
      <c r="E65" s="6"/>
      <c r="F65" s="9">
        <f t="shared" si="16"/>
        <v>34.165999999999997</v>
      </c>
      <c r="G65" s="6"/>
      <c r="K65" s="7" t="str">
        <f t="shared" si="17"/>
        <v>2027Q2</v>
      </c>
      <c r="L65" s="6"/>
      <c r="M65" s="9">
        <f t="shared" si="18"/>
        <v>6.8920000000000003</v>
      </c>
      <c r="N65" s="6"/>
      <c r="O65" s="6"/>
      <c r="P65" s="9">
        <f t="shared" si="19"/>
        <v>23.355</v>
      </c>
      <c r="Q65" s="6"/>
    </row>
    <row r="66" spans="1:17" ht="15.5" thickTop="1" thickBot="1" x14ac:dyDescent="0.4">
      <c r="A66" s="7" t="str">
        <f t="shared" si="14"/>
        <v>2027Q3</v>
      </c>
      <c r="B66" s="6"/>
      <c r="C66" s="9">
        <f t="shared" si="15"/>
        <v>6.673</v>
      </c>
      <c r="D66" s="6"/>
      <c r="E66" s="6"/>
      <c r="F66" s="9">
        <f t="shared" si="16"/>
        <v>32.548999999999999</v>
      </c>
      <c r="G66" s="6"/>
      <c r="K66" s="7" t="str">
        <f t="shared" si="17"/>
        <v>2027Q3</v>
      </c>
      <c r="L66" s="6"/>
      <c r="M66" s="9">
        <f t="shared" si="18"/>
        <v>5.6980000000000004</v>
      </c>
      <c r="N66" s="6"/>
      <c r="O66" s="6"/>
      <c r="P66" s="9">
        <f t="shared" si="19"/>
        <v>21.512</v>
      </c>
      <c r="Q66" s="6"/>
    </row>
    <row r="67" spans="1:17" ht="15.5" thickTop="1" thickBot="1" x14ac:dyDescent="0.4">
      <c r="A67" s="7" t="str">
        <f t="shared" si="14"/>
        <v>2027Q4</v>
      </c>
      <c r="B67" s="6"/>
      <c r="C67" s="9">
        <f t="shared" si="15"/>
        <v>7.2030000000000003</v>
      </c>
      <c r="D67" s="6"/>
      <c r="E67" s="6"/>
      <c r="F67" s="9">
        <f t="shared" si="16"/>
        <v>32.411999999999999</v>
      </c>
      <c r="G67" s="6"/>
      <c r="K67" s="7" t="str">
        <f t="shared" si="17"/>
        <v>2027Q4</v>
      </c>
      <c r="L67" s="6"/>
      <c r="M67" s="9">
        <f t="shared" si="18"/>
        <v>6.2279999999999998</v>
      </c>
      <c r="N67" s="6"/>
      <c r="O67" s="6"/>
      <c r="P67" s="9">
        <f t="shared" si="19"/>
        <v>21.152999999999999</v>
      </c>
      <c r="Q67" s="6"/>
    </row>
    <row r="68" spans="1:17" ht="15.5" thickTop="1" thickBot="1" x14ac:dyDescent="0.4">
      <c r="A68" s="7" t="str">
        <f t="shared" si="14"/>
        <v>2028Q1</v>
      </c>
      <c r="B68" s="6"/>
      <c r="C68" s="9">
        <f t="shared" si="15"/>
        <v>5.9</v>
      </c>
      <c r="D68" s="6"/>
      <c r="E68" s="6"/>
      <c r="F68" s="9">
        <f t="shared" si="16"/>
        <v>32.183999999999997</v>
      </c>
      <c r="G68" s="6"/>
      <c r="K68" s="7" t="str">
        <f t="shared" si="17"/>
        <v>2028Q1</v>
      </c>
      <c r="L68" s="6"/>
      <c r="M68" s="9">
        <f t="shared" si="18"/>
        <v>4.9249999999999998</v>
      </c>
      <c r="N68" s="6"/>
      <c r="O68" s="6"/>
      <c r="P68" s="9">
        <f t="shared" si="19"/>
        <v>20.707000000000001</v>
      </c>
      <c r="Q68" s="6"/>
    </row>
    <row r="69" spans="1:17" ht="15.5" thickTop="1" thickBot="1" x14ac:dyDescent="0.4">
      <c r="A69" s="7" t="str">
        <f t="shared" si="14"/>
        <v>2028Q2</v>
      </c>
      <c r="B69" s="6"/>
      <c r="C69" s="9">
        <f t="shared" si="15"/>
        <v>7.4649999999999999</v>
      </c>
      <c r="D69" s="6"/>
      <c r="E69" s="6"/>
      <c r="F69" s="9">
        <f t="shared" si="16"/>
        <v>33.015000000000001</v>
      </c>
      <c r="G69" s="6"/>
      <c r="K69" s="7" t="str">
        <f t="shared" si="17"/>
        <v>2028Q2</v>
      </c>
      <c r="L69" s="6"/>
      <c r="M69" s="9">
        <f t="shared" si="18"/>
        <v>6.4889999999999999</v>
      </c>
      <c r="N69" s="6"/>
      <c r="O69" s="6"/>
      <c r="P69" s="9">
        <f t="shared" si="19"/>
        <v>21.326000000000001</v>
      </c>
      <c r="Q69" s="6"/>
    </row>
    <row r="70" spans="1:17" ht="15.5" thickTop="1" thickBot="1" x14ac:dyDescent="0.4">
      <c r="A70" s="7" t="str">
        <f t="shared" si="14"/>
        <v>2028Q3</v>
      </c>
      <c r="B70" s="6"/>
      <c r="C70" s="9">
        <f t="shared" si="15"/>
        <v>6.2690000000000001</v>
      </c>
      <c r="D70" s="6"/>
      <c r="E70" s="6"/>
      <c r="F70" s="9">
        <f t="shared" si="16"/>
        <v>31.414999999999999</v>
      </c>
      <c r="G70" s="6"/>
      <c r="K70" s="7" t="str">
        <f t="shared" si="17"/>
        <v>2028Q3</v>
      </c>
      <c r="L70" s="6"/>
      <c r="M70" s="9">
        <f t="shared" si="18"/>
        <v>5.2930000000000001</v>
      </c>
      <c r="N70" s="6"/>
      <c r="O70" s="6"/>
      <c r="P70" s="9">
        <f t="shared" si="19"/>
        <v>19.515000000000001</v>
      </c>
      <c r="Q70" s="6"/>
    </row>
    <row r="71" spans="1:17" ht="15.5" thickTop="1" thickBot="1" x14ac:dyDescent="0.4">
      <c r="A71" s="7" t="str">
        <f t="shared" si="14"/>
        <v>2028Q4</v>
      </c>
      <c r="B71" s="6"/>
      <c r="C71" s="9">
        <f t="shared" si="15"/>
        <v>6.7960000000000003</v>
      </c>
      <c r="D71" s="6"/>
      <c r="E71" s="6"/>
      <c r="F71" s="9">
        <f t="shared" si="16"/>
        <v>31.294</v>
      </c>
      <c r="G71" s="6"/>
      <c r="K71" s="7" t="str">
        <f t="shared" si="17"/>
        <v>2028Q4</v>
      </c>
      <c r="L71" s="6"/>
      <c r="M71" s="9">
        <f t="shared" si="18"/>
        <v>5.8209999999999997</v>
      </c>
      <c r="N71" s="6"/>
      <c r="O71" s="6"/>
      <c r="P71" s="9">
        <f t="shared" si="19"/>
        <v>19.187999999999999</v>
      </c>
      <c r="Q71" s="6"/>
    </row>
    <row r="72" spans="1:17" ht="15.5" thickTop="1" thickBot="1" x14ac:dyDescent="0.4">
      <c r="A72" s="7" t="str">
        <f t="shared" si="14"/>
        <v>2029Q1</v>
      </c>
      <c r="B72" s="6"/>
      <c r="C72" s="9">
        <f t="shared" si="15"/>
        <v>5.4889999999999999</v>
      </c>
      <c r="D72" s="6"/>
      <c r="E72" s="6"/>
      <c r="F72" s="9">
        <f t="shared" si="16"/>
        <v>31.08</v>
      </c>
      <c r="G72" s="6"/>
      <c r="K72" s="7" t="str">
        <f t="shared" si="17"/>
        <v>2029Q1</v>
      </c>
      <c r="L72" s="6"/>
      <c r="M72" s="9">
        <f t="shared" si="18"/>
        <v>4.5129999999999999</v>
      </c>
      <c r="N72" s="6"/>
      <c r="O72" s="6"/>
      <c r="P72" s="9">
        <f t="shared" si="19"/>
        <v>18.771999999999998</v>
      </c>
      <c r="Q72" s="6"/>
    </row>
    <row r="73" spans="1:17" ht="15.5" thickTop="1" thickBot="1" x14ac:dyDescent="0.4">
      <c r="A73" s="7" t="str">
        <f t="shared" si="14"/>
        <v>2029Q2</v>
      </c>
      <c r="B73" s="6"/>
      <c r="C73" s="9">
        <f t="shared" si="15"/>
        <v>7.0519999999999996</v>
      </c>
      <c r="D73" s="6"/>
      <c r="E73" s="6"/>
      <c r="F73" s="9">
        <f t="shared" si="16"/>
        <v>31.925000000000001</v>
      </c>
      <c r="G73" s="6"/>
      <c r="K73" s="7" t="str">
        <f t="shared" si="17"/>
        <v>2029Q2</v>
      </c>
      <c r="L73" s="6"/>
      <c r="M73" s="9">
        <f t="shared" si="18"/>
        <v>6.0759999999999996</v>
      </c>
      <c r="N73" s="6"/>
      <c r="O73" s="6"/>
      <c r="P73" s="9">
        <f t="shared" si="19"/>
        <v>19.417000000000002</v>
      </c>
      <c r="Q73" s="6"/>
    </row>
    <row r="74" spans="1:17" ht="15.5" thickTop="1" thickBot="1" x14ac:dyDescent="0.4">
      <c r="A74" s="7" t="str">
        <f t="shared" si="14"/>
        <v>2029Q3</v>
      </c>
      <c r="B74" s="6"/>
      <c r="C74" s="9">
        <f t="shared" si="15"/>
        <v>5.8529999999999998</v>
      </c>
      <c r="D74" s="6"/>
      <c r="E74" s="6"/>
      <c r="F74" s="9">
        <f t="shared" si="16"/>
        <v>30.338999999999999</v>
      </c>
      <c r="G74" s="6"/>
      <c r="K74" s="7" t="str">
        <f t="shared" si="17"/>
        <v>2029Q3</v>
      </c>
      <c r="L74" s="6"/>
      <c r="M74" s="9">
        <f t="shared" si="18"/>
        <v>4.8769999999999998</v>
      </c>
      <c r="N74" s="6"/>
      <c r="O74" s="6"/>
      <c r="P74" s="9">
        <f t="shared" si="19"/>
        <v>17.635000000000002</v>
      </c>
      <c r="Q74" s="6"/>
    </row>
    <row r="75" spans="1:17" ht="15.5" thickTop="1" thickBot="1" x14ac:dyDescent="0.4">
      <c r="A75" s="7" t="str">
        <f t="shared" si="14"/>
        <v>2029Q4</v>
      </c>
      <c r="B75" s="6"/>
      <c r="C75" s="9">
        <f t="shared" si="15"/>
        <v>6.3789999999999996</v>
      </c>
      <c r="D75" s="6"/>
      <c r="E75" s="6"/>
      <c r="F75" s="9">
        <f t="shared" si="16"/>
        <v>30.231000000000002</v>
      </c>
      <c r="G75" s="6"/>
      <c r="K75" s="7" t="str">
        <f t="shared" si="17"/>
        <v>2029Q4</v>
      </c>
      <c r="L75" s="6"/>
      <c r="M75" s="9">
        <f t="shared" si="18"/>
        <v>5.4029999999999996</v>
      </c>
      <c r="N75" s="6"/>
      <c r="O75" s="6"/>
      <c r="P75" s="9">
        <f t="shared" si="19"/>
        <v>17.334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179687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3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3">
        <v>203.77507484743339</v>
      </c>
      <c r="M3" s="43">
        <v>186.82089461082344</v>
      </c>
      <c r="N3" s="43">
        <v>220.72925508404333</v>
      </c>
      <c r="O3" s="1">
        <f t="shared" ref="O3:O34" si="0">ROUND(M3,3)</f>
        <v>186.821</v>
      </c>
      <c r="P3" s="1">
        <f t="shared" ref="P3:P34" si="1">ROUND(L3,3)</f>
        <v>203.77500000000001</v>
      </c>
      <c r="Q3" s="1">
        <f t="shared" ref="Q3:Q34" si="2">ROUND(N3,3)</f>
        <v>220.72900000000001</v>
      </c>
      <c r="R3" s="14" t="str">
        <f>K3</f>
        <v>2022Q1</v>
      </c>
      <c r="S3" s="56">
        <v>2419.8718363103467</v>
      </c>
      <c r="T3" s="56">
        <v>2149.5226533296163</v>
      </c>
      <c r="U3" s="56">
        <v>2690.221019291077</v>
      </c>
      <c r="V3" s="1">
        <f t="shared" ref="V3:V34" si="3">ROUND(T3,3)</f>
        <v>2149.5230000000001</v>
      </c>
      <c r="W3" s="1">
        <f t="shared" ref="W3:W34" si="4">ROUND(S3,3)</f>
        <v>2419.8719999999998</v>
      </c>
      <c r="X3" s="1">
        <f t="shared" ref="X3:X34" si="5">ROUND(U3,3)</f>
        <v>2690.221</v>
      </c>
    </row>
    <row r="4" spans="1:30" ht="15.5" thickTop="1" thickBot="1" x14ac:dyDescent="0.4">
      <c r="A4" s="5" t="str">
        <f>K3</f>
        <v>2022Q1</v>
      </c>
      <c r="B4" s="2">
        <f>O3</f>
        <v>186.821</v>
      </c>
      <c r="C4" s="3">
        <f>P3</f>
        <v>203.77500000000001</v>
      </c>
      <c r="D4" s="2">
        <f>Q3</f>
        <v>220.72900000000001</v>
      </c>
      <c r="E4" s="2">
        <f>V3</f>
        <v>2149.5230000000001</v>
      </c>
      <c r="F4" s="3">
        <f>W3</f>
        <v>2419.8719999999998</v>
      </c>
      <c r="G4" s="2">
        <f>X3</f>
        <v>2690.221</v>
      </c>
      <c r="K4" s="14" t="s">
        <v>68</v>
      </c>
      <c r="L4" s="43">
        <v>226.16848235098212</v>
      </c>
      <c r="M4" s="43">
        <v>203.78904442223865</v>
      </c>
      <c r="N4" s="43">
        <v>248.54792027972559</v>
      </c>
      <c r="O4" s="1">
        <f t="shared" si="0"/>
        <v>203.78899999999999</v>
      </c>
      <c r="P4" s="1">
        <f t="shared" si="1"/>
        <v>226.16800000000001</v>
      </c>
      <c r="Q4" s="1">
        <f t="shared" si="2"/>
        <v>248.548</v>
      </c>
      <c r="R4" s="14" t="str">
        <f t="shared" ref="R4:R34" si="6">K4</f>
        <v>2022Q2</v>
      </c>
      <c r="S4" s="56">
        <v>2482.2742255126223</v>
      </c>
      <c r="T4" s="56">
        <v>2072.4537382155859</v>
      </c>
      <c r="U4" s="56">
        <v>2892.0947128096586</v>
      </c>
      <c r="V4" s="1">
        <f t="shared" si="3"/>
        <v>2072.4540000000002</v>
      </c>
      <c r="W4" s="1">
        <f t="shared" si="4"/>
        <v>2482.2739999999999</v>
      </c>
      <c r="X4" s="1">
        <f t="shared" si="5"/>
        <v>2892.0949999999998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203.78899999999999</v>
      </c>
      <c r="C5" s="3">
        <f t="shared" si="8"/>
        <v>226.16800000000001</v>
      </c>
      <c r="D5" s="2">
        <f t="shared" si="8"/>
        <v>248.548</v>
      </c>
      <c r="E5" s="2">
        <f t="shared" ref="E5:G20" si="9">V4</f>
        <v>2072.4540000000002</v>
      </c>
      <c r="F5" s="3">
        <f t="shared" si="9"/>
        <v>2482.2739999999999</v>
      </c>
      <c r="G5" s="2">
        <f t="shared" si="9"/>
        <v>2892.0949999999998</v>
      </c>
      <c r="I5" s="1">
        <f>SUM(F5:F8)</f>
        <v>9975.9609999999993</v>
      </c>
      <c r="K5" s="14" t="s">
        <v>69</v>
      </c>
      <c r="L5" s="43">
        <v>208.72723326967892</v>
      </c>
      <c r="M5" s="43">
        <v>182.8944690439258</v>
      </c>
      <c r="N5" s="43">
        <v>234.55999749543204</v>
      </c>
      <c r="O5" s="1">
        <f t="shared" si="0"/>
        <v>182.89400000000001</v>
      </c>
      <c r="P5" s="1">
        <f t="shared" si="1"/>
        <v>208.727</v>
      </c>
      <c r="Q5" s="1">
        <f t="shared" si="2"/>
        <v>234.56</v>
      </c>
      <c r="R5" s="14" t="str">
        <f t="shared" si="6"/>
        <v>2022Q3</v>
      </c>
      <c r="S5" s="56">
        <v>2468.1142535690569</v>
      </c>
      <c r="T5" s="56">
        <v>1974.027629301389</v>
      </c>
      <c r="U5" s="56">
        <v>2962.2008778367249</v>
      </c>
      <c r="V5" s="1">
        <f t="shared" si="3"/>
        <v>1974.028</v>
      </c>
      <c r="W5" s="1">
        <f t="shared" si="4"/>
        <v>2468.114</v>
      </c>
      <c r="X5" s="1">
        <f t="shared" si="5"/>
        <v>2962.201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182.89400000000001</v>
      </c>
      <c r="C6" s="3">
        <f t="shared" si="8"/>
        <v>208.727</v>
      </c>
      <c r="D6" s="2">
        <f t="shared" si="8"/>
        <v>234.56</v>
      </c>
      <c r="E6" s="2">
        <f t="shared" si="9"/>
        <v>1974.028</v>
      </c>
      <c r="F6" s="3">
        <f t="shared" si="9"/>
        <v>2468.114</v>
      </c>
      <c r="G6" s="2">
        <f t="shared" si="9"/>
        <v>2962.201</v>
      </c>
      <c r="I6" s="1">
        <f>SUM(F9:F12)</f>
        <v>10332.905999999999</v>
      </c>
      <c r="K6" s="14" t="s">
        <v>70</v>
      </c>
      <c r="L6" s="43">
        <v>211.02892404631808</v>
      </c>
      <c r="M6" s="43">
        <v>182.79365468030363</v>
      </c>
      <c r="N6" s="43">
        <v>239.26419341233253</v>
      </c>
      <c r="O6" s="1">
        <f t="shared" si="0"/>
        <v>182.79400000000001</v>
      </c>
      <c r="P6" s="1">
        <f t="shared" si="1"/>
        <v>211.029</v>
      </c>
      <c r="Q6" s="1">
        <f t="shared" si="2"/>
        <v>239.26400000000001</v>
      </c>
      <c r="R6" s="14" t="str">
        <f t="shared" si="6"/>
        <v>2022Q4</v>
      </c>
      <c r="S6" s="56">
        <v>2513.7075863119494</v>
      </c>
      <c r="T6" s="56">
        <v>1934.0030544193328</v>
      </c>
      <c r="U6" s="56">
        <v>3093.412118204566</v>
      </c>
      <c r="V6" s="1">
        <f t="shared" si="3"/>
        <v>1934.0029999999999</v>
      </c>
      <c r="W6" s="1">
        <f t="shared" si="4"/>
        <v>2513.7080000000001</v>
      </c>
      <c r="X6" s="1">
        <f t="shared" si="5"/>
        <v>3093.4119999999998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182.79400000000001</v>
      </c>
      <c r="C7" s="3">
        <f t="shared" si="8"/>
        <v>211.029</v>
      </c>
      <c r="D7" s="2">
        <f t="shared" si="8"/>
        <v>239.26400000000001</v>
      </c>
      <c r="E7" s="2">
        <f t="shared" si="9"/>
        <v>1934.0029999999999</v>
      </c>
      <c r="F7" s="3">
        <f t="shared" si="9"/>
        <v>2513.7080000000001</v>
      </c>
      <c r="G7" s="2">
        <f t="shared" si="9"/>
        <v>3093.4119999999998</v>
      </c>
      <c r="I7" s="1">
        <f>SUM(F13:F16)</f>
        <v>10690.125</v>
      </c>
      <c r="K7" s="14" t="s">
        <v>71</v>
      </c>
      <c r="L7" s="43">
        <v>195.35510497647857</v>
      </c>
      <c r="M7" s="43">
        <v>165.37880693967494</v>
      </c>
      <c r="N7" s="43">
        <v>225.3314030132822</v>
      </c>
      <c r="O7" s="1">
        <f t="shared" si="0"/>
        <v>165.37899999999999</v>
      </c>
      <c r="P7" s="1">
        <f t="shared" si="1"/>
        <v>195.35499999999999</v>
      </c>
      <c r="Q7" s="1">
        <f t="shared" si="2"/>
        <v>225.33099999999999</v>
      </c>
      <c r="R7" s="14" t="str">
        <f t="shared" si="6"/>
        <v>2023Q1</v>
      </c>
      <c r="S7" s="56">
        <v>2511.8653390396898</v>
      </c>
      <c r="T7" s="56">
        <v>1868.0544589325232</v>
      </c>
      <c r="U7" s="56">
        <v>3155.6762191468565</v>
      </c>
      <c r="V7" s="1">
        <f t="shared" si="3"/>
        <v>1868.0540000000001</v>
      </c>
      <c r="W7" s="1">
        <f t="shared" si="4"/>
        <v>2511.8649999999998</v>
      </c>
      <c r="X7" s="1">
        <f t="shared" si="5"/>
        <v>3155.6759999999999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165.37899999999999</v>
      </c>
      <c r="C8" s="3">
        <f t="shared" si="8"/>
        <v>195.35499999999999</v>
      </c>
      <c r="D8" s="2">
        <f t="shared" si="8"/>
        <v>225.33099999999999</v>
      </c>
      <c r="E8" s="2">
        <f t="shared" si="9"/>
        <v>1868.0540000000001</v>
      </c>
      <c r="F8" s="3">
        <f t="shared" si="9"/>
        <v>2511.8649999999998</v>
      </c>
      <c r="G8" s="2">
        <f t="shared" si="9"/>
        <v>3155.6759999999999</v>
      </c>
      <c r="I8" s="1">
        <f>SUM(F17:F20)</f>
        <v>11047.489999999998</v>
      </c>
      <c r="K8" s="14" t="s">
        <v>72</v>
      </c>
      <c r="L8" s="43">
        <v>218.9274613494193</v>
      </c>
      <c r="M8" s="43">
        <v>187.6600509145137</v>
      </c>
      <c r="N8" s="43">
        <v>250.1948717843249</v>
      </c>
      <c r="O8" s="1">
        <f t="shared" si="0"/>
        <v>187.66</v>
      </c>
      <c r="P8" s="1">
        <f t="shared" si="1"/>
        <v>218.92699999999999</v>
      </c>
      <c r="Q8" s="1">
        <f t="shared" si="2"/>
        <v>250.19499999999999</v>
      </c>
      <c r="R8" s="14" t="str">
        <f t="shared" si="6"/>
        <v>2023Q2</v>
      </c>
      <c r="S8" s="56">
        <v>2569.431496958055</v>
      </c>
      <c r="T8" s="56">
        <v>1859.2629407070979</v>
      </c>
      <c r="U8" s="56">
        <v>3279.600053209012</v>
      </c>
      <c r="V8" s="1">
        <f t="shared" si="3"/>
        <v>1859.2629999999999</v>
      </c>
      <c r="W8" s="1">
        <f t="shared" si="4"/>
        <v>2569.431</v>
      </c>
      <c r="X8" s="1">
        <f t="shared" si="5"/>
        <v>3279.6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187.66</v>
      </c>
      <c r="C9" s="3">
        <f t="shared" si="8"/>
        <v>218.92699999999999</v>
      </c>
      <c r="D9" s="2">
        <f t="shared" si="8"/>
        <v>250.19499999999999</v>
      </c>
      <c r="E9" s="2">
        <f t="shared" si="9"/>
        <v>1859.2629999999999</v>
      </c>
      <c r="F9" s="3">
        <f t="shared" si="9"/>
        <v>2569.431</v>
      </c>
      <c r="G9" s="2">
        <f t="shared" si="9"/>
        <v>3279.6</v>
      </c>
      <c r="I9" s="1">
        <f>SUM(F21:F24)</f>
        <v>11404.925999999999</v>
      </c>
      <c r="K9" s="14" t="s">
        <v>73</v>
      </c>
      <c r="L9" s="43">
        <v>202.52757043702951</v>
      </c>
      <c r="M9" s="43">
        <v>170.2887126816002</v>
      </c>
      <c r="N9" s="43">
        <v>234.76642819245882</v>
      </c>
      <c r="O9" s="1">
        <f t="shared" si="0"/>
        <v>170.28899999999999</v>
      </c>
      <c r="P9" s="1">
        <f t="shared" si="1"/>
        <v>202.52799999999999</v>
      </c>
      <c r="Q9" s="1">
        <f t="shared" si="2"/>
        <v>234.76599999999999</v>
      </c>
      <c r="R9" s="14" t="str">
        <f t="shared" si="6"/>
        <v>2023Q3</v>
      </c>
      <c r="S9" s="56">
        <v>2559.3838053094914</v>
      </c>
      <c r="T9" s="56">
        <v>1794.9011789874044</v>
      </c>
      <c r="U9" s="56">
        <v>3323.8664316315785</v>
      </c>
      <c r="V9" s="1">
        <f t="shared" si="3"/>
        <v>1794.9010000000001</v>
      </c>
      <c r="W9" s="1">
        <f t="shared" si="4"/>
        <v>2559.384</v>
      </c>
      <c r="X9" s="1">
        <f t="shared" si="5"/>
        <v>3323.866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170.28899999999999</v>
      </c>
      <c r="C10" s="3">
        <f t="shared" si="8"/>
        <v>202.52799999999999</v>
      </c>
      <c r="D10" s="2">
        <f t="shared" si="8"/>
        <v>234.76599999999999</v>
      </c>
      <c r="E10" s="2">
        <f t="shared" si="9"/>
        <v>1794.9010000000001</v>
      </c>
      <c r="F10" s="3">
        <f t="shared" si="9"/>
        <v>2559.384</v>
      </c>
      <c r="G10" s="2">
        <f t="shared" si="9"/>
        <v>3323.866</v>
      </c>
      <c r="I10" s="1">
        <f>SUM(F25:F28)</f>
        <v>11762.401999999998</v>
      </c>
      <c r="K10" s="14" t="s">
        <v>74</v>
      </c>
      <c r="L10" s="43">
        <v>205.74908637667335</v>
      </c>
      <c r="M10" s="43">
        <v>172.77216554320503</v>
      </c>
      <c r="N10" s="43">
        <v>238.72600721014166</v>
      </c>
      <c r="O10" s="1">
        <f t="shared" si="0"/>
        <v>172.77199999999999</v>
      </c>
      <c r="P10" s="1">
        <f t="shared" si="1"/>
        <v>205.749</v>
      </c>
      <c r="Q10" s="1">
        <f t="shared" si="2"/>
        <v>238.726</v>
      </c>
      <c r="R10" s="14" t="str">
        <f t="shared" si="6"/>
        <v>2023Q4</v>
      </c>
      <c r="S10" s="56">
        <v>2601.4804381983226</v>
      </c>
      <c r="T10" s="56">
        <v>1781.2455724035403</v>
      </c>
      <c r="U10" s="56">
        <v>3421.715303993105</v>
      </c>
      <c r="V10" s="1">
        <f t="shared" si="3"/>
        <v>1781.2460000000001</v>
      </c>
      <c r="W10" s="1">
        <f t="shared" si="4"/>
        <v>2601.48</v>
      </c>
      <c r="X10" s="1">
        <f t="shared" si="5"/>
        <v>3421.7150000000001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172.77199999999999</v>
      </c>
      <c r="C11" s="3">
        <f t="shared" si="8"/>
        <v>205.749</v>
      </c>
      <c r="D11" s="2">
        <f t="shared" si="8"/>
        <v>238.726</v>
      </c>
      <c r="E11" s="2">
        <f t="shared" si="9"/>
        <v>1781.2460000000001</v>
      </c>
      <c r="F11" s="3">
        <f t="shared" si="9"/>
        <v>2601.48</v>
      </c>
      <c r="G11" s="2">
        <f t="shared" si="9"/>
        <v>3421.7150000000001</v>
      </c>
      <c r="I11" s="1">
        <f>SUM(F29:F32)</f>
        <v>12119.900000000001</v>
      </c>
      <c r="K11" s="14" t="s">
        <v>75</v>
      </c>
      <c r="L11" s="43">
        <v>190.88774312519641</v>
      </c>
      <c r="M11" s="43">
        <v>157.34625640129147</v>
      </c>
      <c r="N11" s="43">
        <v>224.42922984910135</v>
      </c>
      <c r="O11" s="1">
        <f t="shared" si="0"/>
        <v>157.346</v>
      </c>
      <c r="P11" s="1">
        <f t="shared" si="1"/>
        <v>190.88800000000001</v>
      </c>
      <c r="Q11" s="1">
        <f t="shared" si="2"/>
        <v>224.429</v>
      </c>
      <c r="R11" s="14" t="str">
        <f t="shared" si="6"/>
        <v>2024Q1</v>
      </c>
      <c r="S11" s="56">
        <v>2602.6114585518758</v>
      </c>
      <c r="T11" s="56">
        <v>1734.2279350482411</v>
      </c>
      <c r="U11" s="56">
        <v>3470.9949820555107</v>
      </c>
      <c r="V11" s="1">
        <f t="shared" si="3"/>
        <v>1734.2280000000001</v>
      </c>
      <c r="W11" s="1">
        <f t="shared" si="4"/>
        <v>2602.6109999999999</v>
      </c>
      <c r="X11" s="1">
        <f t="shared" si="5"/>
        <v>3470.9949999999999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157.346</v>
      </c>
      <c r="C12" s="3">
        <f t="shared" si="8"/>
        <v>190.88800000000001</v>
      </c>
      <c r="D12" s="2">
        <f t="shared" si="8"/>
        <v>224.429</v>
      </c>
      <c r="E12" s="2">
        <f t="shared" si="9"/>
        <v>1734.2280000000001</v>
      </c>
      <c r="F12" s="3">
        <f t="shared" si="9"/>
        <v>2602.6109999999999</v>
      </c>
      <c r="G12" s="2">
        <f t="shared" si="9"/>
        <v>3470.9949999999999</v>
      </c>
      <c r="K12" s="14" t="s">
        <v>76</v>
      </c>
      <c r="L12" s="43">
        <v>215.17775431121893</v>
      </c>
      <c r="M12" s="43">
        <v>181.20230323283423</v>
      </c>
      <c r="N12" s="43">
        <v>249.15320538960364</v>
      </c>
      <c r="O12" s="1">
        <f t="shared" si="0"/>
        <v>181.202</v>
      </c>
      <c r="P12" s="1">
        <f t="shared" si="1"/>
        <v>215.178</v>
      </c>
      <c r="Q12" s="1">
        <f t="shared" si="2"/>
        <v>249.15299999999999</v>
      </c>
      <c r="R12" s="14" t="str">
        <f t="shared" si="6"/>
        <v>2024Q2</v>
      </c>
      <c r="S12" s="56">
        <v>2657.6494268218107</v>
      </c>
      <c r="T12" s="56">
        <v>1740.3882415312808</v>
      </c>
      <c r="U12" s="56">
        <v>3574.9106121123405</v>
      </c>
      <c r="V12" s="1">
        <f t="shared" si="3"/>
        <v>1740.3879999999999</v>
      </c>
      <c r="W12" s="1">
        <f t="shared" si="4"/>
        <v>2657.6489999999999</v>
      </c>
      <c r="X12" s="1">
        <f t="shared" si="5"/>
        <v>3574.9110000000001</v>
      </c>
    </row>
    <row r="13" spans="1:30" ht="15.5" thickTop="1" thickBot="1" x14ac:dyDescent="0.4">
      <c r="A13" s="5" t="str">
        <f t="shared" si="7"/>
        <v>2024Q2</v>
      </c>
      <c r="B13" s="2">
        <f t="shared" si="8"/>
        <v>181.202</v>
      </c>
      <c r="C13" s="3">
        <f t="shared" si="8"/>
        <v>215.178</v>
      </c>
      <c r="D13" s="2">
        <f t="shared" si="8"/>
        <v>249.15299999999999</v>
      </c>
      <c r="E13" s="2">
        <f t="shared" si="9"/>
        <v>1740.3879999999999</v>
      </c>
      <c r="F13" s="3">
        <f t="shared" si="9"/>
        <v>2657.6489999999999</v>
      </c>
      <c r="G13" s="2">
        <f t="shared" si="9"/>
        <v>3574.9110000000001</v>
      </c>
      <c r="K13" s="14" t="s">
        <v>77</v>
      </c>
      <c r="L13" s="43">
        <v>199.41176341049646</v>
      </c>
      <c r="M13" s="43">
        <v>165.10154157269341</v>
      </c>
      <c r="N13" s="43">
        <v>233.72198524829952</v>
      </c>
      <c r="O13" s="1">
        <f t="shared" si="0"/>
        <v>165.102</v>
      </c>
      <c r="P13" s="1">
        <f t="shared" si="1"/>
        <v>199.41200000000001</v>
      </c>
      <c r="Q13" s="1">
        <f t="shared" si="2"/>
        <v>233.72200000000001</v>
      </c>
      <c r="R13" s="14" t="str">
        <f t="shared" si="6"/>
        <v>2024Q3</v>
      </c>
      <c r="S13" s="56">
        <v>2649.7514719957708</v>
      </c>
      <c r="T13" s="56">
        <v>1688.7345299339954</v>
      </c>
      <c r="U13" s="56">
        <v>3610.7684140575461</v>
      </c>
      <c r="V13" s="1">
        <f t="shared" si="3"/>
        <v>1688.7349999999999</v>
      </c>
      <c r="W13" s="1">
        <f t="shared" si="4"/>
        <v>2649.7510000000002</v>
      </c>
      <c r="X13" s="1">
        <f t="shared" si="5"/>
        <v>3610.768</v>
      </c>
    </row>
    <row r="14" spans="1:30" ht="15.5" thickTop="1" thickBot="1" x14ac:dyDescent="0.4">
      <c r="A14" s="5" t="str">
        <f t="shared" si="7"/>
        <v>2024Q3</v>
      </c>
      <c r="B14" s="2">
        <f t="shared" si="8"/>
        <v>165.102</v>
      </c>
      <c r="C14" s="3">
        <f t="shared" si="8"/>
        <v>199.41200000000001</v>
      </c>
      <c r="D14" s="2">
        <f t="shared" si="8"/>
        <v>233.72200000000001</v>
      </c>
      <c r="E14" s="2">
        <f t="shared" si="9"/>
        <v>1688.7349999999999</v>
      </c>
      <c r="F14" s="3">
        <f t="shared" si="9"/>
        <v>2649.7510000000002</v>
      </c>
      <c r="G14" s="2">
        <f t="shared" si="9"/>
        <v>3610.768</v>
      </c>
      <c r="K14" s="14" t="s">
        <v>82</v>
      </c>
      <c r="L14" s="43">
        <v>203.19319926911388</v>
      </c>
      <c r="M14" s="43">
        <v>168.62403800710328</v>
      </c>
      <c r="N14" s="43">
        <v>237.76236053112447</v>
      </c>
      <c r="O14" s="1">
        <f t="shared" si="0"/>
        <v>168.624</v>
      </c>
      <c r="P14" s="1">
        <f t="shared" si="1"/>
        <v>203.19300000000001</v>
      </c>
      <c r="Q14" s="1">
        <f t="shared" si="2"/>
        <v>237.762</v>
      </c>
      <c r="R14" s="14" t="str">
        <f t="shared" si="6"/>
        <v>2024Q4</v>
      </c>
      <c r="S14" s="56">
        <v>2690.0201690693493</v>
      </c>
      <c r="T14" s="56">
        <v>1685.0029207993189</v>
      </c>
      <c r="U14" s="56">
        <v>3695.0374173393798</v>
      </c>
      <c r="V14" s="1">
        <f t="shared" si="3"/>
        <v>1685.0029999999999</v>
      </c>
      <c r="W14" s="1">
        <f t="shared" si="4"/>
        <v>2690.02</v>
      </c>
      <c r="X14" s="1">
        <f t="shared" si="5"/>
        <v>3695.0369999999998</v>
      </c>
    </row>
    <row r="15" spans="1:30" ht="15.5" thickTop="1" thickBot="1" x14ac:dyDescent="0.4">
      <c r="A15" s="5" t="str">
        <f t="shared" si="7"/>
        <v>2024Q4</v>
      </c>
      <c r="B15" s="2">
        <f t="shared" si="8"/>
        <v>168.624</v>
      </c>
      <c r="C15" s="3">
        <f t="shared" si="8"/>
        <v>203.19300000000001</v>
      </c>
      <c r="D15" s="2">
        <f t="shared" si="8"/>
        <v>237.762</v>
      </c>
      <c r="E15" s="2">
        <f t="shared" si="9"/>
        <v>1685.0029999999999</v>
      </c>
      <c r="F15" s="3">
        <f t="shared" si="9"/>
        <v>2690.02</v>
      </c>
      <c r="G15" s="2">
        <f t="shared" si="9"/>
        <v>3695.0369999999998</v>
      </c>
      <c r="K15" s="14" t="s">
        <v>79</v>
      </c>
      <c r="L15" s="43">
        <v>188.82642978304645</v>
      </c>
      <c r="M15" s="43">
        <v>154.05658112109617</v>
      </c>
      <c r="N15" s="43">
        <v>223.59627844499673</v>
      </c>
      <c r="O15" s="1">
        <f t="shared" si="0"/>
        <v>154.05699999999999</v>
      </c>
      <c r="P15" s="1">
        <f t="shared" si="1"/>
        <v>188.82599999999999</v>
      </c>
      <c r="Q15" s="1">
        <f t="shared" si="2"/>
        <v>223.596</v>
      </c>
      <c r="R15" s="14" t="str">
        <f t="shared" si="6"/>
        <v>2025Q1</v>
      </c>
      <c r="S15" s="56">
        <v>2692.7054956568904</v>
      </c>
      <c r="T15" s="56">
        <v>1647.2941371824907</v>
      </c>
      <c r="U15" s="56">
        <v>3738.1168541312904</v>
      </c>
      <c r="V15" s="1">
        <f t="shared" si="3"/>
        <v>1647.2940000000001</v>
      </c>
      <c r="W15" s="1">
        <f t="shared" si="4"/>
        <v>2692.7049999999999</v>
      </c>
      <c r="X15" s="1">
        <f t="shared" si="5"/>
        <v>3738.1170000000002</v>
      </c>
    </row>
    <row r="16" spans="1:30" ht="15.5" thickTop="1" thickBot="1" x14ac:dyDescent="0.4">
      <c r="A16" s="5" t="str">
        <f t="shared" si="7"/>
        <v>2025Q1</v>
      </c>
      <c r="B16" s="2">
        <f t="shared" si="8"/>
        <v>154.05699999999999</v>
      </c>
      <c r="C16" s="3">
        <f t="shared" si="8"/>
        <v>188.82599999999999</v>
      </c>
      <c r="D16" s="2">
        <f t="shared" si="8"/>
        <v>223.596</v>
      </c>
      <c r="E16" s="2">
        <f t="shared" si="9"/>
        <v>1647.2940000000001</v>
      </c>
      <c r="F16" s="3">
        <f t="shared" si="9"/>
        <v>2692.7049999999999</v>
      </c>
      <c r="G16" s="2">
        <f t="shared" si="9"/>
        <v>3738.1170000000002</v>
      </c>
      <c r="K16" s="14" t="s">
        <v>80</v>
      </c>
      <c r="L16" s="43">
        <v>213.55329488539283</v>
      </c>
      <c r="M16" s="43">
        <v>178.62766917175438</v>
      </c>
      <c r="N16" s="43">
        <v>248.47892059903128</v>
      </c>
      <c r="O16" s="1">
        <f t="shared" si="0"/>
        <v>178.62799999999999</v>
      </c>
      <c r="P16" s="1">
        <f t="shared" si="1"/>
        <v>213.553</v>
      </c>
      <c r="Q16" s="1">
        <f t="shared" si="2"/>
        <v>248.47900000000001</v>
      </c>
      <c r="R16" s="14" t="str">
        <f t="shared" si="6"/>
        <v>2025Q2</v>
      </c>
      <c r="S16" s="56">
        <v>2746.4218267835213</v>
      </c>
      <c r="T16" s="56">
        <v>1660.6801698817135</v>
      </c>
      <c r="U16" s="56">
        <v>3832.1634836853291</v>
      </c>
      <c r="V16" s="1">
        <f t="shared" si="3"/>
        <v>1660.68</v>
      </c>
      <c r="W16" s="1">
        <f t="shared" si="4"/>
        <v>2746.422</v>
      </c>
      <c r="X16" s="1">
        <f t="shared" si="5"/>
        <v>3832.163</v>
      </c>
    </row>
    <row r="17" spans="1:24" ht="15.5" thickTop="1" thickBot="1" x14ac:dyDescent="0.4">
      <c r="A17" s="5" t="str">
        <f t="shared" si="7"/>
        <v>2025Q2</v>
      </c>
      <c r="B17" s="2">
        <f t="shared" si="8"/>
        <v>178.62799999999999</v>
      </c>
      <c r="C17" s="3">
        <f t="shared" si="8"/>
        <v>213.553</v>
      </c>
      <c r="D17" s="2">
        <f t="shared" si="8"/>
        <v>248.47900000000001</v>
      </c>
      <c r="E17" s="2">
        <f t="shared" si="9"/>
        <v>1660.68</v>
      </c>
      <c r="F17" s="3">
        <f t="shared" si="9"/>
        <v>2746.422</v>
      </c>
      <c r="G17" s="2">
        <f t="shared" si="9"/>
        <v>3832.163</v>
      </c>
      <c r="K17" s="14" t="s">
        <v>81</v>
      </c>
      <c r="L17" s="43">
        <v>198.17317431899633</v>
      </c>
      <c r="M17" s="43">
        <v>163.126490975037</v>
      </c>
      <c r="N17" s="43">
        <v>233.21985766295566</v>
      </c>
      <c r="O17" s="1">
        <f t="shared" si="0"/>
        <v>163.126</v>
      </c>
      <c r="P17" s="1">
        <f t="shared" si="1"/>
        <v>198.173</v>
      </c>
      <c r="Q17" s="1">
        <f t="shared" si="2"/>
        <v>233.22</v>
      </c>
      <c r="R17" s="14" t="str">
        <f t="shared" si="6"/>
        <v>2025Q3</v>
      </c>
      <c r="S17" s="56">
        <v>2739.6476689933324</v>
      </c>
      <c r="T17" s="56">
        <v>1616.2046214428033</v>
      </c>
      <c r="U17" s="56">
        <v>3863.0907165438616</v>
      </c>
      <c r="V17" s="1">
        <f t="shared" si="3"/>
        <v>1616.2049999999999</v>
      </c>
      <c r="W17" s="1">
        <f t="shared" si="4"/>
        <v>2739.6480000000001</v>
      </c>
      <c r="X17" s="1">
        <f t="shared" si="5"/>
        <v>3863.0909999999999</v>
      </c>
    </row>
    <row r="18" spans="1:24" ht="15.5" thickTop="1" thickBot="1" x14ac:dyDescent="0.4">
      <c r="A18" s="5" t="str">
        <f t="shared" si="7"/>
        <v>2025Q3</v>
      </c>
      <c r="B18" s="2">
        <f t="shared" si="8"/>
        <v>163.126</v>
      </c>
      <c r="C18" s="3">
        <f t="shared" si="8"/>
        <v>198.173</v>
      </c>
      <c r="D18" s="2">
        <f t="shared" si="8"/>
        <v>233.22</v>
      </c>
      <c r="E18" s="2">
        <f t="shared" si="9"/>
        <v>1616.2049999999999</v>
      </c>
      <c r="F18" s="3">
        <f t="shared" si="9"/>
        <v>2739.6480000000001</v>
      </c>
      <c r="G18" s="2">
        <f t="shared" si="9"/>
        <v>3863.0909999999999</v>
      </c>
      <c r="K18" s="14" t="s">
        <v>78</v>
      </c>
      <c r="L18" s="43">
        <v>202.29544703256488</v>
      </c>
      <c r="M18" s="43">
        <v>167.15460319031806</v>
      </c>
      <c r="N18" s="43">
        <v>237.4362908748117</v>
      </c>
      <c r="O18" s="1">
        <f t="shared" si="0"/>
        <v>167.155</v>
      </c>
      <c r="P18" s="1">
        <f t="shared" si="1"/>
        <v>202.29499999999999</v>
      </c>
      <c r="Q18" s="1">
        <f t="shared" si="2"/>
        <v>237.43600000000001</v>
      </c>
      <c r="R18" s="14" t="str">
        <f t="shared" si="6"/>
        <v>2025Q4</v>
      </c>
      <c r="S18" s="56">
        <v>2778.9607938176091</v>
      </c>
      <c r="T18" s="56">
        <v>1618.0674396908732</v>
      </c>
      <c r="U18" s="56">
        <v>3939.8541479443447</v>
      </c>
      <c r="V18" s="1">
        <f t="shared" si="3"/>
        <v>1618.067</v>
      </c>
      <c r="W18" s="1">
        <f t="shared" si="4"/>
        <v>2778.9609999999998</v>
      </c>
      <c r="X18" s="1">
        <f t="shared" si="5"/>
        <v>3939.8539999999998</v>
      </c>
    </row>
    <row r="19" spans="1:24" ht="15.5" thickTop="1" thickBot="1" x14ac:dyDescent="0.4">
      <c r="A19" s="5" t="str">
        <f t="shared" si="7"/>
        <v>2025Q4</v>
      </c>
      <c r="B19" s="2">
        <f t="shared" si="8"/>
        <v>167.155</v>
      </c>
      <c r="C19" s="3">
        <f t="shared" si="8"/>
        <v>202.29499999999999</v>
      </c>
      <c r="D19" s="2">
        <f t="shared" si="8"/>
        <v>237.43600000000001</v>
      </c>
      <c r="E19" s="2">
        <f t="shared" si="9"/>
        <v>1618.067</v>
      </c>
      <c r="F19" s="3">
        <f t="shared" si="9"/>
        <v>2778.9609999999998</v>
      </c>
      <c r="G19" s="2">
        <f t="shared" si="9"/>
        <v>3939.8539999999998</v>
      </c>
      <c r="K19" s="14" t="s">
        <v>90</v>
      </c>
      <c r="L19" s="43">
        <v>188.22973661053743</v>
      </c>
      <c r="M19" s="43">
        <v>153.01560286027242</v>
      </c>
      <c r="N19" s="43">
        <v>223.44387036080244</v>
      </c>
      <c r="O19" s="1">
        <f t="shared" si="0"/>
        <v>153.01599999999999</v>
      </c>
      <c r="P19" s="1">
        <f t="shared" si="1"/>
        <v>188.23</v>
      </c>
      <c r="Q19" s="1">
        <f t="shared" si="2"/>
        <v>223.44399999999999</v>
      </c>
      <c r="R19" s="14" t="str">
        <f t="shared" si="6"/>
        <v>2026Q1</v>
      </c>
      <c r="S19" s="56">
        <v>2782.4586499763332</v>
      </c>
      <c r="T19" s="56">
        <v>1586.0895302272691</v>
      </c>
      <c r="U19" s="56">
        <v>3978.8277697253975</v>
      </c>
      <c r="V19" s="1">
        <f t="shared" si="3"/>
        <v>1586.09</v>
      </c>
      <c r="W19" s="1">
        <f t="shared" si="4"/>
        <v>2782.4589999999998</v>
      </c>
      <c r="X19" s="1">
        <f t="shared" si="5"/>
        <v>3978.828</v>
      </c>
    </row>
    <row r="20" spans="1:24" ht="15.5" thickTop="1" thickBot="1" x14ac:dyDescent="0.4">
      <c r="A20" s="5" t="str">
        <f t="shared" si="7"/>
        <v>2026Q1</v>
      </c>
      <c r="B20" s="2">
        <f t="shared" si="8"/>
        <v>153.01599999999999</v>
      </c>
      <c r="C20" s="3">
        <f t="shared" si="8"/>
        <v>188.23</v>
      </c>
      <c r="D20" s="2">
        <f t="shared" si="8"/>
        <v>223.44399999999999</v>
      </c>
      <c r="E20" s="2">
        <f t="shared" si="9"/>
        <v>1586.09</v>
      </c>
      <c r="F20" s="3">
        <f t="shared" si="9"/>
        <v>2782.4589999999998</v>
      </c>
      <c r="G20" s="2">
        <f t="shared" si="9"/>
        <v>3978.828</v>
      </c>
      <c r="K20" s="14" t="s">
        <v>91</v>
      </c>
      <c r="L20" s="43">
        <v>213.22252530278899</v>
      </c>
      <c r="M20" s="43">
        <v>177.95131595019538</v>
      </c>
      <c r="N20" s="43">
        <v>248.49373465538261</v>
      </c>
      <c r="O20" s="1">
        <f t="shared" si="0"/>
        <v>177.95099999999999</v>
      </c>
      <c r="P20" s="1">
        <f t="shared" si="1"/>
        <v>213.22300000000001</v>
      </c>
      <c r="Q20" s="1">
        <f t="shared" si="2"/>
        <v>248.494</v>
      </c>
      <c r="R20" s="14" t="str">
        <f t="shared" si="6"/>
        <v>2026Q2</v>
      </c>
      <c r="S20" s="56">
        <v>2835.484081692136</v>
      </c>
      <c r="T20" s="56">
        <v>1603.9976371422158</v>
      </c>
      <c r="U20" s="56">
        <v>4066.9705262420557</v>
      </c>
      <c r="V20" s="1">
        <f t="shared" si="3"/>
        <v>1603.998</v>
      </c>
      <c r="W20" s="1">
        <f t="shared" si="4"/>
        <v>2835.4839999999999</v>
      </c>
      <c r="X20" s="1">
        <f t="shared" si="5"/>
        <v>4066.971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177.95099999999999</v>
      </c>
      <c r="C21" s="3">
        <f t="shared" si="10"/>
        <v>213.22300000000001</v>
      </c>
      <c r="D21" s="2">
        <f t="shared" si="10"/>
        <v>248.494</v>
      </c>
      <c r="E21" s="2">
        <f t="shared" ref="E21:G35" si="11">V20</f>
        <v>1603.998</v>
      </c>
      <c r="F21" s="3">
        <f t="shared" si="11"/>
        <v>2835.4839999999999</v>
      </c>
      <c r="G21" s="2">
        <f t="shared" si="11"/>
        <v>4066.971</v>
      </c>
      <c r="K21" s="14" t="s">
        <v>92</v>
      </c>
      <c r="L21" s="43">
        <v>198.07729338156113</v>
      </c>
      <c r="M21" s="43">
        <v>162.76161725555485</v>
      </c>
      <c r="N21" s="43">
        <v>233.39296950756741</v>
      </c>
      <c r="O21" s="1">
        <f t="shared" si="0"/>
        <v>162.762</v>
      </c>
      <c r="P21" s="1">
        <f t="shared" si="1"/>
        <v>198.077</v>
      </c>
      <c r="Q21" s="1">
        <f t="shared" si="2"/>
        <v>233.393</v>
      </c>
      <c r="R21" s="14" t="str">
        <f t="shared" si="6"/>
        <v>2026Q3</v>
      </c>
      <c r="S21" s="56">
        <v>2829.2974003616505</v>
      </c>
      <c r="T21" s="56">
        <v>1564.2170999170808</v>
      </c>
      <c r="U21" s="56">
        <v>4094.3777008062198</v>
      </c>
      <c r="V21" s="1">
        <f t="shared" si="3"/>
        <v>1564.2170000000001</v>
      </c>
      <c r="W21" s="1">
        <f t="shared" si="4"/>
        <v>2829.297</v>
      </c>
      <c r="X21" s="1">
        <f t="shared" si="5"/>
        <v>4094.3780000000002</v>
      </c>
    </row>
    <row r="22" spans="1:24" ht="15.5" thickTop="1" thickBot="1" x14ac:dyDescent="0.4">
      <c r="A22" s="5" t="str">
        <f t="shared" si="7"/>
        <v>2026Q3</v>
      </c>
      <c r="B22" s="2">
        <f t="shared" si="10"/>
        <v>162.762</v>
      </c>
      <c r="C22" s="3">
        <f t="shared" si="10"/>
        <v>198.077</v>
      </c>
      <c r="D22" s="2">
        <f t="shared" si="10"/>
        <v>233.393</v>
      </c>
      <c r="E22" s="2">
        <f t="shared" si="11"/>
        <v>1564.2170000000001</v>
      </c>
      <c r="F22" s="3">
        <f t="shared" si="11"/>
        <v>2829.297</v>
      </c>
      <c r="G22" s="2">
        <f t="shared" si="11"/>
        <v>4094.3780000000002</v>
      </c>
      <c r="K22" s="14" t="s">
        <v>93</v>
      </c>
      <c r="L22" s="43">
        <v>202.40704176755429</v>
      </c>
      <c r="M22" s="43">
        <v>167.05671116026551</v>
      </c>
      <c r="N22" s="43">
        <v>237.75737237484307</v>
      </c>
      <c r="O22" s="1">
        <f t="shared" si="0"/>
        <v>167.05699999999999</v>
      </c>
      <c r="P22" s="1">
        <f t="shared" si="1"/>
        <v>202.40700000000001</v>
      </c>
      <c r="Q22" s="1">
        <f t="shared" si="2"/>
        <v>237.75700000000001</v>
      </c>
      <c r="R22" s="14" t="str">
        <f t="shared" si="6"/>
        <v>2026Q4</v>
      </c>
      <c r="S22" s="56">
        <v>2868.1109899637281</v>
      </c>
      <c r="T22" s="56">
        <v>1569.8509666385899</v>
      </c>
      <c r="U22" s="56">
        <v>4166.3710132888664</v>
      </c>
      <c r="V22" s="1">
        <f t="shared" si="3"/>
        <v>1569.8510000000001</v>
      </c>
      <c r="W22" s="1">
        <f t="shared" si="4"/>
        <v>2868.1109999999999</v>
      </c>
      <c r="X22" s="1">
        <f t="shared" si="5"/>
        <v>4166.3710000000001</v>
      </c>
    </row>
    <row r="23" spans="1:24" ht="15.5" thickTop="1" thickBot="1" x14ac:dyDescent="0.4">
      <c r="A23" s="5" t="str">
        <f t="shared" si="7"/>
        <v>2026Q4</v>
      </c>
      <c r="B23" s="2">
        <f t="shared" si="10"/>
        <v>167.05699999999999</v>
      </c>
      <c r="C23" s="3">
        <f t="shared" si="10"/>
        <v>202.40700000000001</v>
      </c>
      <c r="D23" s="2">
        <f t="shared" si="10"/>
        <v>237.75700000000001</v>
      </c>
      <c r="E23" s="2">
        <f t="shared" si="11"/>
        <v>1569.8510000000001</v>
      </c>
      <c r="F23" s="3">
        <f t="shared" si="11"/>
        <v>2868.1109999999999</v>
      </c>
      <c r="G23" s="2">
        <f t="shared" si="11"/>
        <v>4166.3710000000001</v>
      </c>
      <c r="K23" s="14" t="s">
        <v>94</v>
      </c>
      <c r="L23" s="43">
        <v>188.52459331043423</v>
      </c>
      <c r="M23" s="43">
        <v>153.14724857940755</v>
      </c>
      <c r="N23" s="43">
        <v>223.90193804146091</v>
      </c>
      <c r="O23" s="1">
        <f t="shared" si="0"/>
        <v>153.14699999999999</v>
      </c>
      <c r="P23" s="1">
        <f t="shared" si="1"/>
        <v>188.52500000000001</v>
      </c>
      <c r="Q23" s="1">
        <f t="shared" si="2"/>
        <v>223.90199999999999</v>
      </c>
      <c r="R23" s="14" t="str">
        <f t="shared" si="6"/>
        <v>2027Q1</v>
      </c>
      <c r="S23" s="56">
        <v>2872.0336043133475</v>
      </c>
      <c r="T23" s="56">
        <v>1541.7987572588979</v>
      </c>
      <c r="U23" s="56">
        <v>4202.2684513677978</v>
      </c>
      <c r="V23" s="1">
        <f t="shared" si="3"/>
        <v>1541.799</v>
      </c>
      <c r="W23" s="1">
        <f t="shared" si="4"/>
        <v>2872.0340000000001</v>
      </c>
      <c r="X23" s="1">
        <f t="shared" si="5"/>
        <v>4202.268</v>
      </c>
    </row>
    <row r="24" spans="1:24" ht="15.5" thickTop="1" thickBot="1" x14ac:dyDescent="0.4">
      <c r="A24" s="5" t="str">
        <f t="shared" si="7"/>
        <v>2027Q1</v>
      </c>
      <c r="B24" s="2">
        <f t="shared" si="10"/>
        <v>153.14699999999999</v>
      </c>
      <c r="C24" s="3">
        <f t="shared" si="10"/>
        <v>188.52500000000001</v>
      </c>
      <c r="D24" s="2">
        <f t="shared" si="10"/>
        <v>223.90199999999999</v>
      </c>
      <c r="E24" s="2">
        <f t="shared" si="11"/>
        <v>1541.799</v>
      </c>
      <c r="F24" s="3">
        <f t="shared" si="11"/>
        <v>2872.0340000000001</v>
      </c>
      <c r="G24" s="2">
        <f t="shared" si="11"/>
        <v>4202.268</v>
      </c>
      <c r="K24" s="14" t="s">
        <v>95</v>
      </c>
      <c r="L24" s="43">
        <v>213.67925615105818</v>
      </c>
      <c r="M24" s="43">
        <v>178.28084910552226</v>
      </c>
      <c r="N24" s="43">
        <v>249.0776631965941</v>
      </c>
      <c r="O24" s="1">
        <f t="shared" si="0"/>
        <v>178.28100000000001</v>
      </c>
      <c r="P24" s="1">
        <f t="shared" si="1"/>
        <v>213.679</v>
      </c>
      <c r="Q24" s="1">
        <f t="shared" si="2"/>
        <v>249.078</v>
      </c>
      <c r="R24" s="14" t="str">
        <f t="shared" si="6"/>
        <v>2027Q2</v>
      </c>
      <c r="S24" s="56">
        <v>2924.6978612556504</v>
      </c>
      <c r="T24" s="56">
        <v>1562.9251891182057</v>
      </c>
      <c r="U24" s="56">
        <v>4286.4705333930951</v>
      </c>
      <c r="V24" s="1">
        <f t="shared" si="3"/>
        <v>1562.925</v>
      </c>
      <c r="W24" s="1">
        <f t="shared" si="4"/>
        <v>2924.6979999999999</v>
      </c>
      <c r="X24" s="1">
        <f t="shared" si="5"/>
        <v>4286.4709999999995</v>
      </c>
    </row>
    <row r="25" spans="1:24" ht="15.5" thickTop="1" thickBot="1" x14ac:dyDescent="0.4">
      <c r="A25" s="5" t="str">
        <f t="shared" si="7"/>
        <v>2027Q2</v>
      </c>
      <c r="B25" s="2">
        <f t="shared" si="10"/>
        <v>178.28100000000001</v>
      </c>
      <c r="C25" s="3">
        <f t="shared" si="10"/>
        <v>213.679</v>
      </c>
      <c r="D25" s="2">
        <f t="shared" si="10"/>
        <v>249.078</v>
      </c>
      <c r="E25" s="2">
        <f t="shared" si="11"/>
        <v>1562.925</v>
      </c>
      <c r="F25" s="3">
        <f t="shared" si="11"/>
        <v>2924.6979999999999</v>
      </c>
      <c r="G25" s="2">
        <f t="shared" si="11"/>
        <v>4286.4709999999995</v>
      </c>
      <c r="K25" s="14" t="s">
        <v>96</v>
      </c>
      <c r="L25" s="43">
        <v>198.67700665351293</v>
      </c>
      <c r="M25" s="43">
        <v>163.26217532402478</v>
      </c>
      <c r="N25" s="43">
        <v>234.09183798300108</v>
      </c>
      <c r="O25" s="1">
        <f t="shared" si="0"/>
        <v>163.262</v>
      </c>
      <c r="P25" s="1">
        <f t="shared" si="1"/>
        <v>198.67699999999999</v>
      </c>
      <c r="Q25" s="1">
        <f t="shared" si="2"/>
        <v>234.09200000000001</v>
      </c>
      <c r="R25" s="14" t="str">
        <f t="shared" si="6"/>
        <v>2027Q3</v>
      </c>
      <c r="S25" s="56">
        <v>2918.818289287171</v>
      </c>
      <c r="T25" s="56">
        <v>1526.4828069937191</v>
      </c>
      <c r="U25" s="56">
        <v>4311.1537715806226</v>
      </c>
      <c r="V25" s="1">
        <f t="shared" si="3"/>
        <v>1526.4829999999999</v>
      </c>
      <c r="W25" s="1">
        <f t="shared" si="4"/>
        <v>2918.8180000000002</v>
      </c>
      <c r="X25" s="1">
        <f t="shared" si="5"/>
        <v>4311.1540000000005</v>
      </c>
    </row>
    <row r="26" spans="1:24" ht="15.5" thickTop="1" thickBot="1" x14ac:dyDescent="0.4">
      <c r="A26" s="5" t="str">
        <f t="shared" si="7"/>
        <v>2027Q3</v>
      </c>
      <c r="B26" s="2">
        <f t="shared" si="10"/>
        <v>163.262</v>
      </c>
      <c r="C26" s="3">
        <f t="shared" si="10"/>
        <v>198.67699999999999</v>
      </c>
      <c r="D26" s="2">
        <f t="shared" si="10"/>
        <v>234.09200000000001</v>
      </c>
      <c r="E26" s="2">
        <f t="shared" si="11"/>
        <v>1526.4829999999999</v>
      </c>
      <c r="F26" s="3">
        <f t="shared" si="11"/>
        <v>2918.8180000000002</v>
      </c>
      <c r="G26" s="2">
        <f t="shared" si="11"/>
        <v>4311.1540000000005</v>
      </c>
      <c r="K26" s="14" t="s">
        <v>97</v>
      </c>
      <c r="L26" s="43">
        <v>203.13305052082723</v>
      </c>
      <c r="M26" s="43">
        <v>167.7054101239448</v>
      </c>
      <c r="N26" s="43">
        <v>238.56069091770965</v>
      </c>
      <c r="O26" s="1">
        <f t="shared" si="0"/>
        <v>167.70500000000001</v>
      </c>
      <c r="P26" s="1">
        <f t="shared" si="1"/>
        <v>203.13300000000001</v>
      </c>
      <c r="Q26" s="1">
        <f t="shared" si="2"/>
        <v>238.56100000000001</v>
      </c>
      <c r="R26" s="14" t="str">
        <f t="shared" si="6"/>
        <v>2027Q4</v>
      </c>
      <c r="S26" s="56">
        <v>2957.3707417136984</v>
      </c>
      <c r="T26" s="56">
        <v>1534.9118966248934</v>
      </c>
      <c r="U26" s="56">
        <v>4379.8295868025034</v>
      </c>
      <c r="V26" s="1">
        <f t="shared" si="3"/>
        <v>1534.912</v>
      </c>
      <c r="W26" s="1">
        <f t="shared" si="4"/>
        <v>2957.3710000000001</v>
      </c>
      <c r="X26" s="1">
        <f t="shared" si="5"/>
        <v>4379.83</v>
      </c>
    </row>
    <row r="27" spans="1:24" ht="15.5" thickTop="1" thickBot="1" x14ac:dyDescent="0.4">
      <c r="A27" s="5" t="str">
        <f t="shared" si="7"/>
        <v>2027Q4</v>
      </c>
      <c r="B27" s="2">
        <f t="shared" si="10"/>
        <v>167.70500000000001</v>
      </c>
      <c r="C27" s="3">
        <f t="shared" si="10"/>
        <v>203.13300000000001</v>
      </c>
      <c r="D27" s="2">
        <f t="shared" si="10"/>
        <v>238.56100000000001</v>
      </c>
      <c r="E27" s="2">
        <f t="shared" si="11"/>
        <v>1534.912</v>
      </c>
      <c r="F27" s="3">
        <f t="shared" si="11"/>
        <v>2957.3710000000001</v>
      </c>
      <c r="G27" s="2">
        <f t="shared" si="11"/>
        <v>4379.83</v>
      </c>
      <c r="K27" s="14" t="s">
        <v>98</v>
      </c>
      <c r="L27" s="43">
        <v>189.36215807311956</v>
      </c>
      <c r="M27" s="43">
        <v>153.92452715659996</v>
      </c>
      <c r="N27" s="43">
        <v>224.79978898963915</v>
      </c>
      <c r="O27" s="1">
        <f t="shared" si="0"/>
        <v>153.92500000000001</v>
      </c>
      <c r="P27" s="1">
        <f t="shared" si="1"/>
        <v>189.36199999999999</v>
      </c>
      <c r="Q27" s="1">
        <f t="shared" si="2"/>
        <v>224.8</v>
      </c>
      <c r="R27" s="14" t="str">
        <f t="shared" si="6"/>
        <v>2028Q1</v>
      </c>
      <c r="S27" s="56">
        <v>2961.5154027766093</v>
      </c>
      <c r="T27" s="56">
        <v>1509.7389785451739</v>
      </c>
      <c r="U27" s="56">
        <v>4413.2918270080454</v>
      </c>
      <c r="V27" s="1">
        <f t="shared" si="3"/>
        <v>1509.739</v>
      </c>
      <c r="W27" s="1">
        <f t="shared" si="4"/>
        <v>2961.5149999999999</v>
      </c>
      <c r="X27" s="1">
        <f t="shared" si="5"/>
        <v>4413.2920000000004</v>
      </c>
    </row>
    <row r="28" spans="1:24" ht="15.5" thickTop="1" thickBot="1" x14ac:dyDescent="0.4">
      <c r="A28" s="5" t="str">
        <f t="shared" si="7"/>
        <v>2028Q1</v>
      </c>
      <c r="B28" s="2">
        <f t="shared" si="10"/>
        <v>153.92500000000001</v>
      </c>
      <c r="C28" s="3">
        <f t="shared" si="10"/>
        <v>189.36199999999999</v>
      </c>
      <c r="D28" s="2">
        <f t="shared" si="10"/>
        <v>224.8</v>
      </c>
      <c r="E28" s="2">
        <f t="shared" si="11"/>
        <v>1509.739</v>
      </c>
      <c r="F28" s="3">
        <f t="shared" si="11"/>
        <v>2961.5149999999999</v>
      </c>
      <c r="G28" s="2">
        <f t="shared" si="11"/>
        <v>4413.2920000000004</v>
      </c>
      <c r="K28" s="14" t="s">
        <v>99</v>
      </c>
      <c r="L28" s="43">
        <v>214.61535763972802</v>
      </c>
      <c r="M28" s="43">
        <v>179.16993399690026</v>
      </c>
      <c r="N28" s="43">
        <v>250.06078128255578</v>
      </c>
      <c r="O28" s="1">
        <f t="shared" si="0"/>
        <v>179.17</v>
      </c>
      <c r="P28" s="1">
        <f t="shared" si="1"/>
        <v>214.61500000000001</v>
      </c>
      <c r="Q28" s="1">
        <f t="shared" si="2"/>
        <v>250.06100000000001</v>
      </c>
      <c r="R28" s="14" t="str">
        <f t="shared" si="6"/>
        <v>2028Q2</v>
      </c>
      <c r="S28" s="56">
        <v>3013.9908518910738</v>
      </c>
      <c r="T28" s="56">
        <v>1533.3264412887911</v>
      </c>
      <c r="U28" s="56">
        <v>4494.6552624933565</v>
      </c>
      <c r="V28" s="1">
        <f t="shared" si="3"/>
        <v>1533.326</v>
      </c>
      <c r="W28" s="1">
        <f t="shared" si="4"/>
        <v>3013.991</v>
      </c>
      <c r="X28" s="1">
        <f t="shared" si="5"/>
        <v>4494.6549999999997</v>
      </c>
    </row>
    <row r="29" spans="1:24" ht="15.5" thickTop="1" thickBot="1" x14ac:dyDescent="0.4">
      <c r="A29" s="5" t="str">
        <f t="shared" si="7"/>
        <v>2028Q2</v>
      </c>
      <c r="B29" s="2">
        <f t="shared" si="10"/>
        <v>179.17</v>
      </c>
      <c r="C29" s="3">
        <f t="shared" si="10"/>
        <v>214.61500000000001</v>
      </c>
      <c r="D29" s="2">
        <f t="shared" si="10"/>
        <v>250.06100000000001</v>
      </c>
      <c r="E29" s="2">
        <f t="shared" si="11"/>
        <v>1533.326</v>
      </c>
      <c r="F29" s="3">
        <f t="shared" si="11"/>
        <v>3013.991</v>
      </c>
      <c r="G29" s="2">
        <f t="shared" si="11"/>
        <v>4494.6549999999997</v>
      </c>
      <c r="K29" s="14" t="s">
        <v>100</v>
      </c>
      <c r="L29" s="43">
        <v>199.70014501647466</v>
      </c>
      <c r="M29" s="43">
        <v>164.24864261699034</v>
      </c>
      <c r="N29" s="43">
        <v>235.15164741595899</v>
      </c>
      <c r="O29" s="1">
        <f t="shared" si="0"/>
        <v>164.249</v>
      </c>
      <c r="P29" s="1">
        <f t="shared" si="1"/>
        <v>199.7</v>
      </c>
      <c r="Q29" s="1">
        <f t="shared" si="2"/>
        <v>235.15199999999999</v>
      </c>
      <c r="R29" s="14" t="str">
        <f t="shared" si="6"/>
        <v>2028Q3</v>
      </c>
      <c r="S29" s="56">
        <v>3008.2718245004653</v>
      </c>
      <c r="T29" s="56">
        <v>1499.398235159556</v>
      </c>
      <c r="U29" s="56">
        <v>4517.1454138413746</v>
      </c>
      <c r="V29" s="1">
        <f t="shared" si="3"/>
        <v>1499.3979999999999</v>
      </c>
      <c r="W29" s="1">
        <f t="shared" si="4"/>
        <v>3008.2719999999999</v>
      </c>
      <c r="X29" s="1">
        <f t="shared" si="5"/>
        <v>4517.1450000000004</v>
      </c>
    </row>
    <row r="30" spans="1:24" ht="15.5" thickTop="1" thickBot="1" x14ac:dyDescent="0.4">
      <c r="A30" s="5" t="str">
        <f t="shared" si="7"/>
        <v>2028Q3</v>
      </c>
      <c r="B30" s="2">
        <f t="shared" si="10"/>
        <v>164.249</v>
      </c>
      <c r="C30" s="3">
        <f t="shared" si="10"/>
        <v>199.7</v>
      </c>
      <c r="D30" s="2">
        <f t="shared" si="10"/>
        <v>235.15199999999999</v>
      </c>
      <c r="E30" s="2">
        <f t="shared" si="11"/>
        <v>1499.3979999999999</v>
      </c>
      <c r="F30" s="3">
        <f t="shared" si="11"/>
        <v>3008.2719999999999</v>
      </c>
      <c r="G30" s="2">
        <f t="shared" si="11"/>
        <v>4517.1450000000004</v>
      </c>
      <c r="K30" s="14" t="s">
        <v>101</v>
      </c>
      <c r="L30" s="43">
        <v>204.23306801094515</v>
      </c>
      <c r="M30" s="43">
        <v>168.776823641546</v>
      </c>
      <c r="N30" s="43">
        <v>239.68931238034429</v>
      </c>
      <c r="O30" s="1">
        <f t="shared" si="0"/>
        <v>168.77699999999999</v>
      </c>
      <c r="P30" s="1">
        <f t="shared" si="1"/>
        <v>204.233</v>
      </c>
      <c r="Q30" s="1">
        <f t="shared" si="2"/>
        <v>239.68899999999999</v>
      </c>
      <c r="R30" s="14" t="str">
        <f t="shared" si="6"/>
        <v>2028Q4</v>
      </c>
      <c r="S30" s="56">
        <v>3046.6877647824545</v>
      </c>
      <c r="T30" s="56">
        <v>1510.017697041048</v>
      </c>
      <c r="U30" s="56">
        <v>4583.3578325238614</v>
      </c>
      <c r="V30" s="1">
        <f t="shared" si="3"/>
        <v>1510.018</v>
      </c>
      <c r="W30" s="1">
        <f t="shared" si="4"/>
        <v>3046.6880000000001</v>
      </c>
      <c r="X30" s="1">
        <f t="shared" si="5"/>
        <v>4583.3580000000002</v>
      </c>
    </row>
    <row r="31" spans="1:24" ht="15.5" thickTop="1" thickBot="1" x14ac:dyDescent="0.4">
      <c r="A31" s="5" t="str">
        <f t="shared" si="7"/>
        <v>2028Q4</v>
      </c>
      <c r="B31" s="2">
        <f t="shared" si="10"/>
        <v>168.77699999999999</v>
      </c>
      <c r="C31" s="3">
        <f t="shared" si="10"/>
        <v>204.233</v>
      </c>
      <c r="D31" s="2">
        <f t="shared" si="10"/>
        <v>239.68899999999999</v>
      </c>
      <c r="E31" s="2">
        <f t="shared" si="11"/>
        <v>1510.018</v>
      </c>
      <c r="F31" s="3">
        <f t="shared" si="11"/>
        <v>3046.6880000000001</v>
      </c>
      <c r="G31" s="2">
        <f t="shared" si="11"/>
        <v>4583.3580000000002</v>
      </c>
      <c r="K31" s="14" t="s">
        <v>102</v>
      </c>
      <c r="L31" s="43">
        <v>190.5300824158258</v>
      </c>
      <c r="M31" s="43">
        <v>155.07013876465626</v>
      </c>
      <c r="N31" s="43">
        <v>225.99002606699534</v>
      </c>
      <c r="O31" s="1">
        <f t="shared" si="0"/>
        <v>155.07</v>
      </c>
      <c r="P31" s="1">
        <f t="shared" si="1"/>
        <v>190.53</v>
      </c>
      <c r="Q31" s="1">
        <f t="shared" si="2"/>
        <v>225.99</v>
      </c>
      <c r="R31" s="14" t="str">
        <f t="shared" si="6"/>
        <v>2029Q1</v>
      </c>
      <c r="S31" s="56">
        <v>3050.948503048678</v>
      </c>
      <c r="T31" s="56">
        <v>1487.0637191850467</v>
      </c>
      <c r="U31" s="56">
        <v>4614.8332869123096</v>
      </c>
      <c r="V31" s="1">
        <f t="shared" si="3"/>
        <v>1487.0640000000001</v>
      </c>
      <c r="W31" s="1">
        <f t="shared" si="4"/>
        <v>3050.9490000000001</v>
      </c>
      <c r="X31" s="1">
        <f t="shared" si="5"/>
        <v>4614.8329999999996</v>
      </c>
    </row>
    <row r="32" spans="1:24" ht="15.5" thickTop="1" thickBot="1" x14ac:dyDescent="0.4">
      <c r="A32" s="5" t="str">
        <f t="shared" si="7"/>
        <v>2029Q1</v>
      </c>
      <c r="B32" s="2">
        <f t="shared" si="10"/>
        <v>155.07</v>
      </c>
      <c r="C32" s="3">
        <f t="shared" si="10"/>
        <v>190.53</v>
      </c>
      <c r="D32" s="2">
        <f t="shared" si="10"/>
        <v>225.99</v>
      </c>
      <c r="E32" s="2">
        <f t="shared" si="11"/>
        <v>1487.0640000000001</v>
      </c>
      <c r="F32" s="3">
        <f t="shared" si="11"/>
        <v>3050.9490000000001</v>
      </c>
      <c r="G32" s="2">
        <f t="shared" si="11"/>
        <v>4614.8329999999996</v>
      </c>
      <c r="K32" s="14" t="s">
        <v>103</v>
      </c>
      <c r="L32" s="43">
        <v>215.84326368096586</v>
      </c>
      <c r="M32" s="43">
        <v>180.3804340891048</v>
      </c>
      <c r="N32" s="43">
        <v>251.30609327282693</v>
      </c>
      <c r="O32" s="1">
        <f t="shared" si="0"/>
        <v>180.38</v>
      </c>
      <c r="P32" s="1">
        <f t="shared" si="1"/>
        <v>215.84299999999999</v>
      </c>
      <c r="Q32" s="1">
        <f t="shared" si="2"/>
        <v>251.30600000000001</v>
      </c>
      <c r="R32" s="14" t="str">
        <f t="shared" si="6"/>
        <v>2029Q2</v>
      </c>
      <c r="S32" s="56">
        <v>3103.325250929091</v>
      </c>
      <c r="T32" s="56">
        <v>1512.6179046760997</v>
      </c>
      <c r="U32" s="56">
        <v>4694.0325971820821</v>
      </c>
      <c r="V32" s="1">
        <f t="shared" si="3"/>
        <v>1512.6179999999999</v>
      </c>
      <c r="W32" s="1">
        <f t="shared" si="4"/>
        <v>3103.3249999999998</v>
      </c>
      <c r="X32" s="1">
        <f t="shared" si="5"/>
        <v>4694.0330000000004</v>
      </c>
    </row>
    <row r="33" spans="1:24" ht="15.5" thickTop="1" thickBot="1" x14ac:dyDescent="0.4">
      <c r="A33" s="5" t="str">
        <f t="shared" si="7"/>
        <v>2029Q2</v>
      </c>
      <c r="B33" s="2">
        <f t="shared" si="10"/>
        <v>180.38</v>
      </c>
      <c r="C33" s="3">
        <f t="shared" si="10"/>
        <v>215.84299999999999</v>
      </c>
      <c r="D33" s="2">
        <f t="shared" si="10"/>
        <v>251.30600000000001</v>
      </c>
      <c r="E33" s="2">
        <f t="shared" si="11"/>
        <v>1512.6179999999999</v>
      </c>
      <c r="F33" s="3">
        <f t="shared" si="11"/>
        <v>3103.3249999999998</v>
      </c>
      <c r="G33" s="2">
        <f t="shared" si="11"/>
        <v>4694.0330000000004</v>
      </c>
      <c r="K33" s="14" t="s">
        <v>107</v>
      </c>
      <c r="L33" s="43">
        <v>200.9810325171913</v>
      </c>
      <c r="M33" s="43">
        <v>165.51595145483628</v>
      </c>
      <c r="N33" s="43">
        <v>236.44611357954631</v>
      </c>
      <c r="O33" s="1">
        <f t="shared" si="0"/>
        <v>165.51599999999999</v>
      </c>
      <c r="P33" s="1">
        <f t="shared" si="1"/>
        <v>200.98099999999999</v>
      </c>
      <c r="Q33" s="1">
        <f t="shared" si="2"/>
        <v>236.446</v>
      </c>
      <c r="R33" s="14" t="str">
        <f t="shared" si="6"/>
        <v>2029Q3</v>
      </c>
      <c r="S33" s="56">
        <v>3097.6901498679022</v>
      </c>
      <c r="T33" s="56">
        <v>1480.6664895378301</v>
      </c>
      <c r="U33" s="56">
        <v>4714.7138101979745</v>
      </c>
      <c r="V33" s="1">
        <f t="shared" si="3"/>
        <v>1480.6659999999999</v>
      </c>
      <c r="W33" s="1">
        <f t="shared" si="4"/>
        <v>3097.69</v>
      </c>
      <c r="X33" s="1">
        <f t="shared" si="5"/>
        <v>4714.7139999999999</v>
      </c>
    </row>
    <row r="34" spans="1:24" ht="15.5" thickTop="1" thickBot="1" x14ac:dyDescent="0.4">
      <c r="A34" s="5" t="str">
        <f t="shared" si="7"/>
        <v>2029Q3</v>
      </c>
      <c r="B34" s="2">
        <f t="shared" si="10"/>
        <v>165.51599999999999</v>
      </c>
      <c r="C34" s="3">
        <f t="shared" si="10"/>
        <v>200.98099999999999</v>
      </c>
      <c r="D34" s="2">
        <f t="shared" si="10"/>
        <v>236.446</v>
      </c>
      <c r="E34" s="2">
        <f t="shared" si="11"/>
        <v>1480.6659999999999</v>
      </c>
      <c r="F34" s="3">
        <f t="shared" si="11"/>
        <v>3097.69</v>
      </c>
      <c r="G34" s="2">
        <f t="shared" si="11"/>
        <v>4714.7139999999999</v>
      </c>
      <c r="K34" s="14" t="s">
        <v>108</v>
      </c>
      <c r="L34" s="43">
        <v>205.5607537037306</v>
      </c>
      <c r="M34" s="43">
        <v>170.09391612567848</v>
      </c>
      <c r="N34" s="43">
        <v>241.02759128178272</v>
      </c>
      <c r="O34" s="1">
        <f t="shared" si="0"/>
        <v>170.09399999999999</v>
      </c>
      <c r="P34" s="1">
        <f t="shared" si="1"/>
        <v>205.56100000000001</v>
      </c>
      <c r="Q34" s="1">
        <f t="shared" si="2"/>
        <v>241.02799999999999</v>
      </c>
      <c r="R34" s="14" t="str">
        <f t="shared" si="6"/>
        <v>2029Q4</v>
      </c>
      <c r="S34" s="56">
        <v>3136.0347270221905</v>
      </c>
      <c r="T34" s="56">
        <v>1493.0648489353812</v>
      </c>
      <c r="U34" s="56">
        <v>4779.0046051089994</v>
      </c>
      <c r="V34" s="1">
        <f t="shared" si="3"/>
        <v>1493.0650000000001</v>
      </c>
      <c r="W34" s="1">
        <f t="shared" si="4"/>
        <v>3136.0349999999999</v>
      </c>
      <c r="X34" s="1">
        <f t="shared" si="5"/>
        <v>4779.0050000000001</v>
      </c>
    </row>
    <row r="35" spans="1:24" ht="13" thickTop="1" thickBot="1" x14ac:dyDescent="0.35">
      <c r="A35" s="5" t="str">
        <f t="shared" si="7"/>
        <v>2029Q4</v>
      </c>
      <c r="B35" s="2">
        <f t="shared" si="10"/>
        <v>170.09399999999999</v>
      </c>
      <c r="C35" s="3">
        <f t="shared" si="10"/>
        <v>205.56100000000001</v>
      </c>
      <c r="D35" s="2">
        <f t="shared" si="10"/>
        <v>241.02799999999999</v>
      </c>
      <c r="E35" s="2">
        <f t="shared" si="11"/>
        <v>1493.0650000000001</v>
      </c>
      <c r="F35" s="3">
        <f t="shared" si="11"/>
        <v>3136.0349999999999</v>
      </c>
      <c r="G35" s="2">
        <f t="shared" si="11"/>
        <v>4779.0050000000001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203.45474999999993</v>
      </c>
      <c r="F38" s="1">
        <f>AVERAGE(F4:F35)</f>
        <v>2784.0822499999995</v>
      </c>
    </row>
    <row r="40" spans="1:24" ht="12.5" thickBot="1" x14ac:dyDescent="0.35"/>
    <row r="41" spans="1:24" ht="15.5" thickTop="1" thickBot="1" x14ac:dyDescent="0.4">
      <c r="A41" s="30" t="s">
        <v>54</v>
      </c>
      <c r="B41" s="31"/>
      <c r="C41" s="31"/>
      <c r="D41" s="31"/>
      <c r="E41" s="31"/>
      <c r="F41" s="31"/>
      <c r="G41" s="31"/>
      <c r="K41" s="30" t="s">
        <v>31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199.53700000000001</v>
      </c>
      <c r="D44" s="6"/>
      <c r="E44" s="6"/>
      <c r="F44" s="9">
        <f>ROUND(F4-((G4-F4)*(0.5/2)),3)</f>
        <v>2352.2849999999999</v>
      </c>
      <c r="G44" s="6"/>
      <c r="K44" s="7" t="str">
        <f>A4</f>
        <v>2022Q1</v>
      </c>
      <c r="L44" s="6"/>
      <c r="M44" s="9">
        <f>ROUND(C4-((D4-C4)*(1/2)),3)</f>
        <v>195.298</v>
      </c>
      <c r="N44" s="6"/>
      <c r="O44" s="6"/>
      <c r="P44" s="9">
        <f>ROUND(F4-((G4-F4)*(1/2)),3)</f>
        <v>2284.6979999999999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220.57300000000001</v>
      </c>
      <c r="D45" s="6"/>
      <c r="E45" s="6"/>
      <c r="F45" s="9">
        <f t="shared" ref="F45:F75" si="14">ROUND(F5-((G5-F5)*(0.5/2)),3)</f>
        <v>2379.819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214.97800000000001</v>
      </c>
      <c r="N45" s="6"/>
      <c r="O45" s="6"/>
      <c r="P45" s="9">
        <f t="shared" ref="P45:P75" si="17">ROUND(F5-((G5-F5)*(1/2)),3)</f>
        <v>2277.364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202.26900000000001</v>
      </c>
      <c r="D46" s="6"/>
      <c r="E46" s="6"/>
      <c r="F46" s="9">
        <f t="shared" si="14"/>
        <v>2344.5920000000001</v>
      </c>
      <c r="G46" s="6"/>
      <c r="K46" s="7" t="str">
        <f t="shared" si="15"/>
        <v>2022Q3</v>
      </c>
      <c r="L46" s="6"/>
      <c r="M46" s="9">
        <f t="shared" si="16"/>
        <v>195.81100000000001</v>
      </c>
      <c r="N46" s="6"/>
      <c r="O46" s="6"/>
      <c r="P46" s="9">
        <f t="shared" si="17"/>
        <v>2221.0709999999999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203.97</v>
      </c>
      <c r="D47" s="6"/>
      <c r="E47" s="6"/>
      <c r="F47" s="9">
        <f t="shared" si="14"/>
        <v>2368.7820000000002</v>
      </c>
      <c r="G47" s="6"/>
      <c r="K47" s="7" t="str">
        <f t="shared" si="15"/>
        <v>2022Q4</v>
      </c>
      <c r="L47" s="6"/>
      <c r="M47" s="9">
        <f t="shared" si="16"/>
        <v>196.91200000000001</v>
      </c>
      <c r="N47" s="6"/>
      <c r="O47" s="6"/>
      <c r="P47" s="9">
        <f t="shared" si="17"/>
        <v>2223.8560000000002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187.86099999999999</v>
      </c>
      <c r="D48" s="6"/>
      <c r="E48" s="6"/>
      <c r="F48" s="9">
        <f t="shared" si="14"/>
        <v>2350.9119999999998</v>
      </c>
      <c r="G48" s="6"/>
      <c r="K48" s="7" t="str">
        <f t="shared" si="15"/>
        <v>2023Q1</v>
      </c>
      <c r="L48" s="6"/>
      <c r="M48" s="9">
        <f t="shared" si="16"/>
        <v>180.36699999999999</v>
      </c>
      <c r="N48" s="6"/>
      <c r="O48" s="6"/>
      <c r="P48" s="9">
        <f t="shared" si="17"/>
        <v>2189.96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211.11</v>
      </c>
      <c r="D49" s="6"/>
      <c r="E49" s="6"/>
      <c r="F49" s="9">
        <f t="shared" si="14"/>
        <v>2391.8890000000001</v>
      </c>
      <c r="G49" s="6"/>
      <c r="K49" s="7" t="str">
        <f t="shared" si="15"/>
        <v>2023Q2</v>
      </c>
      <c r="L49" s="6"/>
      <c r="M49" s="9">
        <f t="shared" si="16"/>
        <v>203.29300000000001</v>
      </c>
      <c r="N49" s="6"/>
      <c r="O49" s="6"/>
      <c r="P49" s="9">
        <f t="shared" si="17"/>
        <v>2214.3470000000002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194.46899999999999</v>
      </c>
      <c r="D50" s="6"/>
      <c r="E50" s="6"/>
      <c r="F50" s="9">
        <f t="shared" si="14"/>
        <v>2368.2640000000001</v>
      </c>
      <c r="G50" s="6"/>
      <c r="K50" s="7" t="str">
        <f t="shared" si="15"/>
        <v>2023Q3</v>
      </c>
      <c r="L50" s="6"/>
      <c r="M50" s="9">
        <f t="shared" si="16"/>
        <v>186.40899999999999</v>
      </c>
      <c r="N50" s="6"/>
      <c r="O50" s="6"/>
      <c r="P50" s="9">
        <f t="shared" si="17"/>
        <v>2177.143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197.505</v>
      </c>
      <c r="D51" s="6"/>
      <c r="E51" s="6"/>
      <c r="F51" s="9">
        <f t="shared" si="14"/>
        <v>2396.4209999999998</v>
      </c>
      <c r="G51" s="6"/>
      <c r="K51" s="7" t="str">
        <f t="shared" si="15"/>
        <v>2023Q4</v>
      </c>
      <c r="L51" s="6"/>
      <c r="M51" s="9">
        <f t="shared" si="16"/>
        <v>189.261</v>
      </c>
      <c r="N51" s="6"/>
      <c r="O51" s="6"/>
      <c r="P51" s="9">
        <f t="shared" si="17"/>
        <v>2191.3629999999998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182.50299999999999</v>
      </c>
      <c r="D52" s="6"/>
      <c r="E52" s="6"/>
      <c r="F52" s="9">
        <f t="shared" si="14"/>
        <v>2385.5149999999999</v>
      </c>
      <c r="G52" s="6"/>
      <c r="K52" s="7" t="str">
        <f t="shared" si="15"/>
        <v>2024Q1</v>
      </c>
      <c r="L52" s="6"/>
      <c r="M52" s="9">
        <f t="shared" si="16"/>
        <v>174.11799999999999</v>
      </c>
      <c r="N52" s="6"/>
      <c r="O52" s="6"/>
      <c r="P52" s="9">
        <f t="shared" si="17"/>
        <v>2168.4189999999999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206.684</v>
      </c>
      <c r="D53" s="6"/>
      <c r="E53" s="6"/>
      <c r="F53" s="9">
        <f t="shared" si="14"/>
        <v>2428.3339999999998</v>
      </c>
      <c r="G53" s="6"/>
      <c r="K53" s="7" t="str">
        <f t="shared" si="15"/>
        <v>2024Q2</v>
      </c>
      <c r="L53" s="6"/>
      <c r="M53" s="9">
        <f t="shared" si="16"/>
        <v>198.191</v>
      </c>
      <c r="N53" s="6"/>
      <c r="O53" s="6"/>
      <c r="P53" s="9">
        <f t="shared" si="17"/>
        <v>2199.018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190.83500000000001</v>
      </c>
      <c r="D54" s="6"/>
      <c r="E54" s="6"/>
      <c r="F54" s="9">
        <f t="shared" si="14"/>
        <v>2409.4969999999998</v>
      </c>
      <c r="G54" s="6"/>
      <c r="K54" s="7" t="str">
        <f t="shared" si="15"/>
        <v>2024Q3</v>
      </c>
      <c r="L54" s="6"/>
      <c r="M54" s="9">
        <f t="shared" si="16"/>
        <v>182.25700000000001</v>
      </c>
      <c r="N54" s="6"/>
      <c r="O54" s="6"/>
      <c r="P54" s="9">
        <f t="shared" si="17"/>
        <v>2169.2429999999999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194.55099999999999</v>
      </c>
      <c r="D55" s="6"/>
      <c r="E55" s="6"/>
      <c r="F55" s="9">
        <f t="shared" si="14"/>
        <v>2438.7660000000001</v>
      </c>
      <c r="G55" s="6"/>
      <c r="K55" s="7" t="str">
        <f t="shared" si="15"/>
        <v>2024Q4</v>
      </c>
      <c r="L55" s="6"/>
      <c r="M55" s="9">
        <f t="shared" si="16"/>
        <v>185.90899999999999</v>
      </c>
      <c r="N55" s="6"/>
      <c r="O55" s="6"/>
      <c r="P55" s="9">
        <f t="shared" si="17"/>
        <v>2187.5120000000002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180.13399999999999</v>
      </c>
      <c r="D56" s="6"/>
      <c r="E56" s="6"/>
      <c r="F56" s="9">
        <f t="shared" si="14"/>
        <v>2431.3519999999999</v>
      </c>
      <c r="G56" s="6"/>
      <c r="K56" s="7" t="str">
        <f t="shared" si="15"/>
        <v>2025Q1</v>
      </c>
      <c r="L56" s="6"/>
      <c r="M56" s="9">
        <f t="shared" si="16"/>
        <v>171.441</v>
      </c>
      <c r="N56" s="6"/>
      <c r="O56" s="6"/>
      <c r="P56" s="9">
        <f t="shared" si="17"/>
        <v>2169.9989999999998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204.822</v>
      </c>
      <c r="D57" s="6"/>
      <c r="E57" s="6"/>
      <c r="F57" s="9">
        <f t="shared" si="14"/>
        <v>2474.9870000000001</v>
      </c>
      <c r="G57" s="6"/>
      <c r="K57" s="7" t="str">
        <f t="shared" si="15"/>
        <v>2025Q2</v>
      </c>
      <c r="L57" s="6"/>
      <c r="M57" s="9">
        <f t="shared" si="16"/>
        <v>196.09</v>
      </c>
      <c r="N57" s="6"/>
      <c r="O57" s="6"/>
      <c r="P57" s="9">
        <f t="shared" si="17"/>
        <v>2203.5520000000001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189.411</v>
      </c>
      <c r="D58" s="6"/>
      <c r="E58" s="6"/>
      <c r="F58" s="9">
        <f t="shared" si="14"/>
        <v>2458.7869999999998</v>
      </c>
      <c r="G58" s="6"/>
      <c r="K58" s="7" t="str">
        <f t="shared" si="15"/>
        <v>2025Q3</v>
      </c>
      <c r="L58" s="6"/>
      <c r="M58" s="9">
        <f t="shared" si="16"/>
        <v>180.65</v>
      </c>
      <c r="N58" s="6"/>
      <c r="O58" s="6"/>
      <c r="P58" s="9">
        <f t="shared" si="17"/>
        <v>2177.9270000000001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193.51</v>
      </c>
      <c r="D59" s="6"/>
      <c r="E59" s="6"/>
      <c r="F59" s="9">
        <f t="shared" si="14"/>
        <v>2488.7379999999998</v>
      </c>
      <c r="G59" s="6"/>
      <c r="K59" s="7" t="str">
        <f t="shared" si="15"/>
        <v>2025Q4</v>
      </c>
      <c r="L59" s="6"/>
      <c r="M59" s="9">
        <f t="shared" si="16"/>
        <v>184.72499999999999</v>
      </c>
      <c r="N59" s="6"/>
      <c r="O59" s="6"/>
      <c r="P59" s="9">
        <f t="shared" si="17"/>
        <v>2198.5149999999999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179.42699999999999</v>
      </c>
      <c r="D60" s="6"/>
      <c r="E60" s="6"/>
      <c r="F60" s="9">
        <f t="shared" si="14"/>
        <v>2483.3670000000002</v>
      </c>
      <c r="G60" s="6"/>
      <c r="K60" s="7" t="str">
        <f t="shared" si="15"/>
        <v>2026Q1</v>
      </c>
      <c r="L60" s="6"/>
      <c r="M60" s="9">
        <f t="shared" si="16"/>
        <v>170.62299999999999</v>
      </c>
      <c r="N60" s="6"/>
      <c r="O60" s="6"/>
      <c r="P60" s="9">
        <f t="shared" si="17"/>
        <v>2184.2750000000001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204.405</v>
      </c>
      <c r="D61" s="6"/>
      <c r="E61" s="6"/>
      <c r="F61" s="9">
        <f t="shared" si="14"/>
        <v>2527.6120000000001</v>
      </c>
      <c r="G61" s="6"/>
      <c r="K61" s="7" t="str">
        <f t="shared" si="15"/>
        <v>2026Q2</v>
      </c>
      <c r="L61" s="6"/>
      <c r="M61" s="9">
        <f t="shared" si="16"/>
        <v>195.58799999999999</v>
      </c>
      <c r="N61" s="6"/>
      <c r="O61" s="6"/>
      <c r="P61" s="9">
        <f t="shared" si="17"/>
        <v>2219.741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189.24799999999999</v>
      </c>
      <c r="D62" s="6"/>
      <c r="E62" s="6"/>
      <c r="F62" s="9">
        <f t="shared" si="14"/>
        <v>2513.027</v>
      </c>
      <c r="G62" s="6"/>
      <c r="K62" s="7" t="str">
        <f t="shared" si="15"/>
        <v>2026Q3</v>
      </c>
      <c r="L62" s="6"/>
      <c r="M62" s="9">
        <f t="shared" si="16"/>
        <v>180.41900000000001</v>
      </c>
      <c r="N62" s="6"/>
      <c r="O62" s="6"/>
      <c r="P62" s="9">
        <f t="shared" si="17"/>
        <v>2196.7570000000001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193.57</v>
      </c>
      <c r="D63" s="6"/>
      <c r="E63" s="6"/>
      <c r="F63" s="9">
        <f t="shared" si="14"/>
        <v>2543.5459999999998</v>
      </c>
      <c r="G63" s="6"/>
      <c r="K63" s="7" t="str">
        <f t="shared" si="15"/>
        <v>2026Q4</v>
      </c>
      <c r="L63" s="6"/>
      <c r="M63" s="9">
        <f t="shared" si="16"/>
        <v>184.732</v>
      </c>
      <c r="N63" s="6"/>
      <c r="O63" s="6"/>
      <c r="P63" s="9">
        <f t="shared" si="17"/>
        <v>2218.9810000000002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179.68100000000001</v>
      </c>
      <c r="D64" s="6"/>
      <c r="E64" s="6"/>
      <c r="F64" s="9">
        <f t="shared" si="14"/>
        <v>2539.4760000000001</v>
      </c>
      <c r="G64" s="6"/>
      <c r="K64" s="7" t="str">
        <f t="shared" si="15"/>
        <v>2027Q1</v>
      </c>
      <c r="L64" s="6"/>
      <c r="M64" s="9">
        <f t="shared" si="16"/>
        <v>170.83699999999999</v>
      </c>
      <c r="N64" s="6"/>
      <c r="O64" s="6"/>
      <c r="P64" s="9">
        <f t="shared" si="17"/>
        <v>2206.9169999999999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204.82900000000001</v>
      </c>
      <c r="D65" s="6"/>
      <c r="E65" s="6"/>
      <c r="F65" s="9">
        <f t="shared" si="14"/>
        <v>2584.2550000000001</v>
      </c>
      <c r="G65" s="6"/>
      <c r="K65" s="7" t="str">
        <f t="shared" si="15"/>
        <v>2027Q2</v>
      </c>
      <c r="L65" s="6"/>
      <c r="M65" s="9">
        <f t="shared" si="16"/>
        <v>195.98</v>
      </c>
      <c r="N65" s="6"/>
      <c r="O65" s="6"/>
      <c r="P65" s="9">
        <f t="shared" si="17"/>
        <v>2243.8119999999999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189.82300000000001</v>
      </c>
      <c r="D66" s="6"/>
      <c r="E66" s="6"/>
      <c r="F66" s="9">
        <f t="shared" si="14"/>
        <v>2570.7339999999999</v>
      </c>
      <c r="G66" s="6"/>
      <c r="K66" s="7" t="str">
        <f t="shared" si="15"/>
        <v>2027Q3</v>
      </c>
      <c r="L66" s="6"/>
      <c r="M66" s="9">
        <f t="shared" si="16"/>
        <v>180.97</v>
      </c>
      <c r="N66" s="6"/>
      <c r="O66" s="6"/>
      <c r="P66" s="9">
        <f t="shared" si="17"/>
        <v>2222.65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194.27600000000001</v>
      </c>
      <c r="D67" s="6"/>
      <c r="E67" s="6"/>
      <c r="F67" s="9">
        <f t="shared" si="14"/>
        <v>2601.7559999999999</v>
      </c>
      <c r="G67" s="6"/>
      <c r="K67" s="7" t="str">
        <f t="shared" si="15"/>
        <v>2027Q4</v>
      </c>
      <c r="L67" s="6"/>
      <c r="M67" s="9">
        <f t="shared" si="16"/>
        <v>185.41900000000001</v>
      </c>
      <c r="N67" s="6"/>
      <c r="O67" s="6"/>
      <c r="P67" s="9">
        <f t="shared" si="17"/>
        <v>2246.1419999999998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180.50299999999999</v>
      </c>
      <c r="D68" s="6"/>
      <c r="E68" s="6"/>
      <c r="F68" s="9">
        <f t="shared" si="14"/>
        <v>2598.5709999999999</v>
      </c>
      <c r="G68" s="6"/>
      <c r="K68" s="7" t="str">
        <f t="shared" si="15"/>
        <v>2028Q1</v>
      </c>
      <c r="L68" s="6"/>
      <c r="M68" s="9">
        <f t="shared" si="16"/>
        <v>171.643</v>
      </c>
      <c r="N68" s="6"/>
      <c r="O68" s="6"/>
      <c r="P68" s="9">
        <f t="shared" si="17"/>
        <v>2235.627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205.75399999999999</v>
      </c>
      <c r="D69" s="6"/>
      <c r="E69" s="6"/>
      <c r="F69" s="9">
        <f t="shared" si="14"/>
        <v>2643.8249999999998</v>
      </c>
      <c r="G69" s="6"/>
      <c r="K69" s="7" t="str">
        <f t="shared" si="15"/>
        <v>2028Q2</v>
      </c>
      <c r="L69" s="6"/>
      <c r="M69" s="9">
        <f t="shared" si="16"/>
        <v>196.892</v>
      </c>
      <c r="N69" s="6"/>
      <c r="O69" s="6"/>
      <c r="P69" s="9">
        <f t="shared" si="17"/>
        <v>2273.6590000000001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190.83699999999999</v>
      </c>
      <c r="D70" s="6"/>
      <c r="E70" s="6"/>
      <c r="F70" s="9">
        <f t="shared" si="14"/>
        <v>2631.0540000000001</v>
      </c>
      <c r="G70" s="6"/>
      <c r="K70" s="7" t="str">
        <f t="shared" si="15"/>
        <v>2028Q3</v>
      </c>
      <c r="L70" s="6"/>
      <c r="M70" s="9">
        <f t="shared" si="16"/>
        <v>181.97399999999999</v>
      </c>
      <c r="N70" s="6"/>
      <c r="O70" s="6"/>
      <c r="P70" s="9">
        <f t="shared" si="17"/>
        <v>2253.8359999999998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195.369</v>
      </c>
      <c r="D71" s="6"/>
      <c r="E71" s="6"/>
      <c r="F71" s="9">
        <f t="shared" si="14"/>
        <v>2662.5210000000002</v>
      </c>
      <c r="G71" s="6"/>
      <c r="K71" s="7" t="str">
        <f t="shared" si="15"/>
        <v>2028Q4</v>
      </c>
      <c r="L71" s="6"/>
      <c r="M71" s="9">
        <f t="shared" si="16"/>
        <v>186.505</v>
      </c>
      <c r="N71" s="6"/>
      <c r="O71" s="6"/>
      <c r="P71" s="9">
        <f t="shared" si="17"/>
        <v>2278.3530000000001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181.66499999999999</v>
      </c>
      <c r="D72" s="6"/>
      <c r="E72" s="6"/>
      <c r="F72" s="9">
        <f t="shared" si="14"/>
        <v>2659.9780000000001</v>
      </c>
      <c r="G72" s="6"/>
      <c r="K72" s="7" t="str">
        <f t="shared" si="15"/>
        <v>2029Q1</v>
      </c>
      <c r="L72" s="6"/>
      <c r="M72" s="9">
        <f t="shared" si="16"/>
        <v>172.8</v>
      </c>
      <c r="N72" s="6"/>
      <c r="O72" s="6"/>
      <c r="P72" s="9">
        <f t="shared" si="17"/>
        <v>2269.0070000000001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206.977</v>
      </c>
      <c r="D73" s="6"/>
      <c r="E73" s="6"/>
      <c r="F73" s="9">
        <f t="shared" si="14"/>
        <v>2705.6480000000001</v>
      </c>
      <c r="G73" s="6"/>
      <c r="K73" s="7" t="str">
        <f t="shared" si="15"/>
        <v>2029Q2</v>
      </c>
      <c r="L73" s="6"/>
      <c r="M73" s="9">
        <f t="shared" si="16"/>
        <v>198.11199999999999</v>
      </c>
      <c r="N73" s="6"/>
      <c r="O73" s="6"/>
      <c r="P73" s="9">
        <f t="shared" si="17"/>
        <v>2307.971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192.11500000000001</v>
      </c>
      <c r="D74" s="6"/>
      <c r="E74" s="6"/>
      <c r="F74" s="9">
        <f t="shared" si="14"/>
        <v>2693.4340000000002</v>
      </c>
      <c r="G74" s="6"/>
      <c r="K74" s="7" t="str">
        <f t="shared" si="15"/>
        <v>2029Q3</v>
      </c>
      <c r="L74" s="6"/>
      <c r="M74" s="9">
        <f t="shared" si="16"/>
        <v>183.249</v>
      </c>
      <c r="N74" s="6"/>
      <c r="O74" s="6"/>
      <c r="P74" s="9">
        <f t="shared" si="17"/>
        <v>2289.1779999999999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196.69399999999999</v>
      </c>
      <c r="D75" s="6"/>
      <c r="E75" s="6"/>
      <c r="F75" s="9">
        <f t="shared" si="14"/>
        <v>2725.2930000000001</v>
      </c>
      <c r="G75" s="6"/>
      <c r="K75" s="7" t="str">
        <f t="shared" si="15"/>
        <v>2029Q4</v>
      </c>
      <c r="L75" s="6"/>
      <c r="M75" s="9">
        <f t="shared" si="16"/>
        <v>187.828</v>
      </c>
      <c r="N75" s="6"/>
      <c r="O75" s="6"/>
      <c r="P75" s="9">
        <f t="shared" si="17"/>
        <v>2314.5500000000002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453125" style="1" customWidth="1"/>
    <col min="14" max="15" width="9.1796875" style="1"/>
    <col min="16" max="16" width="19.81640625" style="1" customWidth="1"/>
    <col min="17" max="16384" width="9.1796875" style="1"/>
  </cols>
  <sheetData>
    <row r="1" spans="1:30" ht="13" thickTop="1" thickBot="1" x14ac:dyDescent="0.35">
      <c r="A1" s="33" t="s">
        <v>7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57">
        <v>337.56803950863969</v>
      </c>
      <c r="T3" s="57">
        <v>247.76634451103374</v>
      </c>
      <c r="U3" s="57">
        <v>427.36973450624566</v>
      </c>
      <c r="V3" s="1">
        <f t="shared" ref="V3:V34" si="3">ROUND(T3,3)</f>
        <v>247.76599999999999</v>
      </c>
      <c r="W3" s="1">
        <f t="shared" ref="W3:W34" si="4">ROUND(S3,3)</f>
        <v>337.56799999999998</v>
      </c>
      <c r="X3" s="1">
        <f t="shared" ref="X3:X34" si="5">ROUND(U3,3)</f>
        <v>427.37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247.76599999999999</v>
      </c>
      <c r="F4" s="3">
        <f>W3</f>
        <v>337.56799999999998</v>
      </c>
      <c r="G4" s="2">
        <f>X3</f>
        <v>427.37</v>
      </c>
      <c r="K4" s="14" t="s">
        <v>68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57">
        <v>336.71921906967503</v>
      </c>
      <c r="T4" s="57">
        <v>203.4175084139043</v>
      </c>
      <c r="U4" s="57">
        <v>470.0209297254458</v>
      </c>
      <c r="V4" s="1">
        <f t="shared" si="3"/>
        <v>203.41800000000001</v>
      </c>
      <c r="W4" s="1">
        <f t="shared" si="4"/>
        <v>336.71899999999999</v>
      </c>
      <c r="X4" s="1">
        <f t="shared" si="5"/>
        <v>470.02100000000002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203.41800000000001</v>
      </c>
      <c r="F5" s="3">
        <f t="shared" si="8"/>
        <v>336.71899999999999</v>
      </c>
      <c r="G5" s="2">
        <f t="shared" si="8"/>
        <v>470.02100000000002</v>
      </c>
      <c r="I5" s="1">
        <f>SUM(F5:F8)</f>
        <v>1386.5330000000001</v>
      </c>
      <c r="K5" s="14" t="s">
        <v>69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57">
        <v>344.24244527889198</v>
      </c>
      <c r="T5" s="57">
        <v>181.37069076733192</v>
      </c>
      <c r="U5" s="57">
        <v>507.11419979045206</v>
      </c>
      <c r="V5" s="1">
        <f t="shared" si="3"/>
        <v>181.37100000000001</v>
      </c>
      <c r="W5" s="1">
        <f t="shared" si="4"/>
        <v>344.24200000000002</v>
      </c>
      <c r="X5" s="1">
        <f t="shared" si="5"/>
        <v>507.11399999999998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181.37100000000001</v>
      </c>
      <c r="F6" s="3">
        <f t="shared" si="8"/>
        <v>344.24200000000002</v>
      </c>
      <c r="G6" s="2">
        <f t="shared" si="8"/>
        <v>507.11399999999998</v>
      </c>
      <c r="I6" s="1">
        <f>SUM(F9:F12)</f>
        <v>1435.9080000000001</v>
      </c>
      <c r="K6" s="14" t="s">
        <v>70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57">
        <v>355.19763181041571</v>
      </c>
      <c r="T6" s="57">
        <v>165.94882403172556</v>
      </c>
      <c r="U6" s="57">
        <v>544.44643958910592</v>
      </c>
      <c r="V6" s="1">
        <f t="shared" si="3"/>
        <v>165.94900000000001</v>
      </c>
      <c r="W6" s="1">
        <f t="shared" si="4"/>
        <v>355.19799999999998</v>
      </c>
      <c r="X6" s="1">
        <f t="shared" si="5"/>
        <v>544.44600000000003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165.94900000000001</v>
      </c>
      <c r="F7" s="3">
        <f t="shared" si="8"/>
        <v>355.19799999999998</v>
      </c>
      <c r="G7" s="2">
        <f t="shared" si="8"/>
        <v>544.44600000000003</v>
      </c>
      <c r="I7" s="1">
        <f>SUM(F13:F16)</f>
        <v>1485.4059999999999</v>
      </c>
      <c r="K7" s="14" t="s">
        <v>71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57">
        <v>350.37355468306868</v>
      </c>
      <c r="T7" s="57">
        <v>138.71076416097418</v>
      </c>
      <c r="U7" s="57">
        <v>562.03634520516323</v>
      </c>
      <c r="V7" s="1">
        <f t="shared" si="3"/>
        <v>138.71100000000001</v>
      </c>
      <c r="W7" s="1">
        <f t="shared" si="4"/>
        <v>350.37400000000002</v>
      </c>
      <c r="X7" s="1">
        <f t="shared" si="5"/>
        <v>562.03599999999994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138.71100000000001</v>
      </c>
      <c r="F8" s="3">
        <f t="shared" si="8"/>
        <v>350.37400000000002</v>
      </c>
      <c r="G8" s="2">
        <f t="shared" si="8"/>
        <v>562.03599999999994</v>
      </c>
      <c r="I8" s="1">
        <f>SUM(F17:F20)</f>
        <v>1534.9170000000001</v>
      </c>
      <c r="K8" s="14" t="s">
        <v>72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57">
        <v>348.85565781628526</v>
      </c>
      <c r="T8" s="57">
        <v>116.56835593098786</v>
      </c>
      <c r="U8" s="57">
        <v>581.14295970158275</v>
      </c>
      <c r="V8" s="1">
        <f t="shared" si="3"/>
        <v>116.568</v>
      </c>
      <c r="W8" s="1">
        <f t="shared" si="4"/>
        <v>348.85599999999999</v>
      </c>
      <c r="X8" s="1">
        <f t="shared" si="5"/>
        <v>581.14300000000003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116.568</v>
      </c>
      <c r="F9" s="3">
        <f t="shared" si="8"/>
        <v>348.85599999999999</v>
      </c>
      <c r="G9" s="2">
        <f t="shared" si="8"/>
        <v>581.14300000000003</v>
      </c>
      <c r="I9" s="1">
        <f>SUM(F21:F24)</f>
        <v>1584.43</v>
      </c>
      <c r="K9" s="14" t="s">
        <v>73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57">
        <v>356.7575328741637</v>
      </c>
      <c r="T9" s="57">
        <v>105.72544054773351</v>
      </c>
      <c r="U9" s="57">
        <v>607.78962520059395</v>
      </c>
      <c r="V9" s="1">
        <f t="shared" si="3"/>
        <v>105.72499999999999</v>
      </c>
      <c r="W9" s="1">
        <f t="shared" si="4"/>
        <v>356.75799999999998</v>
      </c>
      <c r="X9" s="1">
        <f t="shared" si="5"/>
        <v>607.79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105.72499999999999</v>
      </c>
      <c r="F10" s="3">
        <f t="shared" si="8"/>
        <v>356.75799999999998</v>
      </c>
      <c r="G10" s="2">
        <f t="shared" si="8"/>
        <v>607.79</v>
      </c>
      <c r="I10" s="1">
        <f>SUM(F25:F28)</f>
        <v>1633.944</v>
      </c>
      <c r="K10" s="14" t="s">
        <v>74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57">
        <v>367.49843155361032</v>
      </c>
      <c r="T10" s="57">
        <v>98.925536461599748</v>
      </c>
      <c r="U10" s="57">
        <v>636.07132664562096</v>
      </c>
      <c r="V10" s="1">
        <f t="shared" si="3"/>
        <v>98.926000000000002</v>
      </c>
      <c r="W10" s="1">
        <f t="shared" si="4"/>
        <v>367.49799999999999</v>
      </c>
      <c r="X10" s="1">
        <f t="shared" si="5"/>
        <v>636.07100000000003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98.926000000000002</v>
      </c>
      <c r="F11" s="3">
        <f t="shared" si="8"/>
        <v>367.49799999999999</v>
      </c>
      <c r="G11" s="2">
        <f t="shared" si="8"/>
        <v>636.07100000000003</v>
      </c>
      <c r="I11" s="1">
        <f>SUM(F29:F32)</f>
        <v>1683.4560000000001</v>
      </c>
      <c r="K11" s="14" t="s">
        <v>75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57">
        <v>362.79562584623488</v>
      </c>
      <c r="T11" s="57">
        <v>77.81354394427288</v>
      </c>
      <c r="U11" s="57">
        <v>647.77770774819703</v>
      </c>
      <c r="V11" s="1">
        <f t="shared" si="3"/>
        <v>77.813999999999993</v>
      </c>
      <c r="W11" s="1">
        <f t="shared" si="4"/>
        <v>362.79599999999999</v>
      </c>
      <c r="X11" s="1">
        <f t="shared" si="5"/>
        <v>647.77800000000002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77.813999999999993</v>
      </c>
      <c r="F12" s="3">
        <f t="shared" si="8"/>
        <v>362.79599999999999</v>
      </c>
      <c r="G12" s="2">
        <f t="shared" si="8"/>
        <v>647.77800000000002</v>
      </c>
      <c r="K12" s="14" t="s">
        <v>76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57">
        <v>361.20909813006182</v>
      </c>
      <c r="T12" s="57">
        <v>60.683465876070287</v>
      </c>
      <c r="U12" s="57">
        <v>661.73473038405336</v>
      </c>
      <c r="V12" s="1">
        <f t="shared" si="3"/>
        <v>60.683</v>
      </c>
      <c r="W12" s="1">
        <f t="shared" si="4"/>
        <v>361.209</v>
      </c>
      <c r="X12" s="1">
        <f t="shared" si="5"/>
        <v>661.73500000000001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60.683</v>
      </c>
      <c r="F13" s="3">
        <f t="shared" si="8"/>
        <v>361.209</v>
      </c>
      <c r="G13" s="2">
        <f t="shared" si="8"/>
        <v>661.73500000000001</v>
      </c>
      <c r="K13" s="14" t="s">
        <v>77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57">
        <v>369.14981328306772</v>
      </c>
      <c r="T13" s="57">
        <v>53.861645271930428</v>
      </c>
      <c r="U13" s="57">
        <v>684.43798129420509</v>
      </c>
      <c r="V13" s="1">
        <f t="shared" si="3"/>
        <v>53.862000000000002</v>
      </c>
      <c r="W13" s="1">
        <f t="shared" si="4"/>
        <v>369.15</v>
      </c>
      <c r="X13" s="1">
        <f t="shared" si="5"/>
        <v>684.43799999999999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53.862000000000002</v>
      </c>
      <c r="F14" s="3">
        <f t="shared" si="8"/>
        <v>369.15</v>
      </c>
      <c r="G14" s="2">
        <f t="shared" si="8"/>
        <v>684.43799999999999</v>
      </c>
      <c r="K14" s="14" t="s">
        <v>82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57">
        <v>379.86873127885792</v>
      </c>
      <c r="T14" s="57">
        <v>50.470489711267206</v>
      </c>
      <c r="U14" s="57">
        <v>709.26697284644865</v>
      </c>
      <c r="V14" s="1">
        <f t="shared" si="3"/>
        <v>50.47</v>
      </c>
      <c r="W14" s="1">
        <f t="shared" si="4"/>
        <v>379.86900000000003</v>
      </c>
      <c r="X14" s="1">
        <f t="shared" si="5"/>
        <v>709.26700000000005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50.47</v>
      </c>
      <c r="F15" s="3">
        <f t="shared" si="8"/>
        <v>379.86900000000003</v>
      </c>
      <c r="G15" s="2">
        <f t="shared" si="8"/>
        <v>709.26700000000005</v>
      </c>
      <c r="K15" s="14" t="s">
        <v>79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57">
        <v>375.1783650480703</v>
      </c>
      <c r="T15" s="57">
        <v>32.254750910783088</v>
      </c>
      <c r="U15" s="57">
        <v>718.10197918535766</v>
      </c>
      <c r="V15" s="1">
        <f t="shared" si="3"/>
        <v>32.255000000000003</v>
      </c>
      <c r="W15" s="1">
        <f t="shared" si="4"/>
        <v>375.178</v>
      </c>
      <c r="X15" s="1">
        <f t="shared" si="5"/>
        <v>718.10199999999998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32.255000000000003</v>
      </c>
      <c r="F16" s="3">
        <f t="shared" si="8"/>
        <v>375.178</v>
      </c>
      <c r="G16" s="2">
        <f t="shared" si="8"/>
        <v>718.10199999999998</v>
      </c>
      <c r="K16" s="14" t="s">
        <v>80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57">
        <v>373.58479748817814</v>
      </c>
      <c r="T16" s="57">
        <v>17.646878579005847</v>
      </c>
      <c r="U16" s="57">
        <v>729.52271639735045</v>
      </c>
      <c r="V16" s="1">
        <f t="shared" si="3"/>
        <v>17.646999999999998</v>
      </c>
      <c r="W16" s="1">
        <f t="shared" si="4"/>
        <v>373.58499999999998</v>
      </c>
      <c r="X16" s="1">
        <f t="shared" si="5"/>
        <v>729.52300000000002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17.646999999999998</v>
      </c>
      <c r="F17" s="3">
        <f t="shared" si="8"/>
        <v>373.58499999999998</v>
      </c>
      <c r="G17" s="2">
        <f t="shared" si="8"/>
        <v>729.52300000000002</v>
      </c>
      <c r="K17" s="14" t="s">
        <v>81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57">
        <v>381.52949668337737</v>
      </c>
      <c r="T17" s="57">
        <v>13.03799861881501</v>
      </c>
      <c r="U17" s="57">
        <v>750.02099474793988</v>
      </c>
      <c r="V17" s="1">
        <f t="shared" si="3"/>
        <v>13.038</v>
      </c>
      <c r="W17" s="1">
        <f t="shared" si="4"/>
        <v>381.529</v>
      </c>
      <c r="X17" s="1">
        <f t="shared" si="5"/>
        <v>750.02099999999996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13.038</v>
      </c>
      <c r="F18" s="3">
        <f t="shared" si="8"/>
        <v>381.529</v>
      </c>
      <c r="G18" s="2">
        <f t="shared" si="8"/>
        <v>750.02099999999996</v>
      </c>
      <c r="K18" s="14" t="s">
        <v>78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57">
        <v>392.24615999954233</v>
      </c>
      <c r="T18" s="57">
        <v>11.614132236494429</v>
      </c>
      <c r="U18" s="57">
        <v>772.87818776259019</v>
      </c>
      <c r="V18" s="1">
        <f t="shared" si="3"/>
        <v>11.614000000000001</v>
      </c>
      <c r="W18" s="1">
        <f t="shared" si="4"/>
        <v>392.24599999999998</v>
      </c>
      <c r="X18" s="1">
        <f t="shared" si="5"/>
        <v>772.87800000000004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11.614000000000001</v>
      </c>
      <c r="F19" s="3">
        <f t="shared" si="8"/>
        <v>392.24599999999998</v>
      </c>
      <c r="G19" s="2">
        <f t="shared" si="8"/>
        <v>772.87800000000004</v>
      </c>
      <c r="K19" s="14" t="s">
        <v>90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57">
        <v>387.55706975429047</v>
      </c>
      <c r="T19" s="57">
        <v>-4.8396324614141433</v>
      </c>
      <c r="U19" s="57">
        <v>779.95377196999516</v>
      </c>
      <c r="V19" s="1">
        <f t="shared" si="3"/>
        <v>-4.84</v>
      </c>
      <c r="W19" s="1">
        <f t="shared" si="4"/>
        <v>387.55700000000002</v>
      </c>
      <c r="X19" s="1">
        <f t="shared" si="5"/>
        <v>779.95399999999995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-4.84</v>
      </c>
      <c r="F20" s="3">
        <f t="shared" si="8"/>
        <v>387.55700000000002</v>
      </c>
      <c r="G20" s="2">
        <f t="shared" si="8"/>
        <v>779.95399999999995</v>
      </c>
      <c r="K20" s="14" t="s">
        <v>91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57">
        <v>385.96278007890612</v>
      </c>
      <c r="T20" s="57">
        <v>-17.856222967747367</v>
      </c>
      <c r="U20" s="57">
        <v>789.78178312555974</v>
      </c>
      <c r="V20" s="1">
        <f t="shared" si="3"/>
        <v>-17.856000000000002</v>
      </c>
      <c r="W20" s="1">
        <f t="shared" si="4"/>
        <v>385.96300000000002</v>
      </c>
      <c r="X20" s="1">
        <f t="shared" si="5"/>
        <v>789.78200000000004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-17.856000000000002</v>
      </c>
      <c r="F21" s="3">
        <f t="shared" si="9"/>
        <v>385.96300000000002</v>
      </c>
      <c r="G21" s="2">
        <f t="shared" si="9"/>
        <v>789.78200000000004</v>
      </c>
      <c r="K21" s="14" t="s">
        <v>92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57">
        <v>393.90788793922695</v>
      </c>
      <c r="T21" s="57">
        <v>-21.018971187215953</v>
      </c>
      <c r="U21" s="57">
        <v>808.83474706566994</v>
      </c>
      <c r="V21" s="1">
        <f t="shared" si="3"/>
        <v>-21.018999999999998</v>
      </c>
      <c r="W21" s="1">
        <f t="shared" si="4"/>
        <v>393.90800000000002</v>
      </c>
      <c r="X21" s="1">
        <f t="shared" si="5"/>
        <v>808.83500000000004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-21.018999999999998</v>
      </c>
      <c r="F22" s="3">
        <f t="shared" si="9"/>
        <v>393.90800000000002</v>
      </c>
      <c r="G22" s="2">
        <f t="shared" si="9"/>
        <v>808.83500000000004</v>
      </c>
      <c r="K22" s="14" t="s">
        <v>93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57">
        <v>404.62431998050107</v>
      </c>
      <c r="T22" s="57">
        <v>-21.120754618728355</v>
      </c>
      <c r="U22" s="57">
        <v>830.36939457973051</v>
      </c>
      <c r="V22" s="1">
        <f t="shared" si="3"/>
        <v>-21.120999999999999</v>
      </c>
      <c r="W22" s="1">
        <f t="shared" si="4"/>
        <v>404.62400000000002</v>
      </c>
      <c r="X22" s="1">
        <f t="shared" si="5"/>
        <v>830.36900000000003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-21.120999999999999</v>
      </c>
      <c r="F23" s="3">
        <f t="shared" si="9"/>
        <v>404.62400000000002</v>
      </c>
      <c r="G23" s="2">
        <f t="shared" si="9"/>
        <v>830.36900000000003</v>
      </c>
      <c r="K23" s="14" t="s">
        <v>94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57">
        <v>399.93536062010406</v>
      </c>
      <c r="T23" s="57">
        <v>-36.359729110582833</v>
      </c>
      <c r="U23" s="57">
        <v>836.2304503507911</v>
      </c>
      <c r="V23" s="1">
        <f t="shared" si="3"/>
        <v>-36.36</v>
      </c>
      <c r="W23" s="1">
        <f t="shared" si="4"/>
        <v>399.935</v>
      </c>
      <c r="X23" s="1">
        <f t="shared" si="5"/>
        <v>836.23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-36.36</v>
      </c>
      <c r="F24" s="3">
        <f t="shared" si="9"/>
        <v>399.935</v>
      </c>
      <c r="G24" s="2">
        <f t="shared" si="9"/>
        <v>836.23</v>
      </c>
      <c r="K24" s="14" t="s">
        <v>95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57">
        <v>398.34099687336175</v>
      </c>
      <c r="T24" s="57">
        <v>-48.254973742850595</v>
      </c>
      <c r="U24" s="57">
        <v>844.93696748957416</v>
      </c>
      <c r="V24" s="1">
        <f t="shared" si="3"/>
        <v>-48.255000000000003</v>
      </c>
      <c r="W24" s="1">
        <f t="shared" si="4"/>
        <v>398.34100000000001</v>
      </c>
      <c r="X24" s="1">
        <f t="shared" si="5"/>
        <v>844.93700000000001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-48.255000000000003</v>
      </c>
      <c r="F25" s="3">
        <f t="shared" si="9"/>
        <v>398.34100000000001</v>
      </c>
      <c r="G25" s="2">
        <f t="shared" si="9"/>
        <v>844.93700000000001</v>
      </c>
      <c r="K25" s="14" t="s">
        <v>96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57">
        <v>406.28614665271186</v>
      </c>
      <c r="T25" s="57">
        <v>-50.378397557971795</v>
      </c>
      <c r="U25" s="57">
        <v>862.95069086339561</v>
      </c>
      <c r="V25" s="1">
        <f t="shared" si="3"/>
        <v>-50.378</v>
      </c>
      <c r="W25" s="1">
        <f t="shared" si="4"/>
        <v>406.286</v>
      </c>
      <c r="X25" s="1">
        <f t="shared" si="5"/>
        <v>862.95100000000002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-50.378</v>
      </c>
      <c r="F26" s="3">
        <f t="shared" si="9"/>
        <v>406.286</v>
      </c>
      <c r="G26" s="2">
        <f t="shared" si="9"/>
        <v>862.95100000000002</v>
      </c>
      <c r="K26" s="14" t="s">
        <v>97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57">
        <v>417.00255497084839</v>
      </c>
      <c r="T26" s="57">
        <v>-49.513315017745398</v>
      </c>
      <c r="U26" s="57">
        <v>883.5184249594422</v>
      </c>
      <c r="V26" s="1">
        <f t="shared" si="3"/>
        <v>-49.512999999999998</v>
      </c>
      <c r="W26" s="1">
        <f t="shared" si="4"/>
        <v>417.00299999999999</v>
      </c>
      <c r="X26" s="1">
        <f t="shared" si="5"/>
        <v>883.51800000000003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-49.512999999999998</v>
      </c>
      <c r="F27" s="3">
        <f t="shared" si="9"/>
        <v>417.00299999999999</v>
      </c>
      <c r="G27" s="2">
        <f t="shared" si="9"/>
        <v>883.51800000000003</v>
      </c>
      <c r="K27" s="14" t="s">
        <v>98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57">
        <v>412.31360903603087</v>
      </c>
      <c r="T27" s="57">
        <v>-63.849813060906541</v>
      </c>
      <c r="U27" s="57">
        <v>888.47703113296836</v>
      </c>
      <c r="V27" s="1">
        <f t="shared" si="3"/>
        <v>-63.85</v>
      </c>
      <c r="W27" s="1">
        <f t="shared" si="4"/>
        <v>412.31400000000002</v>
      </c>
      <c r="X27" s="1">
        <f t="shared" si="5"/>
        <v>888.47699999999998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-63.85</v>
      </c>
      <c r="F28" s="3">
        <f t="shared" si="9"/>
        <v>412.31400000000002</v>
      </c>
      <c r="G28" s="2">
        <f t="shared" si="9"/>
        <v>888.47699999999998</v>
      </c>
      <c r="K28" s="14" t="s">
        <v>99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57">
        <v>410.71923769138192</v>
      </c>
      <c r="T28" s="57">
        <v>-74.900113313610447</v>
      </c>
      <c r="U28" s="57">
        <v>896.33858869637436</v>
      </c>
      <c r="V28" s="1">
        <f t="shared" si="3"/>
        <v>-74.900000000000006</v>
      </c>
      <c r="W28" s="1">
        <f t="shared" si="4"/>
        <v>410.71899999999999</v>
      </c>
      <c r="X28" s="1">
        <f t="shared" si="5"/>
        <v>896.33900000000006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-74.900000000000006</v>
      </c>
      <c r="F29" s="3">
        <f t="shared" si="9"/>
        <v>410.71899999999999</v>
      </c>
      <c r="G29" s="2">
        <f t="shared" si="9"/>
        <v>896.33900000000006</v>
      </c>
      <c r="K29" s="14" t="s">
        <v>100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57">
        <v>418.66439177059749</v>
      </c>
      <c r="T29" s="57">
        <v>-76.230246008545038</v>
      </c>
      <c r="U29" s="57">
        <v>913.5590295497401</v>
      </c>
      <c r="V29" s="1">
        <f t="shared" si="3"/>
        <v>-76.23</v>
      </c>
      <c r="W29" s="1">
        <f t="shared" si="4"/>
        <v>418.66399999999999</v>
      </c>
      <c r="X29" s="1">
        <f t="shared" si="5"/>
        <v>913.55899999999997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-76.23</v>
      </c>
      <c r="F30" s="3">
        <f t="shared" si="9"/>
        <v>418.66399999999999</v>
      </c>
      <c r="G30" s="2">
        <f t="shared" si="9"/>
        <v>913.55899999999997</v>
      </c>
      <c r="K30" s="14" t="s">
        <v>101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57">
        <v>429.38079765532132</v>
      </c>
      <c r="T30" s="57">
        <v>-74.618459838682824</v>
      </c>
      <c r="U30" s="57">
        <v>933.38005514932547</v>
      </c>
      <c r="V30" s="1">
        <f t="shared" si="3"/>
        <v>-74.617999999999995</v>
      </c>
      <c r="W30" s="1">
        <f t="shared" si="4"/>
        <v>429.38099999999997</v>
      </c>
      <c r="X30" s="1">
        <f t="shared" si="5"/>
        <v>933.38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-74.617999999999995</v>
      </c>
      <c r="F31" s="3">
        <f t="shared" si="9"/>
        <v>429.38099999999997</v>
      </c>
      <c r="G31" s="2">
        <f t="shared" si="9"/>
        <v>933.38</v>
      </c>
      <c r="K31" s="14" t="s">
        <v>102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57">
        <v>424.69185309763924</v>
      </c>
      <c r="T31" s="57">
        <v>-88.250444101213617</v>
      </c>
      <c r="U31" s="57">
        <v>937.63415029649218</v>
      </c>
      <c r="V31" s="1">
        <f t="shared" si="3"/>
        <v>-88.25</v>
      </c>
      <c r="W31" s="1">
        <f t="shared" si="4"/>
        <v>424.69200000000001</v>
      </c>
      <c r="X31" s="1">
        <f t="shared" si="5"/>
        <v>937.63400000000001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-88.25</v>
      </c>
      <c r="F32" s="3">
        <f t="shared" si="9"/>
        <v>424.69200000000001</v>
      </c>
      <c r="G32" s="2">
        <f t="shared" si="9"/>
        <v>937.63400000000001</v>
      </c>
      <c r="K32" s="14" t="s">
        <v>103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57">
        <v>423.09748097363126</v>
      </c>
      <c r="T32" s="57">
        <v>-98.634585469777434</v>
      </c>
      <c r="U32" s="57">
        <v>944.82954741703998</v>
      </c>
      <c r="V32" s="1">
        <f t="shared" si="3"/>
        <v>-98.635000000000005</v>
      </c>
      <c r="W32" s="1">
        <f t="shared" si="4"/>
        <v>423.09699999999998</v>
      </c>
      <c r="X32" s="1">
        <f t="shared" si="5"/>
        <v>944.83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-98.635000000000005</v>
      </c>
      <c r="F33" s="3">
        <f t="shared" si="9"/>
        <v>423.09699999999998</v>
      </c>
      <c r="G33" s="2">
        <f t="shared" si="9"/>
        <v>944.83</v>
      </c>
      <c r="K33" s="14" t="s">
        <v>107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57">
        <v>431.04263549390765</v>
      </c>
      <c r="T33" s="57">
        <v>-99.333549814804002</v>
      </c>
      <c r="U33" s="57">
        <v>961.41882080261939</v>
      </c>
      <c r="V33" s="1">
        <f t="shared" si="3"/>
        <v>-99.334000000000003</v>
      </c>
      <c r="W33" s="1">
        <f t="shared" si="4"/>
        <v>431.04300000000001</v>
      </c>
      <c r="X33" s="1">
        <f t="shared" si="5"/>
        <v>961.41899999999998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-99.334000000000003</v>
      </c>
      <c r="F34" s="3">
        <f t="shared" si="9"/>
        <v>431.04300000000001</v>
      </c>
      <c r="G34" s="2">
        <f t="shared" si="9"/>
        <v>961.41899999999998</v>
      </c>
      <c r="K34" s="14" t="s">
        <v>108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57">
        <v>441.75904112902293</v>
      </c>
      <c r="T34" s="57">
        <v>-97.122621941377858</v>
      </c>
      <c r="U34" s="57">
        <v>980.64070419942368</v>
      </c>
      <c r="V34" s="1">
        <f t="shared" si="3"/>
        <v>-97.123000000000005</v>
      </c>
      <c r="W34" s="1">
        <f t="shared" si="4"/>
        <v>441.75900000000001</v>
      </c>
      <c r="X34" s="1">
        <f t="shared" si="5"/>
        <v>980.64099999999996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-97.123000000000005</v>
      </c>
      <c r="F35" s="3">
        <f t="shared" si="9"/>
        <v>441.75900000000001</v>
      </c>
      <c r="G35" s="2">
        <f t="shared" si="9"/>
        <v>980.64099999999996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386.81440624999999</v>
      </c>
    </row>
    <row r="40" spans="1:24" ht="12.5" thickBot="1" x14ac:dyDescent="0.35"/>
    <row r="41" spans="1:24" ht="15.5" thickTop="1" thickBot="1" x14ac:dyDescent="0.4">
      <c r="A41" s="30" t="s">
        <v>55</v>
      </c>
      <c r="B41" s="31"/>
      <c r="C41" s="31"/>
      <c r="D41" s="31"/>
      <c r="E41" s="31"/>
      <c r="F41" s="31"/>
      <c r="G41" s="31"/>
      <c r="K41" s="30" t="s">
        <v>32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315.11799999999999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292.66699999999997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303.39400000000001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270.06799999999998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303.524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262.80599999999998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307.88600000000002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260.57400000000001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297.459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244.54300000000001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290.78399999999999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232.71299999999999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294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231.24199999999999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300.35500000000002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233.21199999999999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291.55099999999999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220.30500000000001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286.07799999999997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210.946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290.32799999999997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211.506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297.52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215.17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289.447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203.71600000000001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284.601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195.61600000000001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289.40600000000001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197.28299999999999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297.08800000000002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201.93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289.45800000000003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191.35900000000001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285.00799999999998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184.054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290.17599999999999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186.44499999999999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298.18799999999999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191.75200000000001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290.86099999999999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181.78800000000001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286.69200000000001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175.04300000000001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292.12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177.95400000000001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300.37400000000002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183.74600000000001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293.27300000000002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174.233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289.31400000000002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167.90899999999999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294.94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171.21700000000001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303.38099999999997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177.38200000000001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296.45699999999999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168.221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292.66399999999999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162.23099999999999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298.44900000000001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165.85499999999999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307.03899999999999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172.31800000000001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4" t="s">
        <v>9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58">
        <v>769.46756739093291</v>
      </c>
      <c r="T3" s="58">
        <v>619.47744677176286</v>
      </c>
      <c r="U3" s="58">
        <v>919.45768801010297</v>
      </c>
      <c r="V3" s="1">
        <f t="shared" ref="V3:V34" si="3">ROUND(T3,3)</f>
        <v>619.47699999999998</v>
      </c>
      <c r="W3" s="1">
        <f t="shared" ref="W3:W34" si="4">ROUND(S3,3)</f>
        <v>769.46799999999996</v>
      </c>
      <c r="X3" s="1">
        <f t="shared" ref="X3:X34" si="5">ROUND(U3,3)</f>
        <v>919.45799999999997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619.47699999999998</v>
      </c>
      <c r="F4" s="3">
        <f>W3</f>
        <v>769.46799999999996</v>
      </c>
      <c r="G4" s="2">
        <f>X3</f>
        <v>919.45799999999997</v>
      </c>
      <c r="K4" s="14" t="s">
        <v>68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58">
        <v>763.18400459933832</v>
      </c>
      <c r="T4" s="58">
        <v>585.43104426010211</v>
      </c>
      <c r="U4" s="58">
        <v>940.93696493857453</v>
      </c>
      <c r="V4" s="1">
        <f t="shared" si="3"/>
        <v>585.43100000000004</v>
      </c>
      <c r="W4" s="1">
        <f t="shared" si="4"/>
        <v>763.18399999999997</v>
      </c>
      <c r="X4" s="1">
        <f t="shared" si="5"/>
        <v>940.93700000000001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585.43100000000004</v>
      </c>
      <c r="F5" s="3">
        <f t="shared" si="8"/>
        <v>763.18399999999997</v>
      </c>
      <c r="G5" s="2">
        <f t="shared" si="8"/>
        <v>940.93700000000001</v>
      </c>
      <c r="I5" s="1">
        <f>SUM(F5:F8)</f>
        <v>3015.7280000000001</v>
      </c>
      <c r="K5" s="14" t="s">
        <v>69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58">
        <v>750.55142983547989</v>
      </c>
      <c r="T5" s="58">
        <v>560.66974261780706</v>
      </c>
      <c r="U5" s="58">
        <v>940.43311705315273</v>
      </c>
      <c r="V5" s="1">
        <f t="shared" si="3"/>
        <v>560.66999999999996</v>
      </c>
      <c r="W5" s="1">
        <f t="shared" si="4"/>
        <v>750.55100000000004</v>
      </c>
      <c r="X5" s="1">
        <f t="shared" si="5"/>
        <v>940.43299999999999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560.66999999999996</v>
      </c>
      <c r="F6" s="3">
        <f t="shared" si="8"/>
        <v>750.55100000000004</v>
      </c>
      <c r="G6" s="2">
        <f t="shared" si="8"/>
        <v>940.43299999999999</v>
      </c>
      <c r="I6" s="1">
        <f>SUM(F9:F12)</f>
        <v>3037.047</v>
      </c>
      <c r="K6" s="14" t="s">
        <v>70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58">
        <v>755.12266042454053</v>
      </c>
      <c r="T6" s="58">
        <v>558.30741353346536</v>
      </c>
      <c r="U6" s="58">
        <v>951.93790731561569</v>
      </c>
      <c r="V6" s="1">
        <f t="shared" si="3"/>
        <v>558.30700000000002</v>
      </c>
      <c r="W6" s="1">
        <f t="shared" si="4"/>
        <v>755.12300000000005</v>
      </c>
      <c r="X6" s="1">
        <f t="shared" si="5"/>
        <v>951.93799999999999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558.30700000000002</v>
      </c>
      <c r="F7" s="3">
        <f t="shared" si="8"/>
        <v>755.12300000000005</v>
      </c>
      <c r="G7" s="2">
        <f t="shared" si="8"/>
        <v>951.93799999999999</v>
      </c>
      <c r="I7" s="1">
        <f>SUM(F13:F16)</f>
        <v>3093.6289999999999</v>
      </c>
      <c r="K7" s="14" t="s">
        <v>71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58">
        <v>746.87013544315812</v>
      </c>
      <c r="T7" s="58">
        <v>545.21354978246382</v>
      </c>
      <c r="U7" s="58">
        <v>948.52672110385242</v>
      </c>
      <c r="V7" s="1">
        <f t="shared" si="3"/>
        <v>545.21400000000006</v>
      </c>
      <c r="W7" s="1">
        <f t="shared" si="4"/>
        <v>746.87</v>
      </c>
      <c r="X7" s="1">
        <f t="shared" si="5"/>
        <v>948.52700000000004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545.21400000000006</v>
      </c>
      <c r="F8" s="3">
        <f t="shared" si="8"/>
        <v>746.87</v>
      </c>
      <c r="G8" s="2">
        <f t="shared" si="8"/>
        <v>948.52700000000004</v>
      </c>
      <c r="I8" s="1">
        <f>SUM(F17:F20)</f>
        <v>3152.8669999999997</v>
      </c>
      <c r="K8" s="14" t="s">
        <v>72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58">
        <v>758.41630843427913</v>
      </c>
      <c r="T8" s="58">
        <v>552.86893507559739</v>
      </c>
      <c r="U8" s="58">
        <v>963.96368179296087</v>
      </c>
      <c r="V8" s="1">
        <f t="shared" si="3"/>
        <v>552.86900000000003</v>
      </c>
      <c r="W8" s="1">
        <f t="shared" si="4"/>
        <v>758.41600000000005</v>
      </c>
      <c r="X8" s="1">
        <f t="shared" si="5"/>
        <v>963.96400000000006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552.86900000000003</v>
      </c>
      <c r="F9" s="3">
        <f t="shared" si="8"/>
        <v>758.41600000000005</v>
      </c>
      <c r="G9" s="2">
        <f t="shared" si="8"/>
        <v>963.96400000000006</v>
      </c>
      <c r="I9" s="1">
        <f>SUM(F21:F24)</f>
        <v>3212.308</v>
      </c>
      <c r="K9" s="14" t="s">
        <v>73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58">
        <v>755.1274473315226</v>
      </c>
      <c r="T9" s="58">
        <v>546.16112918914598</v>
      </c>
      <c r="U9" s="58">
        <v>964.09376547389923</v>
      </c>
      <c r="V9" s="1">
        <f t="shared" si="3"/>
        <v>546.16099999999994</v>
      </c>
      <c r="W9" s="1">
        <f t="shared" si="4"/>
        <v>755.12699999999995</v>
      </c>
      <c r="X9" s="1">
        <f t="shared" si="5"/>
        <v>964.09400000000005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546.16099999999994</v>
      </c>
      <c r="F10" s="3">
        <f t="shared" si="8"/>
        <v>755.12699999999995</v>
      </c>
      <c r="G10" s="2">
        <f t="shared" si="8"/>
        <v>964.09400000000005</v>
      </c>
      <c r="I10" s="1">
        <f>SUM(F25:F28)</f>
        <v>3271.7629999999999</v>
      </c>
      <c r="K10" s="14" t="s">
        <v>74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58">
        <v>764.59527235387259</v>
      </c>
      <c r="T10" s="58">
        <v>552.46265160152609</v>
      </c>
      <c r="U10" s="58">
        <v>976.72789310621908</v>
      </c>
      <c r="V10" s="1">
        <f t="shared" si="3"/>
        <v>552.46299999999997</v>
      </c>
      <c r="W10" s="1">
        <f t="shared" si="4"/>
        <v>764.59500000000003</v>
      </c>
      <c r="X10" s="1">
        <f t="shared" si="5"/>
        <v>976.72799999999995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552.46299999999997</v>
      </c>
      <c r="F11" s="3">
        <f t="shared" si="8"/>
        <v>764.59500000000003</v>
      </c>
      <c r="G11" s="2">
        <f t="shared" si="8"/>
        <v>976.72799999999995</v>
      </c>
      <c r="I11" s="1">
        <f>SUM(F29:F32)</f>
        <v>3331.2190000000001</v>
      </c>
      <c r="K11" s="14" t="s">
        <v>75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58">
        <v>758.90881884190333</v>
      </c>
      <c r="T11" s="58">
        <v>543.75621410139638</v>
      </c>
      <c r="U11" s="58">
        <v>974.06142358241027</v>
      </c>
      <c r="V11" s="1">
        <f t="shared" si="3"/>
        <v>543.75599999999997</v>
      </c>
      <c r="W11" s="1">
        <f t="shared" si="4"/>
        <v>758.90899999999999</v>
      </c>
      <c r="X11" s="1">
        <f t="shared" si="5"/>
        <v>974.06100000000004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543.75599999999997</v>
      </c>
      <c r="F12" s="3">
        <f t="shared" si="8"/>
        <v>758.90899999999999</v>
      </c>
      <c r="G12" s="2">
        <f t="shared" si="8"/>
        <v>974.06100000000004</v>
      </c>
      <c r="K12" s="14" t="s">
        <v>76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58">
        <v>771.79974743323703</v>
      </c>
      <c r="T12" s="58">
        <v>553.71990026195203</v>
      </c>
      <c r="U12" s="58">
        <v>989.87959460452203</v>
      </c>
      <c r="V12" s="1">
        <f t="shared" si="3"/>
        <v>553.72</v>
      </c>
      <c r="W12" s="1">
        <f t="shared" si="4"/>
        <v>771.8</v>
      </c>
      <c r="X12" s="1">
        <f t="shared" si="5"/>
        <v>989.88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553.72</v>
      </c>
      <c r="F13" s="3">
        <f t="shared" si="8"/>
        <v>771.8</v>
      </c>
      <c r="G13" s="2">
        <f t="shared" si="8"/>
        <v>989.88</v>
      </c>
      <c r="K13" s="14" t="s">
        <v>77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58">
        <v>769.21560856673102</v>
      </c>
      <c r="T13" s="58">
        <v>548.2734673871156</v>
      </c>
      <c r="U13" s="58">
        <v>990.15774974634644</v>
      </c>
      <c r="V13" s="1">
        <f t="shared" si="3"/>
        <v>548.27300000000002</v>
      </c>
      <c r="W13" s="1">
        <f t="shared" si="4"/>
        <v>769.21600000000001</v>
      </c>
      <c r="X13" s="1">
        <f t="shared" si="5"/>
        <v>990.15800000000002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548.27300000000002</v>
      </c>
      <c r="F14" s="3">
        <f t="shared" si="8"/>
        <v>769.21600000000001</v>
      </c>
      <c r="G14" s="2">
        <f t="shared" si="8"/>
        <v>990.15800000000002</v>
      </c>
      <c r="K14" s="14" t="s">
        <v>82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58">
        <v>779.05274488266275</v>
      </c>
      <c r="T14" s="58">
        <v>555.29841640368363</v>
      </c>
      <c r="U14" s="58">
        <v>1002.8070733616419</v>
      </c>
      <c r="V14" s="1">
        <f t="shared" si="3"/>
        <v>555.298</v>
      </c>
      <c r="W14" s="1">
        <f t="shared" si="4"/>
        <v>779.053</v>
      </c>
      <c r="X14" s="1">
        <f t="shared" si="5"/>
        <v>1002.807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555.298</v>
      </c>
      <c r="F15" s="3">
        <f t="shared" si="8"/>
        <v>779.053</v>
      </c>
      <c r="G15" s="2">
        <f t="shared" si="8"/>
        <v>1002.807</v>
      </c>
      <c r="K15" s="14" t="s">
        <v>79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58">
        <v>773.55982979555245</v>
      </c>
      <c r="T15" s="58">
        <v>547.03519606802377</v>
      </c>
      <c r="U15" s="58">
        <v>1000.0844635230811</v>
      </c>
      <c r="V15" s="1">
        <f t="shared" si="3"/>
        <v>547.03499999999997</v>
      </c>
      <c r="W15" s="1">
        <f t="shared" si="4"/>
        <v>773.56</v>
      </c>
      <c r="X15" s="1">
        <f t="shared" si="5"/>
        <v>1000.0839999999999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547.03499999999997</v>
      </c>
      <c r="F16" s="3">
        <f t="shared" si="8"/>
        <v>773.56</v>
      </c>
      <c r="G16" s="2">
        <f t="shared" si="8"/>
        <v>1000.0839999999999</v>
      </c>
      <c r="K16" s="14" t="s">
        <v>80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58">
        <v>786.55218263940128</v>
      </c>
      <c r="T16" s="58">
        <v>557.29432418652266</v>
      </c>
      <c r="U16" s="58">
        <v>1015.8100410922799</v>
      </c>
      <c r="V16" s="1">
        <f t="shared" si="3"/>
        <v>557.29399999999998</v>
      </c>
      <c r="W16" s="1">
        <f t="shared" si="4"/>
        <v>786.55200000000002</v>
      </c>
      <c r="X16" s="1">
        <f t="shared" si="5"/>
        <v>1015.81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557.29399999999998</v>
      </c>
      <c r="F17" s="3">
        <f t="shared" si="8"/>
        <v>786.55200000000002</v>
      </c>
      <c r="G17" s="2">
        <f t="shared" si="8"/>
        <v>1015.81</v>
      </c>
      <c r="K17" s="14" t="s">
        <v>81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58">
        <v>784.02119538351599</v>
      </c>
      <c r="T17" s="58">
        <v>552.06418386438338</v>
      </c>
      <c r="U17" s="58">
        <v>1015.9782069026486</v>
      </c>
      <c r="V17" s="1">
        <f t="shared" si="3"/>
        <v>552.06399999999996</v>
      </c>
      <c r="W17" s="1">
        <f t="shared" si="4"/>
        <v>784.02099999999996</v>
      </c>
      <c r="X17" s="1">
        <f t="shared" si="5"/>
        <v>1015.978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552.06399999999996</v>
      </c>
      <c r="F18" s="3">
        <f t="shared" si="8"/>
        <v>784.02099999999996</v>
      </c>
      <c r="G18" s="2">
        <f t="shared" si="8"/>
        <v>1015.978</v>
      </c>
      <c r="K18" s="14" t="s">
        <v>78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58">
        <v>793.88618592209684</v>
      </c>
      <c r="T18" s="58">
        <v>559.26203801641088</v>
      </c>
      <c r="U18" s="58">
        <v>1028.5103338277827</v>
      </c>
      <c r="V18" s="1">
        <f t="shared" si="3"/>
        <v>559.26199999999994</v>
      </c>
      <c r="W18" s="1">
        <f t="shared" si="4"/>
        <v>793.88599999999997</v>
      </c>
      <c r="X18" s="1">
        <f t="shared" si="5"/>
        <v>1028.51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559.26199999999994</v>
      </c>
      <c r="F19" s="3">
        <f t="shared" si="8"/>
        <v>793.88599999999997</v>
      </c>
      <c r="G19" s="2">
        <f t="shared" si="8"/>
        <v>1028.51</v>
      </c>
      <c r="K19" s="14" t="s">
        <v>90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58">
        <v>788.40786790383015</v>
      </c>
      <c r="T19" s="58">
        <v>551.14706517549268</v>
      </c>
      <c r="U19" s="58">
        <v>1025.6686706321677</v>
      </c>
      <c r="V19" s="1">
        <f t="shared" si="3"/>
        <v>551.14700000000005</v>
      </c>
      <c r="W19" s="1">
        <f t="shared" si="4"/>
        <v>788.40800000000002</v>
      </c>
      <c r="X19" s="1">
        <f t="shared" si="5"/>
        <v>1025.6690000000001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551.14700000000005</v>
      </c>
      <c r="F20" s="3">
        <f t="shared" si="8"/>
        <v>788.40800000000002</v>
      </c>
      <c r="G20" s="2">
        <f t="shared" si="8"/>
        <v>1025.6690000000001</v>
      </c>
      <c r="K20" s="14" t="s">
        <v>91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58">
        <v>801.4078703748653</v>
      </c>
      <c r="T20" s="58">
        <v>561.5396532183936</v>
      </c>
      <c r="U20" s="58">
        <v>1041.276087531337</v>
      </c>
      <c r="V20" s="1">
        <f t="shared" si="3"/>
        <v>561.54</v>
      </c>
      <c r="W20" s="1">
        <f t="shared" si="4"/>
        <v>801.40800000000002</v>
      </c>
      <c r="X20" s="1">
        <f t="shared" si="5"/>
        <v>1041.2760000000001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561.54</v>
      </c>
      <c r="F21" s="3">
        <f t="shared" si="9"/>
        <v>801.40800000000002</v>
      </c>
      <c r="G21" s="2">
        <f t="shared" si="9"/>
        <v>1041.2760000000001</v>
      </c>
      <c r="K21" s="14" t="s">
        <v>92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58">
        <v>798.8808919235363</v>
      </c>
      <c r="T21" s="58">
        <v>556.43343498324305</v>
      </c>
      <c r="U21" s="58">
        <v>1041.3283488638294</v>
      </c>
      <c r="V21" s="1">
        <f t="shared" si="3"/>
        <v>556.43299999999999</v>
      </c>
      <c r="W21" s="1">
        <f t="shared" si="4"/>
        <v>798.88099999999997</v>
      </c>
      <c r="X21" s="1">
        <f t="shared" si="5"/>
        <v>1041.328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556.43299999999999</v>
      </c>
      <c r="F22" s="3">
        <f t="shared" si="9"/>
        <v>798.88099999999997</v>
      </c>
      <c r="G22" s="2">
        <f t="shared" si="9"/>
        <v>1041.328</v>
      </c>
      <c r="K22" s="14" t="s">
        <v>93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58">
        <v>808.74798328527856</v>
      </c>
      <c r="T22" s="58">
        <v>563.74850793128007</v>
      </c>
      <c r="U22" s="58">
        <v>1053.7474586392771</v>
      </c>
      <c r="V22" s="1">
        <f t="shared" si="3"/>
        <v>563.74900000000002</v>
      </c>
      <c r="W22" s="1">
        <f t="shared" si="4"/>
        <v>808.74800000000005</v>
      </c>
      <c r="X22" s="1">
        <f t="shared" si="5"/>
        <v>1053.7470000000001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563.74900000000002</v>
      </c>
      <c r="F23" s="3">
        <f t="shared" si="9"/>
        <v>808.74800000000005</v>
      </c>
      <c r="G23" s="2">
        <f t="shared" si="9"/>
        <v>1053.7470000000001</v>
      </c>
      <c r="K23" s="14" t="s">
        <v>94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58">
        <v>803.2707662081765</v>
      </c>
      <c r="T23" s="58">
        <v>555.74561893311136</v>
      </c>
      <c r="U23" s="58">
        <v>1050.7959134832417</v>
      </c>
      <c r="V23" s="1">
        <f t="shared" si="3"/>
        <v>555.74599999999998</v>
      </c>
      <c r="W23" s="1">
        <f t="shared" si="4"/>
        <v>803.27099999999996</v>
      </c>
      <c r="X23" s="1">
        <f t="shared" si="5"/>
        <v>1050.796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555.74599999999998</v>
      </c>
      <c r="F24" s="3">
        <f t="shared" si="9"/>
        <v>803.27099999999996</v>
      </c>
      <c r="G24" s="2">
        <f t="shared" si="9"/>
        <v>1050.796</v>
      </c>
      <c r="K24" s="14" t="s">
        <v>95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58">
        <v>816.27134562993729</v>
      </c>
      <c r="T24" s="58">
        <v>566.24605742208701</v>
      </c>
      <c r="U24" s="58">
        <v>1066.2966338377876</v>
      </c>
      <c r="V24" s="1">
        <f t="shared" si="3"/>
        <v>566.24599999999998</v>
      </c>
      <c r="W24" s="1">
        <f t="shared" si="4"/>
        <v>816.27099999999996</v>
      </c>
      <c r="X24" s="1">
        <f t="shared" si="5"/>
        <v>1066.297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566.24599999999998</v>
      </c>
      <c r="F25" s="3">
        <f t="shared" si="9"/>
        <v>816.27099999999996</v>
      </c>
      <c r="G25" s="2">
        <f t="shared" si="9"/>
        <v>1066.297</v>
      </c>
      <c r="K25" s="14" t="s">
        <v>96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58">
        <v>813.74466953095055</v>
      </c>
      <c r="T25" s="58">
        <v>561.24400413132673</v>
      </c>
      <c r="U25" s="58">
        <v>1066.2453349305742</v>
      </c>
      <c r="V25" s="1">
        <f t="shared" si="3"/>
        <v>561.24400000000003</v>
      </c>
      <c r="W25" s="1">
        <f t="shared" si="4"/>
        <v>813.745</v>
      </c>
      <c r="X25" s="1">
        <f t="shared" si="5"/>
        <v>1066.2449999999999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561.24400000000003</v>
      </c>
      <c r="F26" s="3">
        <f t="shared" si="9"/>
        <v>813.745</v>
      </c>
      <c r="G26" s="2">
        <f t="shared" si="9"/>
        <v>1066.2449999999999</v>
      </c>
      <c r="K26" s="14" t="s">
        <v>97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58">
        <v>823.61191934112685</v>
      </c>
      <c r="T26" s="58">
        <v>568.65991458417761</v>
      </c>
      <c r="U26" s="58">
        <v>1078.5639240980761</v>
      </c>
      <c r="V26" s="1">
        <f t="shared" si="3"/>
        <v>568.66</v>
      </c>
      <c r="W26" s="1">
        <f t="shared" si="4"/>
        <v>823.61199999999997</v>
      </c>
      <c r="X26" s="1">
        <f t="shared" si="5"/>
        <v>1078.5640000000001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568.66</v>
      </c>
      <c r="F27" s="3">
        <f t="shared" si="9"/>
        <v>823.61199999999997</v>
      </c>
      <c r="G27" s="2">
        <f t="shared" si="9"/>
        <v>1078.5640000000001</v>
      </c>
      <c r="K27" s="14" t="s">
        <v>98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58">
        <v>818.1347852992875</v>
      </c>
      <c r="T27" s="58">
        <v>560.75478980802461</v>
      </c>
      <c r="U27" s="58">
        <v>1075.5147807905505</v>
      </c>
      <c r="V27" s="1">
        <f t="shared" si="3"/>
        <v>560.755</v>
      </c>
      <c r="W27" s="1">
        <f t="shared" si="4"/>
        <v>818.13499999999999</v>
      </c>
      <c r="X27" s="1">
        <f t="shared" si="5"/>
        <v>1075.5150000000001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560.755</v>
      </c>
      <c r="F28" s="3">
        <f t="shared" si="9"/>
        <v>818.13499999999999</v>
      </c>
      <c r="G28" s="2">
        <f t="shared" si="9"/>
        <v>1075.5150000000001</v>
      </c>
      <c r="K28" s="14" t="s">
        <v>99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58">
        <v>831.13540823586686</v>
      </c>
      <c r="T28" s="58">
        <v>571.35011473444638</v>
      </c>
      <c r="U28" s="58">
        <v>1090.9207017372873</v>
      </c>
      <c r="V28" s="1">
        <f t="shared" si="3"/>
        <v>571.35</v>
      </c>
      <c r="W28" s="1">
        <f t="shared" si="4"/>
        <v>831.13499999999999</v>
      </c>
      <c r="X28" s="1">
        <f t="shared" si="5"/>
        <v>1090.921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571.35</v>
      </c>
      <c r="F29" s="3">
        <f t="shared" si="9"/>
        <v>831.13499999999999</v>
      </c>
      <c r="G29" s="2">
        <f t="shared" si="9"/>
        <v>1090.921</v>
      </c>
      <c r="K29" s="14" t="s">
        <v>100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58">
        <v>828.60875494091999</v>
      </c>
      <c r="T29" s="58">
        <v>566.44023091748829</v>
      </c>
      <c r="U29" s="58">
        <v>1090.7772789643516</v>
      </c>
      <c r="V29" s="1">
        <f t="shared" si="3"/>
        <v>566.44000000000005</v>
      </c>
      <c r="W29" s="1">
        <f t="shared" si="4"/>
        <v>828.60900000000004</v>
      </c>
      <c r="X29" s="1">
        <f t="shared" si="5"/>
        <v>1090.777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566.44000000000005</v>
      </c>
      <c r="F30" s="3">
        <f t="shared" si="9"/>
        <v>828.60900000000004</v>
      </c>
      <c r="G30" s="2">
        <f t="shared" si="9"/>
        <v>1090.777</v>
      </c>
      <c r="K30" s="14" t="s">
        <v>101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58">
        <v>838.47601670160532</v>
      </c>
      <c r="T30" s="58">
        <v>573.94573287208152</v>
      </c>
      <c r="U30" s="58">
        <v>1103.006300531129</v>
      </c>
      <c r="V30" s="1">
        <f t="shared" si="3"/>
        <v>573.94600000000003</v>
      </c>
      <c r="W30" s="1">
        <f t="shared" si="4"/>
        <v>838.476</v>
      </c>
      <c r="X30" s="1">
        <f t="shared" si="5"/>
        <v>1103.0060000000001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573.94600000000003</v>
      </c>
      <c r="F31" s="3">
        <f t="shared" si="9"/>
        <v>838.476</v>
      </c>
      <c r="G31" s="2">
        <f t="shared" si="9"/>
        <v>1103.0060000000001</v>
      </c>
      <c r="K31" s="14" t="s">
        <v>102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58">
        <v>832.99888892245747</v>
      </c>
      <c r="T31" s="58">
        <v>566.12774579304698</v>
      </c>
      <c r="U31" s="58">
        <v>1099.8700320518681</v>
      </c>
      <c r="V31" s="1">
        <f t="shared" si="3"/>
        <v>566.12800000000004</v>
      </c>
      <c r="W31" s="1">
        <f t="shared" si="4"/>
        <v>832.99900000000002</v>
      </c>
      <c r="X31" s="1">
        <f t="shared" si="5"/>
        <v>1099.8699999999999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566.12800000000004</v>
      </c>
      <c r="F32" s="3">
        <f t="shared" si="9"/>
        <v>832.99900000000002</v>
      </c>
      <c r="G32" s="2">
        <f t="shared" si="9"/>
        <v>1099.8699999999999</v>
      </c>
      <c r="K32" s="14" t="s">
        <v>103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58">
        <v>845.99951514101463</v>
      </c>
      <c r="T32" s="58">
        <v>576.80786788204591</v>
      </c>
      <c r="U32" s="58">
        <v>1115.1911623999833</v>
      </c>
      <c r="V32" s="1">
        <f t="shared" si="3"/>
        <v>576.80799999999999</v>
      </c>
      <c r="W32" s="1">
        <f t="shared" si="4"/>
        <v>846</v>
      </c>
      <c r="X32" s="1">
        <f t="shared" si="5"/>
        <v>1115.191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576.80799999999999</v>
      </c>
      <c r="F33" s="3">
        <f t="shared" si="9"/>
        <v>846</v>
      </c>
      <c r="G33" s="2">
        <f t="shared" si="9"/>
        <v>1115.191</v>
      </c>
      <c r="K33" s="14" t="s">
        <v>107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58">
        <v>843.47286356599579</v>
      </c>
      <c r="T33" s="58">
        <v>571.98054536016855</v>
      </c>
      <c r="U33" s="58">
        <v>1114.9651817718229</v>
      </c>
      <c r="V33" s="1">
        <f t="shared" si="3"/>
        <v>571.98099999999999</v>
      </c>
      <c r="W33" s="1">
        <f t="shared" si="4"/>
        <v>843.47299999999996</v>
      </c>
      <c r="X33" s="1">
        <f t="shared" si="5"/>
        <v>1114.9649999999999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571.98099999999999</v>
      </c>
      <c r="F34" s="3">
        <f t="shared" si="9"/>
        <v>843.47299999999996</v>
      </c>
      <c r="G34" s="2">
        <f t="shared" si="9"/>
        <v>1114.9649999999999</v>
      </c>
      <c r="K34" s="14" t="s">
        <v>108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58">
        <v>853.34012622801322</v>
      </c>
      <c r="T34" s="58">
        <v>579.56647022571167</v>
      </c>
      <c r="U34" s="58">
        <v>1127.1137822303147</v>
      </c>
      <c r="V34" s="1">
        <f t="shared" si="3"/>
        <v>579.56600000000003</v>
      </c>
      <c r="W34" s="1">
        <f t="shared" si="4"/>
        <v>853.34</v>
      </c>
      <c r="X34" s="1">
        <f t="shared" si="5"/>
        <v>1127.114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579.56600000000003</v>
      </c>
      <c r="F35" s="3">
        <f t="shared" si="9"/>
        <v>853.34</v>
      </c>
      <c r="G35" s="2">
        <f t="shared" si="9"/>
        <v>1127.114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794.58881249999979</v>
      </c>
    </row>
    <row r="40" spans="1:24" ht="12.5" thickBot="1" x14ac:dyDescent="0.35"/>
    <row r="41" spans="1:24" ht="15.5" thickTop="1" thickBot="1" x14ac:dyDescent="0.4">
      <c r="A41" s="30" t="s">
        <v>56</v>
      </c>
      <c r="B41" s="31"/>
      <c r="C41" s="31"/>
      <c r="D41" s="31"/>
      <c r="E41" s="31"/>
      <c r="F41" s="31"/>
      <c r="G41" s="31"/>
      <c r="K41" s="30" t="s">
        <v>33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731.971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694.47299999999996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718.74599999999998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674.30799999999999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703.08100000000002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655.61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705.91899999999998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656.71600000000001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696.45600000000002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646.04200000000003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707.029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655.64200000000005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702.88499999999999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650.64400000000001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711.56200000000001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658.529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705.12099999999998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651.33299999999997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717.28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662.76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713.98099999999999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658.745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723.11500000000001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667.17600000000004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716.92899999999997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660.298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729.23800000000006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671.923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726.03200000000004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668.04300000000001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735.23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676.57399999999996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729.09299999999996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669.77800000000002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741.44100000000003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681.47400000000005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738.26900000000001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677.65800000000002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747.49800000000005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686.24900000000002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741.39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679.50900000000001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753.76499999999999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691.25800000000004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750.62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687.495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759.87400000000002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696.13599999999997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753.79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689.44500000000005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766.18899999999996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701.24199999999996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763.06700000000001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697.52499999999998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772.34400000000005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706.21100000000001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766.28099999999995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699.56399999999996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778.702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711.40499999999997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775.6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707.72699999999998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784.89700000000005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716.45299999999997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54296875" style="1" customWidth="1"/>
    <col min="14" max="15" width="9.1796875" style="1"/>
    <col min="16" max="16" width="18.81640625" style="1" customWidth="1"/>
    <col min="17" max="16384" width="9.1796875" style="1"/>
  </cols>
  <sheetData>
    <row r="1" spans="1:30" ht="13" thickTop="1" thickBot="1" x14ac:dyDescent="0.35">
      <c r="A1" s="33" t="s">
        <v>10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4">
        <v>593.72386449794078</v>
      </c>
      <c r="M3" s="44">
        <v>555.55320000490667</v>
      </c>
      <c r="N3" s="44">
        <v>631.89452899097489</v>
      </c>
      <c r="O3" s="1">
        <f t="shared" ref="O3:O34" si="0">ROUND(M3,3)</f>
        <v>555.553</v>
      </c>
      <c r="P3" s="1">
        <f t="shared" ref="P3:P34" si="1">ROUND(L3,3)</f>
        <v>593.72400000000005</v>
      </c>
      <c r="Q3" s="1">
        <f t="shared" ref="Q3:Q34" si="2">ROUND(N3,3)</f>
        <v>631.89499999999998</v>
      </c>
      <c r="R3" s="14" t="str">
        <f>K3</f>
        <v>2022Q1</v>
      </c>
      <c r="S3" s="59">
        <v>4289.1492215500857</v>
      </c>
      <c r="T3" s="59">
        <v>3891.7767035468755</v>
      </c>
      <c r="U3" s="59">
        <v>4686.5217395532964</v>
      </c>
      <c r="V3" s="1">
        <f t="shared" ref="V3:V34" si="3">ROUND(T3,3)</f>
        <v>3891.777</v>
      </c>
      <c r="W3" s="1">
        <f t="shared" ref="W3:W34" si="4">ROUND(S3,3)</f>
        <v>4289.1490000000003</v>
      </c>
      <c r="X3" s="1">
        <f t="shared" ref="X3:X34" si="5">ROUND(U3,3)</f>
        <v>4686.5219999999999</v>
      </c>
    </row>
    <row r="4" spans="1:30" ht="15.5" thickTop="1" thickBot="1" x14ac:dyDescent="0.4">
      <c r="A4" s="5" t="str">
        <f>K3</f>
        <v>2022Q1</v>
      </c>
      <c r="B4" s="2">
        <f>O3</f>
        <v>555.553</v>
      </c>
      <c r="C4" s="3">
        <f>P3</f>
        <v>593.72400000000005</v>
      </c>
      <c r="D4" s="2">
        <f>Q3</f>
        <v>631.89499999999998</v>
      </c>
      <c r="E4" s="2">
        <f>V3</f>
        <v>3891.777</v>
      </c>
      <c r="F4" s="3">
        <f>W3</f>
        <v>4289.1490000000003</v>
      </c>
      <c r="G4" s="2">
        <f>X3</f>
        <v>4686.5219999999999</v>
      </c>
      <c r="K4" s="14" t="s">
        <v>68</v>
      </c>
      <c r="L4" s="44">
        <v>624.59131334246842</v>
      </c>
      <c r="M4" s="44">
        <v>568.12809826777118</v>
      </c>
      <c r="N4" s="44">
        <v>681.05452841716567</v>
      </c>
      <c r="O4" s="1">
        <f t="shared" si="0"/>
        <v>568.12800000000004</v>
      </c>
      <c r="P4" s="1">
        <f t="shared" si="1"/>
        <v>624.59100000000001</v>
      </c>
      <c r="Q4" s="1">
        <f t="shared" si="2"/>
        <v>681.05499999999995</v>
      </c>
      <c r="R4" s="14" t="str">
        <f t="shared" ref="R4:R34" si="6">K4</f>
        <v>2022Q2</v>
      </c>
      <c r="S4" s="59">
        <v>4327.045940723533</v>
      </c>
      <c r="T4" s="59">
        <v>3692.8908290957011</v>
      </c>
      <c r="U4" s="59">
        <v>4961.2010523513654</v>
      </c>
      <c r="V4" s="1">
        <f t="shared" si="3"/>
        <v>3692.8910000000001</v>
      </c>
      <c r="W4" s="1">
        <f t="shared" si="4"/>
        <v>4327.0460000000003</v>
      </c>
      <c r="X4" s="1">
        <f t="shared" si="5"/>
        <v>4961.201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568.12800000000004</v>
      </c>
      <c r="C5" s="3">
        <f t="shared" si="8"/>
        <v>624.59100000000001</v>
      </c>
      <c r="D5" s="2">
        <f t="shared" si="8"/>
        <v>681.05499999999995</v>
      </c>
      <c r="E5" s="2">
        <f t="shared" ref="E5:G20" si="9">V4</f>
        <v>3692.8910000000001</v>
      </c>
      <c r="F5" s="3">
        <f t="shared" si="9"/>
        <v>4327.0460000000003</v>
      </c>
      <c r="G5" s="2">
        <f t="shared" si="9"/>
        <v>4961.201</v>
      </c>
      <c r="I5" s="1">
        <f>SUM(F5:F8)</f>
        <v>17459.784</v>
      </c>
      <c r="K5" s="14" t="s">
        <v>69</v>
      </c>
      <c r="L5" s="44">
        <v>621.76383150325069</v>
      </c>
      <c r="M5" s="44">
        <v>552.27411467216461</v>
      </c>
      <c r="N5" s="44">
        <v>691.25354833433676</v>
      </c>
      <c r="O5" s="1">
        <f t="shared" si="0"/>
        <v>552.274</v>
      </c>
      <c r="P5" s="1">
        <f t="shared" si="1"/>
        <v>621.76400000000001</v>
      </c>
      <c r="Q5" s="1">
        <f t="shared" si="2"/>
        <v>691.25400000000002</v>
      </c>
      <c r="R5" s="14" t="str">
        <f t="shared" si="6"/>
        <v>2022Q3</v>
      </c>
      <c r="S5" s="59">
        <v>4366.0281509473334</v>
      </c>
      <c r="T5" s="59">
        <v>3596.3496433517571</v>
      </c>
      <c r="U5" s="59">
        <v>5135.7066585429102</v>
      </c>
      <c r="V5" s="1">
        <f t="shared" si="3"/>
        <v>3596.35</v>
      </c>
      <c r="W5" s="1">
        <f t="shared" si="4"/>
        <v>4366.0280000000002</v>
      </c>
      <c r="X5" s="1">
        <f t="shared" si="5"/>
        <v>5135.7070000000003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552.274</v>
      </c>
      <c r="C6" s="3">
        <f t="shared" si="8"/>
        <v>621.76400000000001</v>
      </c>
      <c r="D6" s="2">
        <f t="shared" si="8"/>
        <v>691.25400000000002</v>
      </c>
      <c r="E6" s="2">
        <f t="shared" si="9"/>
        <v>3596.35</v>
      </c>
      <c r="F6" s="3">
        <f t="shared" si="9"/>
        <v>4366.0280000000002</v>
      </c>
      <c r="G6" s="2">
        <f t="shared" si="9"/>
        <v>5135.7070000000003</v>
      </c>
      <c r="I6" s="1">
        <f>SUM(F9:F12)</f>
        <v>17990.409</v>
      </c>
      <c r="K6" s="14" t="s">
        <v>70</v>
      </c>
      <c r="L6" s="44">
        <v>623.82420048956976</v>
      </c>
      <c r="M6" s="44">
        <v>543.92491729941821</v>
      </c>
      <c r="N6" s="44">
        <v>703.72348367972131</v>
      </c>
      <c r="O6" s="1">
        <f t="shared" si="0"/>
        <v>543.92499999999995</v>
      </c>
      <c r="P6" s="1">
        <f t="shared" si="1"/>
        <v>623.82399999999996</v>
      </c>
      <c r="Q6" s="1">
        <f t="shared" si="2"/>
        <v>703.72299999999996</v>
      </c>
      <c r="R6" s="14" t="str">
        <f t="shared" si="6"/>
        <v>2022Q4</v>
      </c>
      <c r="S6" s="59">
        <v>4382.2268223699321</v>
      </c>
      <c r="T6" s="59">
        <v>3479.892758813688</v>
      </c>
      <c r="U6" s="59">
        <v>5284.5608859261765</v>
      </c>
      <c r="V6" s="1">
        <f t="shared" si="3"/>
        <v>3479.893</v>
      </c>
      <c r="W6" s="1">
        <f t="shared" si="4"/>
        <v>4382.2269999999999</v>
      </c>
      <c r="X6" s="1">
        <f t="shared" si="5"/>
        <v>5284.5609999999997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543.92499999999995</v>
      </c>
      <c r="C7" s="3">
        <f t="shared" si="8"/>
        <v>623.82399999999996</v>
      </c>
      <c r="D7" s="2">
        <f t="shared" si="8"/>
        <v>703.72299999999996</v>
      </c>
      <c r="E7" s="2">
        <f t="shared" si="9"/>
        <v>3479.893</v>
      </c>
      <c r="F7" s="3">
        <f t="shared" si="9"/>
        <v>4382.2269999999999</v>
      </c>
      <c r="G7" s="2">
        <f t="shared" si="9"/>
        <v>5284.5609999999997</v>
      </c>
      <c r="I7" s="1">
        <f>SUM(F13:F16)</f>
        <v>18511.225999999999</v>
      </c>
      <c r="K7" s="14" t="s">
        <v>71</v>
      </c>
      <c r="L7" s="44">
        <v>588.91003129614444</v>
      </c>
      <c r="M7" s="44">
        <v>500.26585454630333</v>
      </c>
      <c r="N7" s="44">
        <v>677.55420804598555</v>
      </c>
      <c r="O7" s="1">
        <f t="shared" si="0"/>
        <v>500.26600000000002</v>
      </c>
      <c r="P7" s="1">
        <f t="shared" si="1"/>
        <v>588.91</v>
      </c>
      <c r="Q7" s="1">
        <f t="shared" si="2"/>
        <v>677.55399999999997</v>
      </c>
      <c r="R7" s="14" t="str">
        <f t="shared" si="6"/>
        <v>2023Q1</v>
      </c>
      <c r="S7" s="59">
        <v>4384.4831230203081</v>
      </c>
      <c r="T7" s="59">
        <v>3376.1125738628775</v>
      </c>
      <c r="U7" s="59">
        <v>5392.8536721777391</v>
      </c>
      <c r="V7" s="1">
        <f t="shared" si="3"/>
        <v>3376.1129999999998</v>
      </c>
      <c r="W7" s="1">
        <f t="shared" si="4"/>
        <v>4384.4830000000002</v>
      </c>
      <c r="X7" s="1">
        <f t="shared" si="5"/>
        <v>5392.8540000000003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500.26600000000002</v>
      </c>
      <c r="C8" s="3">
        <f t="shared" si="8"/>
        <v>588.91</v>
      </c>
      <c r="D8" s="2">
        <f t="shared" si="8"/>
        <v>677.55399999999997</v>
      </c>
      <c r="E8" s="2">
        <f t="shared" si="9"/>
        <v>3376.1129999999998</v>
      </c>
      <c r="F8" s="3">
        <f t="shared" si="9"/>
        <v>4384.4830000000002</v>
      </c>
      <c r="G8" s="2">
        <f t="shared" si="9"/>
        <v>5392.8540000000003</v>
      </c>
      <c r="I8" s="1">
        <f>SUM(F17:F20)</f>
        <v>19030.775000000001</v>
      </c>
      <c r="K8" s="14" t="s">
        <v>72</v>
      </c>
      <c r="L8" s="44">
        <v>619.99270731117315</v>
      </c>
      <c r="M8" s="44">
        <v>523.7911352390181</v>
      </c>
      <c r="N8" s="44">
        <v>716.19427938332819</v>
      </c>
      <c r="O8" s="1">
        <f t="shared" si="0"/>
        <v>523.79100000000005</v>
      </c>
      <c r="P8" s="1">
        <f t="shared" si="1"/>
        <v>619.99300000000005</v>
      </c>
      <c r="Q8" s="1">
        <f t="shared" si="2"/>
        <v>716.19399999999996</v>
      </c>
      <c r="R8" s="14" t="str">
        <f t="shared" si="6"/>
        <v>2023Q2</v>
      </c>
      <c r="S8" s="59">
        <v>4477.5658377942937</v>
      </c>
      <c r="T8" s="59">
        <v>3368.1444616596837</v>
      </c>
      <c r="U8" s="59">
        <v>5586.9872139289037</v>
      </c>
      <c r="V8" s="1">
        <f t="shared" si="3"/>
        <v>3368.1439999999998</v>
      </c>
      <c r="W8" s="1">
        <f t="shared" si="4"/>
        <v>4477.5659999999998</v>
      </c>
      <c r="X8" s="1">
        <f t="shared" si="5"/>
        <v>5586.9870000000001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523.79100000000005</v>
      </c>
      <c r="C9" s="3">
        <f t="shared" si="8"/>
        <v>619.99300000000005</v>
      </c>
      <c r="D9" s="2">
        <f t="shared" si="8"/>
        <v>716.19399999999996</v>
      </c>
      <c r="E9" s="2">
        <f t="shared" si="9"/>
        <v>3368.1439999999998</v>
      </c>
      <c r="F9" s="3">
        <f t="shared" si="9"/>
        <v>4477.5659999999998</v>
      </c>
      <c r="G9" s="2">
        <f t="shared" si="9"/>
        <v>5586.9870000000001</v>
      </c>
      <c r="I9" s="1">
        <f>SUM(F21:F24)</f>
        <v>19550.163</v>
      </c>
      <c r="K9" s="14" t="s">
        <v>73</v>
      </c>
      <c r="L9" s="44">
        <v>617.3747595586882</v>
      </c>
      <c r="M9" s="44">
        <v>514.52161528224121</v>
      </c>
      <c r="N9" s="44">
        <v>720.22790383513518</v>
      </c>
      <c r="O9" s="1">
        <f t="shared" si="0"/>
        <v>514.52200000000005</v>
      </c>
      <c r="P9" s="1">
        <f t="shared" si="1"/>
        <v>617.375</v>
      </c>
      <c r="Q9" s="1">
        <f t="shared" si="2"/>
        <v>720.22799999999995</v>
      </c>
      <c r="R9" s="14" t="str">
        <f t="shared" si="6"/>
        <v>2023Q3</v>
      </c>
      <c r="S9" s="59">
        <v>4483.4763232882651</v>
      </c>
      <c r="T9" s="59">
        <v>3284.330354899927</v>
      </c>
      <c r="U9" s="59">
        <v>5682.6222916766037</v>
      </c>
      <c r="V9" s="1">
        <f t="shared" si="3"/>
        <v>3284.33</v>
      </c>
      <c r="W9" s="1">
        <f t="shared" si="4"/>
        <v>4483.4759999999997</v>
      </c>
      <c r="X9" s="1">
        <f t="shared" si="5"/>
        <v>5682.6220000000003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514.52200000000005</v>
      </c>
      <c r="C10" s="3">
        <f t="shared" si="8"/>
        <v>617.375</v>
      </c>
      <c r="D10" s="2">
        <f t="shared" si="8"/>
        <v>720.22799999999995</v>
      </c>
      <c r="E10" s="2">
        <f t="shared" si="9"/>
        <v>3284.33</v>
      </c>
      <c r="F10" s="3">
        <f t="shared" si="9"/>
        <v>4483.4759999999997</v>
      </c>
      <c r="G10" s="2">
        <f t="shared" si="9"/>
        <v>5682.6220000000003</v>
      </c>
      <c r="I10" s="1">
        <f>SUM(F25:F28)</f>
        <v>20069.527999999998</v>
      </c>
      <c r="K10" s="14" t="s">
        <v>74</v>
      </c>
      <c r="L10" s="44">
        <v>619.63912013863774</v>
      </c>
      <c r="M10" s="44">
        <v>510.85641247996381</v>
      </c>
      <c r="N10" s="44">
        <v>728.42182779731161</v>
      </c>
      <c r="O10" s="1">
        <f t="shared" si="0"/>
        <v>510.85599999999999</v>
      </c>
      <c r="P10" s="1">
        <f t="shared" si="1"/>
        <v>619.63900000000001</v>
      </c>
      <c r="Q10" s="1">
        <f t="shared" si="2"/>
        <v>728.42200000000003</v>
      </c>
      <c r="R10" s="14" t="str">
        <f t="shared" si="6"/>
        <v>2023Q4</v>
      </c>
      <c r="S10" s="59">
        <v>4519.49413477898</v>
      </c>
      <c r="T10" s="59">
        <v>3235.2863960452482</v>
      </c>
      <c r="U10" s="59">
        <v>5803.7018735127122</v>
      </c>
      <c r="V10" s="1">
        <f t="shared" si="3"/>
        <v>3235.2860000000001</v>
      </c>
      <c r="W10" s="1">
        <f t="shared" si="4"/>
        <v>4519.4939999999997</v>
      </c>
      <c r="X10" s="1">
        <f t="shared" si="5"/>
        <v>5803.7020000000002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510.85599999999999</v>
      </c>
      <c r="C11" s="3">
        <f t="shared" si="8"/>
        <v>619.63900000000001</v>
      </c>
      <c r="D11" s="2">
        <f t="shared" si="8"/>
        <v>728.42200000000003</v>
      </c>
      <c r="E11" s="2">
        <f t="shared" si="9"/>
        <v>3235.2860000000001</v>
      </c>
      <c r="F11" s="3">
        <f t="shared" si="9"/>
        <v>4519.4939999999997</v>
      </c>
      <c r="G11" s="2">
        <f t="shared" si="9"/>
        <v>5803.7020000000002</v>
      </c>
      <c r="I11" s="1">
        <f>SUM(F29:F32)</f>
        <v>20588.890999999996</v>
      </c>
      <c r="K11" s="14" t="s">
        <v>75</v>
      </c>
      <c r="L11" s="44">
        <v>584.92354665305481</v>
      </c>
      <c r="M11" s="44">
        <v>470.8048571850054</v>
      </c>
      <c r="N11" s="44">
        <v>699.04223612110422</v>
      </c>
      <c r="O11" s="1">
        <f t="shared" si="0"/>
        <v>470.80500000000001</v>
      </c>
      <c r="P11" s="1">
        <f t="shared" si="1"/>
        <v>584.92399999999998</v>
      </c>
      <c r="Q11" s="1">
        <f t="shared" si="2"/>
        <v>699.04200000000003</v>
      </c>
      <c r="R11" s="14" t="str">
        <f t="shared" si="6"/>
        <v>2024Q1</v>
      </c>
      <c r="S11" s="59">
        <v>4509.8732709860587</v>
      </c>
      <c r="T11" s="59">
        <v>3146.8016690263225</v>
      </c>
      <c r="U11" s="59">
        <v>5872.9448729457954</v>
      </c>
      <c r="V11" s="1">
        <f t="shared" si="3"/>
        <v>3146.8020000000001</v>
      </c>
      <c r="W11" s="1">
        <f t="shared" si="4"/>
        <v>4509.8729999999996</v>
      </c>
      <c r="X11" s="1">
        <f t="shared" si="5"/>
        <v>5872.9449999999997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470.80500000000001</v>
      </c>
      <c r="C12" s="3">
        <f t="shared" si="8"/>
        <v>584.92399999999998</v>
      </c>
      <c r="D12" s="2">
        <f t="shared" si="8"/>
        <v>699.04200000000003</v>
      </c>
      <c r="E12" s="2">
        <f t="shared" si="9"/>
        <v>3146.8020000000001</v>
      </c>
      <c r="F12" s="3">
        <f t="shared" si="9"/>
        <v>4509.8729999999996</v>
      </c>
      <c r="G12" s="2">
        <f t="shared" si="9"/>
        <v>5872.9449999999997</v>
      </c>
      <c r="K12" s="14" t="s">
        <v>76</v>
      </c>
      <c r="L12" s="44">
        <v>616.19956521946744</v>
      </c>
      <c r="M12" s="44">
        <v>497.24418471869495</v>
      </c>
      <c r="N12" s="44">
        <v>735.15494572023988</v>
      </c>
      <c r="O12" s="1">
        <f t="shared" si="0"/>
        <v>497.24400000000003</v>
      </c>
      <c r="P12" s="1">
        <f t="shared" si="1"/>
        <v>616.20000000000005</v>
      </c>
      <c r="Q12" s="1">
        <f t="shared" si="2"/>
        <v>735.15499999999997</v>
      </c>
      <c r="R12" s="14" t="str">
        <f t="shared" si="6"/>
        <v>2024Q2</v>
      </c>
      <c r="S12" s="59">
        <v>4610.0737030135833</v>
      </c>
      <c r="T12" s="59">
        <v>3171.9451883933707</v>
      </c>
      <c r="U12" s="59">
        <v>6048.202217633796</v>
      </c>
      <c r="V12" s="1">
        <f t="shared" si="3"/>
        <v>3171.9450000000002</v>
      </c>
      <c r="W12" s="1">
        <f t="shared" si="4"/>
        <v>4610.0739999999996</v>
      </c>
      <c r="X12" s="1">
        <f t="shared" si="5"/>
        <v>6048.2020000000002</v>
      </c>
    </row>
    <row r="13" spans="1:30" ht="15.5" thickTop="1" thickBot="1" x14ac:dyDescent="0.4">
      <c r="A13" s="5" t="str">
        <f t="shared" si="7"/>
        <v>2024Q2</v>
      </c>
      <c r="B13" s="2">
        <f t="shared" si="8"/>
        <v>497.24400000000003</v>
      </c>
      <c r="C13" s="3">
        <f t="shared" si="8"/>
        <v>616.20000000000005</v>
      </c>
      <c r="D13" s="2">
        <f t="shared" si="8"/>
        <v>735.15499999999997</v>
      </c>
      <c r="E13" s="2">
        <f t="shared" si="9"/>
        <v>3171.9450000000002</v>
      </c>
      <c r="F13" s="3">
        <f t="shared" si="9"/>
        <v>4610.0739999999996</v>
      </c>
      <c r="G13" s="2">
        <f t="shared" si="9"/>
        <v>6048.2020000000002</v>
      </c>
      <c r="K13" s="14" t="s">
        <v>77</v>
      </c>
      <c r="L13" s="44">
        <v>613.76984581583201</v>
      </c>
      <c r="M13" s="44">
        <v>490.40518065041499</v>
      </c>
      <c r="N13" s="44">
        <v>737.13451098124904</v>
      </c>
      <c r="O13" s="1">
        <f t="shared" si="0"/>
        <v>490.40499999999997</v>
      </c>
      <c r="P13" s="1">
        <f t="shared" si="1"/>
        <v>613.77</v>
      </c>
      <c r="Q13" s="1">
        <f t="shared" si="2"/>
        <v>737.13499999999999</v>
      </c>
      <c r="R13" s="14" t="str">
        <f t="shared" si="6"/>
        <v>2024Q3</v>
      </c>
      <c r="S13" s="59">
        <v>4611.7187008027086</v>
      </c>
      <c r="T13" s="59">
        <v>3102.5538173735613</v>
      </c>
      <c r="U13" s="59">
        <v>6120.8835842318567</v>
      </c>
      <c r="V13" s="1">
        <f t="shared" si="3"/>
        <v>3102.5540000000001</v>
      </c>
      <c r="W13" s="1">
        <f t="shared" si="4"/>
        <v>4611.7190000000001</v>
      </c>
      <c r="X13" s="1">
        <f t="shared" si="5"/>
        <v>6120.884</v>
      </c>
    </row>
    <row r="14" spans="1:30" ht="15.5" thickTop="1" thickBot="1" x14ac:dyDescent="0.4">
      <c r="A14" s="5" t="str">
        <f t="shared" si="7"/>
        <v>2024Q3</v>
      </c>
      <c r="B14" s="2">
        <f t="shared" si="8"/>
        <v>490.40499999999997</v>
      </c>
      <c r="C14" s="3">
        <f t="shared" si="8"/>
        <v>613.77</v>
      </c>
      <c r="D14" s="2">
        <f t="shared" si="8"/>
        <v>737.13499999999999</v>
      </c>
      <c r="E14" s="2">
        <f t="shared" si="9"/>
        <v>3102.5540000000001</v>
      </c>
      <c r="F14" s="3">
        <f t="shared" si="9"/>
        <v>4611.7190000000001</v>
      </c>
      <c r="G14" s="2">
        <f t="shared" si="9"/>
        <v>6120.884</v>
      </c>
      <c r="K14" s="14" t="s">
        <v>82</v>
      </c>
      <c r="L14" s="44">
        <v>616.21745582047799</v>
      </c>
      <c r="M14" s="44">
        <v>488.81446686555205</v>
      </c>
      <c r="N14" s="44">
        <v>743.62044477540394</v>
      </c>
      <c r="O14" s="1">
        <f t="shared" si="0"/>
        <v>488.81400000000002</v>
      </c>
      <c r="P14" s="1">
        <f t="shared" si="1"/>
        <v>616.21699999999998</v>
      </c>
      <c r="Q14" s="1">
        <f t="shared" si="2"/>
        <v>743.62</v>
      </c>
      <c r="R14" s="14" t="str">
        <f t="shared" si="6"/>
        <v>2024Q4</v>
      </c>
      <c r="S14" s="59">
        <v>4650.2927230435971</v>
      </c>
      <c r="T14" s="59">
        <v>3073.1201103036578</v>
      </c>
      <c r="U14" s="59">
        <v>6227.4653357835368</v>
      </c>
      <c r="V14" s="1">
        <f t="shared" si="3"/>
        <v>3073.12</v>
      </c>
      <c r="W14" s="1">
        <f t="shared" si="4"/>
        <v>4650.2929999999997</v>
      </c>
      <c r="X14" s="1">
        <f t="shared" si="5"/>
        <v>6227.4650000000001</v>
      </c>
    </row>
    <row r="15" spans="1:30" ht="15.5" thickTop="1" thickBot="1" x14ac:dyDescent="0.4">
      <c r="A15" s="5" t="str">
        <f t="shared" si="7"/>
        <v>2024Q4</v>
      </c>
      <c r="B15" s="2">
        <f t="shared" si="8"/>
        <v>488.81400000000002</v>
      </c>
      <c r="C15" s="3">
        <f t="shared" si="8"/>
        <v>616.21699999999998</v>
      </c>
      <c r="D15" s="2">
        <f t="shared" si="8"/>
        <v>743.62</v>
      </c>
      <c r="E15" s="2">
        <f t="shared" si="9"/>
        <v>3073.12</v>
      </c>
      <c r="F15" s="3">
        <f t="shared" si="9"/>
        <v>4650.2929999999997</v>
      </c>
      <c r="G15" s="2">
        <f t="shared" si="9"/>
        <v>6227.4650000000001</v>
      </c>
      <c r="K15" s="14" t="s">
        <v>79</v>
      </c>
      <c r="L15" s="44">
        <v>581.6802845355038</v>
      </c>
      <c r="M15" s="44">
        <v>450.5645446352255</v>
      </c>
      <c r="N15" s="44">
        <v>712.7960244357821</v>
      </c>
      <c r="O15" s="1">
        <f t="shared" si="0"/>
        <v>450.565</v>
      </c>
      <c r="P15" s="1">
        <f t="shared" si="1"/>
        <v>581.67999999999995</v>
      </c>
      <c r="Q15" s="1">
        <f t="shared" si="2"/>
        <v>712.79600000000005</v>
      </c>
      <c r="R15" s="14" t="str">
        <f t="shared" si="6"/>
        <v>2025Q1</v>
      </c>
      <c r="S15" s="59">
        <v>4639.1399796975165</v>
      </c>
      <c r="T15" s="59">
        <v>2996.8699996822734</v>
      </c>
      <c r="U15" s="59">
        <v>6281.4099597127606</v>
      </c>
      <c r="V15" s="1">
        <f t="shared" si="3"/>
        <v>2996.87</v>
      </c>
      <c r="W15" s="1">
        <f t="shared" si="4"/>
        <v>4639.1400000000003</v>
      </c>
      <c r="X15" s="1">
        <f t="shared" si="5"/>
        <v>6281.41</v>
      </c>
    </row>
    <row r="16" spans="1:30" ht="15.5" thickTop="1" thickBot="1" x14ac:dyDescent="0.4">
      <c r="A16" s="5" t="str">
        <f t="shared" si="7"/>
        <v>2025Q1</v>
      </c>
      <c r="B16" s="2">
        <f t="shared" si="8"/>
        <v>450.565</v>
      </c>
      <c r="C16" s="3">
        <f t="shared" si="8"/>
        <v>581.67999999999995</v>
      </c>
      <c r="D16" s="2">
        <f t="shared" si="8"/>
        <v>712.79600000000005</v>
      </c>
      <c r="E16" s="2">
        <f t="shared" si="9"/>
        <v>2996.87</v>
      </c>
      <c r="F16" s="3">
        <f t="shared" si="9"/>
        <v>4639.1400000000003</v>
      </c>
      <c r="G16" s="2">
        <f t="shared" si="9"/>
        <v>6281.41</v>
      </c>
      <c r="K16" s="14" t="s">
        <v>80</v>
      </c>
      <c r="L16" s="44">
        <v>613.1299862948365</v>
      </c>
      <c r="M16" s="44">
        <v>478.58985353565288</v>
      </c>
      <c r="N16" s="44">
        <v>747.67011905402012</v>
      </c>
      <c r="O16" s="1">
        <f t="shared" si="0"/>
        <v>478.59</v>
      </c>
      <c r="P16" s="1">
        <f t="shared" si="1"/>
        <v>613.13</v>
      </c>
      <c r="Q16" s="1">
        <f t="shared" si="2"/>
        <v>747.67</v>
      </c>
      <c r="R16" s="14" t="str">
        <f t="shared" si="6"/>
        <v>2025Q2</v>
      </c>
      <c r="S16" s="59">
        <v>4740.2584326531778</v>
      </c>
      <c r="T16" s="59">
        <v>3035.3190769287776</v>
      </c>
      <c r="U16" s="59">
        <v>6445.197788377578</v>
      </c>
      <c r="V16" s="1">
        <f t="shared" si="3"/>
        <v>3035.319</v>
      </c>
      <c r="W16" s="1">
        <f t="shared" si="4"/>
        <v>4740.2579999999998</v>
      </c>
      <c r="X16" s="1">
        <f t="shared" si="5"/>
        <v>6445.1980000000003</v>
      </c>
    </row>
    <row r="17" spans="1:24" ht="15.5" thickTop="1" thickBot="1" x14ac:dyDescent="0.4">
      <c r="A17" s="5" t="str">
        <f t="shared" si="7"/>
        <v>2025Q2</v>
      </c>
      <c r="B17" s="2">
        <f t="shared" si="8"/>
        <v>478.59</v>
      </c>
      <c r="C17" s="3">
        <f t="shared" si="8"/>
        <v>613.13</v>
      </c>
      <c r="D17" s="2">
        <f t="shared" si="8"/>
        <v>747.67</v>
      </c>
      <c r="E17" s="2">
        <f t="shared" si="9"/>
        <v>3035.319</v>
      </c>
      <c r="F17" s="3">
        <f t="shared" si="9"/>
        <v>4740.2579999999998</v>
      </c>
      <c r="G17" s="2">
        <f t="shared" si="9"/>
        <v>6445.1980000000003</v>
      </c>
      <c r="K17" s="14" t="s">
        <v>81</v>
      </c>
      <c r="L17" s="44">
        <v>610.8693559013135</v>
      </c>
      <c r="M17" s="44">
        <v>473.16217564885687</v>
      </c>
      <c r="N17" s="44">
        <v>748.57653615377012</v>
      </c>
      <c r="O17" s="1">
        <f t="shared" si="0"/>
        <v>473.16199999999998</v>
      </c>
      <c r="P17" s="1">
        <f t="shared" si="1"/>
        <v>610.86900000000003</v>
      </c>
      <c r="Q17" s="1">
        <f t="shared" si="2"/>
        <v>748.577</v>
      </c>
      <c r="R17" s="14" t="str">
        <f t="shared" si="6"/>
        <v>2025Q3</v>
      </c>
      <c r="S17" s="59">
        <v>4741.3532811679961</v>
      </c>
      <c r="T17" s="59">
        <v>2976.0001483027431</v>
      </c>
      <c r="U17" s="59">
        <v>6506.7064140332495</v>
      </c>
      <c r="V17" s="1">
        <f t="shared" si="3"/>
        <v>2976</v>
      </c>
      <c r="W17" s="1">
        <f t="shared" si="4"/>
        <v>4741.3530000000001</v>
      </c>
      <c r="X17" s="1">
        <f t="shared" si="5"/>
        <v>6506.7060000000001</v>
      </c>
    </row>
    <row r="18" spans="1:24" ht="15.5" thickTop="1" thickBot="1" x14ac:dyDescent="0.4">
      <c r="A18" s="5" t="str">
        <f t="shared" si="7"/>
        <v>2025Q3</v>
      </c>
      <c r="B18" s="2">
        <f t="shared" si="8"/>
        <v>473.16199999999998</v>
      </c>
      <c r="C18" s="3">
        <f t="shared" si="8"/>
        <v>610.86900000000003</v>
      </c>
      <c r="D18" s="2">
        <f t="shared" si="8"/>
        <v>748.577</v>
      </c>
      <c r="E18" s="2">
        <f t="shared" si="9"/>
        <v>2976</v>
      </c>
      <c r="F18" s="3">
        <f t="shared" si="9"/>
        <v>4741.3530000000001</v>
      </c>
      <c r="G18" s="2">
        <f t="shared" si="9"/>
        <v>6506.7060000000001</v>
      </c>
      <c r="K18" s="14" t="s">
        <v>78</v>
      </c>
      <c r="L18" s="44">
        <v>613.48158225633983</v>
      </c>
      <c r="M18" s="44">
        <v>472.83849891499631</v>
      </c>
      <c r="N18" s="44">
        <v>754.12466559768336</v>
      </c>
      <c r="O18" s="1">
        <f t="shared" si="0"/>
        <v>472.83800000000002</v>
      </c>
      <c r="P18" s="1">
        <f t="shared" si="1"/>
        <v>613.48199999999997</v>
      </c>
      <c r="Q18" s="1">
        <f t="shared" si="2"/>
        <v>754.125</v>
      </c>
      <c r="R18" s="14" t="str">
        <f t="shared" si="6"/>
        <v>2025Q4</v>
      </c>
      <c r="S18" s="59">
        <v>4780.2569954831552</v>
      </c>
      <c r="T18" s="59">
        <v>2956.4715091751873</v>
      </c>
      <c r="U18" s="59">
        <v>6604.0424817911235</v>
      </c>
      <c r="V18" s="1">
        <f t="shared" si="3"/>
        <v>2956.4720000000002</v>
      </c>
      <c r="W18" s="1">
        <f t="shared" si="4"/>
        <v>4780.2569999999996</v>
      </c>
      <c r="X18" s="1">
        <f t="shared" si="5"/>
        <v>6604.0420000000004</v>
      </c>
    </row>
    <row r="19" spans="1:24" ht="15.5" thickTop="1" thickBot="1" x14ac:dyDescent="0.4">
      <c r="A19" s="5" t="str">
        <f t="shared" si="7"/>
        <v>2025Q4</v>
      </c>
      <c r="B19" s="2">
        <f t="shared" si="8"/>
        <v>472.83800000000002</v>
      </c>
      <c r="C19" s="3">
        <f t="shared" si="8"/>
        <v>613.48199999999997</v>
      </c>
      <c r="D19" s="2">
        <f t="shared" si="8"/>
        <v>754.125</v>
      </c>
      <c r="E19" s="2">
        <f t="shared" si="9"/>
        <v>2956.4720000000002</v>
      </c>
      <c r="F19" s="3">
        <f t="shared" si="9"/>
        <v>4780.2569999999996</v>
      </c>
      <c r="G19" s="2">
        <f t="shared" si="9"/>
        <v>6604.0420000000004</v>
      </c>
      <c r="K19" s="14" t="s">
        <v>90</v>
      </c>
      <c r="L19" s="44">
        <v>579.1046729706195</v>
      </c>
      <c r="M19" s="44">
        <v>435.73443466628464</v>
      </c>
      <c r="N19" s="44">
        <v>722.47491127495437</v>
      </c>
      <c r="O19" s="1">
        <f t="shared" si="0"/>
        <v>435.73399999999998</v>
      </c>
      <c r="P19" s="1">
        <f t="shared" si="1"/>
        <v>579.10500000000002</v>
      </c>
      <c r="Q19" s="1">
        <f t="shared" si="2"/>
        <v>722.47500000000002</v>
      </c>
      <c r="R19" s="14" t="str">
        <f t="shared" si="6"/>
        <v>2026Q1</v>
      </c>
      <c r="S19" s="59">
        <v>4768.9066750995089</v>
      </c>
      <c r="T19" s="59">
        <v>2888.5145987339852</v>
      </c>
      <c r="U19" s="59">
        <v>6649.2987514650331</v>
      </c>
      <c r="V19" s="1">
        <f t="shared" si="3"/>
        <v>2888.5149999999999</v>
      </c>
      <c r="W19" s="1">
        <f t="shared" si="4"/>
        <v>4768.9070000000002</v>
      </c>
      <c r="X19" s="1">
        <f t="shared" si="5"/>
        <v>6649.299</v>
      </c>
    </row>
    <row r="20" spans="1:24" ht="15.5" thickTop="1" thickBot="1" x14ac:dyDescent="0.4">
      <c r="A20" s="5" t="str">
        <f t="shared" si="7"/>
        <v>2026Q1</v>
      </c>
      <c r="B20" s="2">
        <f t="shared" si="8"/>
        <v>435.73399999999998</v>
      </c>
      <c r="C20" s="3">
        <f t="shared" si="8"/>
        <v>579.10500000000002</v>
      </c>
      <c r="D20" s="2">
        <f t="shared" si="8"/>
        <v>722.47500000000002</v>
      </c>
      <c r="E20" s="2">
        <f t="shared" si="9"/>
        <v>2888.5149999999999</v>
      </c>
      <c r="F20" s="3">
        <f t="shared" si="9"/>
        <v>4768.9070000000002</v>
      </c>
      <c r="G20" s="2">
        <f t="shared" si="9"/>
        <v>6649.299</v>
      </c>
      <c r="K20" s="14" t="s">
        <v>91</v>
      </c>
      <c r="L20" s="44">
        <v>610.71039755724428</v>
      </c>
      <c r="M20" s="44">
        <v>464.802414356057</v>
      </c>
      <c r="N20" s="44">
        <v>756.6183807584315</v>
      </c>
      <c r="O20" s="1">
        <f t="shared" si="0"/>
        <v>464.80200000000002</v>
      </c>
      <c r="P20" s="1">
        <f t="shared" si="1"/>
        <v>610.71</v>
      </c>
      <c r="Q20" s="1">
        <f t="shared" si="2"/>
        <v>756.61800000000005</v>
      </c>
      <c r="R20" s="14" t="str">
        <f t="shared" si="6"/>
        <v>2026Q2</v>
      </c>
      <c r="S20" s="59">
        <v>4870.1435315256185</v>
      </c>
      <c r="T20" s="59">
        <v>2934.7934947328936</v>
      </c>
      <c r="U20" s="59">
        <v>6805.4935683183439</v>
      </c>
      <c r="V20" s="1">
        <f t="shared" si="3"/>
        <v>2934.7930000000001</v>
      </c>
      <c r="W20" s="1">
        <f t="shared" si="4"/>
        <v>4870.1440000000002</v>
      </c>
      <c r="X20" s="1">
        <f t="shared" si="5"/>
        <v>6805.4939999999997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464.80200000000002</v>
      </c>
      <c r="C21" s="3">
        <f t="shared" si="10"/>
        <v>610.71</v>
      </c>
      <c r="D21" s="2">
        <f t="shared" si="10"/>
        <v>756.61800000000005</v>
      </c>
      <c r="E21" s="2">
        <f t="shared" ref="E21:G35" si="11">V20</f>
        <v>2934.7930000000001</v>
      </c>
      <c r="F21" s="3">
        <f t="shared" si="11"/>
        <v>4870.1440000000002</v>
      </c>
      <c r="G21" s="2">
        <f t="shared" si="11"/>
        <v>6805.4939999999997</v>
      </c>
      <c r="K21" s="14" t="s">
        <v>92</v>
      </c>
      <c r="L21" s="44">
        <v>608.60166295155364</v>
      </c>
      <c r="M21" s="44">
        <v>460.32850060169079</v>
      </c>
      <c r="N21" s="44">
        <v>756.87482530141642</v>
      </c>
      <c r="O21" s="1">
        <f t="shared" si="0"/>
        <v>460.32900000000001</v>
      </c>
      <c r="P21" s="1">
        <f t="shared" si="1"/>
        <v>608.60199999999998</v>
      </c>
      <c r="Q21" s="1">
        <f t="shared" si="2"/>
        <v>756.875</v>
      </c>
      <c r="R21" s="14" t="str">
        <f t="shared" si="6"/>
        <v>2026Q3</v>
      </c>
      <c r="S21" s="59">
        <v>4871.167423506281</v>
      </c>
      <c r="T21" s="59">
        <v>2882.3812458163529</v>
      </c>
      <c r="U21" s="59">
        <v>6859.95360119621</v>
      </c>
      <c r="V21" s="1">
        <f t="shared" si="3"/>
        <v>2882.3809999999999</v>
      </c>
      <c r="W21" s="1">
        <f t="shared" si="4"/>
        <v>4871.1670000000004</v>
      </c>
      <c r="X21" s="1">
        <f t="shared" si="5"/>
        <v>6859.9539999999997</v>
      </c>
    </row>
    <row r="22" spans="1:24" ht="15.5" thickTop="1" thickBot="1" x14ac:dyDescent="0.4">
      <c r="A22" s="5" t="str">
        <f t="shared" si="7"/>
        <v>2026Q3</v>
      </c>
      <c r="B22" s="2">
        <f t="shared" si="10"/>
        <v>460.32900000000001</v>
      </c>
      <c r="C22" s="3">
        <f t="shared" si="10"/>
        <v>608.60199999999998</v>
      </c>
      <c r="D22" s="2">
        <f t="shared" si="10"/>
        <v>756.875</v>
      </c>
      <c r="E22" s="2">
        <f t="shared" si="11"/>
        <v>2882.3809999999999</v>
      </c>
      <c r="F22" s="3">
        <f t="shared" si="11"/>
        <v>4871.1670000000004</v>
      </c>
      <c r="G22" s="2">
        <f t="shared" si="11"/>
        <v>6859.9539999999997</v>
      </c>
      <c r="K22" s="14" t="s">
        <v>93</v>
      </c>
      <c r="L22" s="44">
        <v>611.36176722138032</v>
      </c>
      <c r="M22" s="44">
        <v>460.88120646486743</v>
      </c>
      <c r="N22" s="44">
        <v>761.84232797789321</v>
      </c>
      <c r="O22" s="1">
        <f t="shared" si="0"/>
        <v>460.88099999999997</v>
      </c>
      <c r="P22" s="1">
        <f t="shared" si="1"/>
        <v>611.36199999999997</v>
      </c>
      <c r="Q22" s="1">
        <f t="shared" si="2"/>
        <v>761.84199999999998</v>
      </c>
      <c r="R22" s="14" t="str">
        <f t="shared" si="6"/>
        <v>2026Q4</v>
      </c>
      <c r="S22" s="59">
        <v>4910.1136604748754</v>
      </c>
      <c r="T22" s="59">
        <v>2869.2878544400878</v>
      </c>
      <c r="U22" s="59">
        <v>6950.9394665096634</v>
      </c>
      <c r="V22" s="1">
        <f t="shared" si="3"/>
        <v>2869.288</v>
      </c>
      <c r="W22" s="1">
        <f t="shared" si="4"/>
        <v>4910.1139999999996</v>
      </c>
      <c r="X22" s="1">
        <f t="shared" si="5"/>
        <v>6950.9390000000003</v>
      </c>
    </row>
    <row r="23" spans="1:24" ht="15.5" thickTop="1" thickBot="1" x14ac:dyDescent="0.4">
      <c r="A23" s="5" t="str">
        <f t="shared" si="7"/>
        <v>2026Q4</v>
      </c>
      <c r="B23" s="2">
        <f t="shared" si="10"/>
        <v>460.88099999999997</v>
      </c>
      <c r="C23" s="3">
        <f t="shared" si="10"/>
        <v>611.36199999999997</v>
      </c>
      <c r="D23" s="2">
        <f t="shared" si="10"/>
        <v>761.84199999999998</v>
      </c>
      <c r="E23" s="2">
        <f t="shared" si="11"/>
        <v>2869.288</v>
      </c>
      <c r="F23" s="3">
        <f t="shared" si="11"/>
        <v>4910.1139999999996</v>
      </c>
      <c r="G23" s="2">
        <f t="shared" si="11"/>
        <v>6950.9390000000003</v>
      </c>
      <c r="K23" s="14" t="s">
        <v>94</v>
      </c>
      <c r="L23" s="44">
        <v>577.12882425623889</v>
      </c>
      <c r="M23" s="44">
        <v>424.58558054837306</v>
      </c>
      <c r="N23" s="44">
        <v>729.67206796410471</v>
      </c>
      <c r="O23" s="1">
        <f t="shared" si="0"/>
        <v>424.58600000000001</v>
      </c>
      <c r="P23" s="1">
        <f t="shared" si="1"/>
        <v>577.12900000000002</v>
      </c>
      <c r="Q23" s="1">
        <f t="shared" si="2"/>
        <v>729.67200000000003</v>
      </c>
      <c r="R23" s="14" t="str">
        <f t="shared" si="6"/>
        <v>2027Q1</v>
      </c>
      <c r="S23" s="59">
        <v>4898.7378572223624</v>
      </c>
      <c r="T23" s="59">
        <v>2807.168064382367</v>
      </c>
      <c r="U23" s="59">
        <v>6990.3076500623583</v>
      </c>
      <c r="V23" s="1">
        <f t="shared" si="3"/>
        <v>2807.1680000000001</v>
      </c>
      <c r="W23" s="1">
        <f t="shared" si="4"/>
        <v>4898.7380000000003</v>
      </c>
      <c r="X23" s="1">
        <f t="shared" si="5"/>
        <v>6990.308</v>
      </c>
    </row>
    <row r="24" spans="1:24" ht="15.5" thickTop="1" thickBot="1" x14ac:dyDescent="0.4">
      <c r="A24" s="5" t="str">
        <f t="shared" si="7"/>
        <v>2027Q1</v>
      </c>
      <c r="B24" s="2">
        <f t="shared" si="10"/>
        <v>424.58600000000001</v>
      </c>
      <c r="C24" s="3">
        <f t="shared" si="10"/>
        <v>577.12900000000002</v>
      </c>
      <c r="D24" s="2">
        <f t="shared" si="10"/>
        <v>729.67200000000003</v>
      </c>
      <c r="E24" s="2">
        <f t="shared" si="11"/>
        <v>2807.1680000000001</v>
      </c>
      <c r="F24" s="3">
        <f t="shared" si="11"/>
        <v>4898.7380000000003</v>
      </c>
      <c r="G24" s="2">
        <f t="shared" si="11"/>
        <v>6990.308</v>
      </c>
      <c r="K24" s="14" t="s">
        <v>95</v>
      </c>
      <c r="L24" s="44">
        <v>608.8747070367973</v>
      </c>
      <c r="M24" s="44">
        <v>454.40188109257832</v>
      </c>
      <c r="N24" s="44">
        <v>763.34753298101634</v>
      </c>
      <c r="O24" s="1">
        <f t="shared" si="0"/>
        <v>454.40199999999999</v>
      </c>
      <c r="P24" s="1">
        <f t="shared" si="1"/>
        <v>608.875</v>
      </c>
      <c r="Q24" s="1">
        <f t="shared" si="2"/>
        <v>763.34799999999996</v>
      </c>
      <c r="R24" s="14" t="str">
        <f t="shared" si="6"/>
        <v>2027Q2</v>
      </c>
      <c r="S24" s="59">
        <v>4999.9899849580743</v>
      </c>
      <c r="T24" s="59">
        <v>2858.8777525896389</v>
      </c>
      <c r="U24" s="59">
        <v>7141.1022173265092</v>
      </c>
      <c r="V24" s="1">
        <f t="shared" si="3"/>
        <v>2858.8780000000002</v>
      </c>
      <c r="W24" s="1">
        <f t="shared" si="4"/>
        <v>4999.99</v>
      </c>
      <c r="X24" s="1">
        <f t="shared" si="5"/>
        <v>7141.1019999999999</v>
      </c>
    </row>
    <row r="25" spans="1:24" ht="15.5" thickTop="1" thickBot="1" x14ac:dyDescent="0.4">
      <c r="A25" s="5" t="str">
        <f t="shared" si="7"/>
        <v>2027Q2</v>
      </c>
      <c r="B25" s="2">
        <f t="shared" si="10"/>
        <v>454.40199999999999</v>
      </c>
      <c r="C25" s="3">
        <f t="shared" si="10"/>
        <v>608.875</v>
      </c>
      <c r="D25" s="2">
        <f t="shared" si="10"/>
        <v>763.34799999999996</v>
      </c>
      <c r="E25" s="2">
        <f t="shared" si="11"/>
        <v>2858.8780000000002</v>
      </c>
      <c r="F25" s="3">
        <f t="shared" si="11"/>
        <v>4999.99</v>
      </c>
      <c r="G25" s="2">
        <f t="shared" si="11"/>
        <v>7141.1019999999999</v>
      </c>
      <c r="K25" s="14" t="s">
        <v>96</v>
      </c>
      <c r="L25" s="44">
        <v>606.90242322909671</v>
      </c>
      <c r="M25" s="44">
        <v>450.6227355347894</v>
      </c>
      <c r="N25" s="44">
        <v>763.18211092340403</v>
      </c>
      <c r="O25" s="1">
        <f t="shared" si="0"/>
        <v>450.62299999999999</v>
      </c>
      <c r="P25" s="1">
        <f t="shared" si="1"/>
        <v>606.90200000000004</v>
      </c>
      <c r="Q25" s="1">
        <f t="shared" si="2"/>
        <v>763.18200000000002</v>
      </c>
      <c r="R25" s="14" t="str">
        <f t="shared" si="6"/>
        <v>2027Q3</v>
      </c>
      <c r="S25" s="59">
        <v>5001.0047251867036</v>
      </c>
      <c r="T25" s="59">
        <v>2811.4711931669867</v>
      </c>
      <c r="U25" s="59">
        <v>7190.5382572064209</v>
      </c>
      <c r="V25" s="1">
        <f t="shared" si="3"/>
        <v>2811.471</v>
      </c>
      <c r="W25" s="1">
        <f t="shared" si="4"/>
        <v>5001.0050000000001</v>
      </c>
      <c r="X25" s="1">
        <f t="shared" si="5"/>
        <v>7190.5379999999996</v>
      </c>
    </row>
    <row r="26" spans="1:24" ht="15.5" thickTop="1" thickBot="1" x14ac:dyDescent="0.4">
      <c r="A26" s="5" t="str">
        <f t="shared" si="7"/>
        <v>2027Q3</v>
      </c>
      <c r="B26" s="2">
        <f t="shared" si="10"/>
        <v>450.62299999999999</v>
      </c>
      <c r="C26" s="3">
        <f t="shared" si="10"/>
        <v>606.90200000000004</v>
      </c>
      <c r="D26" s="2">
        <f t="shared" si="10"/>
        <v>763.18200000000002</v>
      </c>
      <c r="E26" s="2">
        <f t="shared" si="11"/>
        <v>2811.471</v>
      </c>
      <c r="F26" s="3">
        <f t="shared" si="11"/>
        <v>5001.0050000000001</v>
      </c>
      <c r="G26" s="2">
        <f t="shared" si="11"/>
        <v>7190.5379999999996</v>
      </c>
      <c r="K26" s="14" t="s">
        <v>97</v>
      </c>
      <c r="L26" s="44">
        <v>609.79536896719287</v>
      </c>
      <c r="M26" s="44">
        <v>451.82221894069562</v>
      </c>
      <c r="N26" s="44">
        <v>767.76851899369012</v>
      </c>
      <c r="O26" s="1">
        <f t="shared" si="0"/>
        <v>451.822</v>
      </c>
      <c r="P26" s="1">
        <f t="shared" si="1"/>
        <v>609.79499999999996</v>
      </c>
      <c r="Q26" s="1">
        <f t="shared" si="2"/>
        <v>767.76900000000001</v>
      </c>
      <c r="R26" s="14" t="str">
        <f t="shared" si="6"/>
        <v>2027Q4</v>
      </c>
      <c r="S26" s="59">
        <v>5039.9564465942522</v>
      </c>
      <c r="T26" s="59">
        <v>2803.0492690543192</v>
      </c>
      <c r="U26" s="59">
        <v>7276.8636241341856</v>
      </c>
      <c r="V26" s="1">
        <f t="shared" si="3"/>
        <v>2803.049</v>
      </c>
      <c r="W26" s="1">
        <f t="shared" si="4"/>
        <v>5039.9560000000001</v>
      </c>
      <c r="X26" s="1">
        <f t="shared" si="5"/>
        <v>7276.8639999999996</v>
      </c>
    </row>
    <row r="27" spans="1:24" ht="15.5" thickTop="1" thickBot="1" x14ac:dyDescent="0.4">
      <c r="A27" s="5" t="str">
        <f t="shared" si="7"/>
        <v>2027Q4</v>
      </c>
      <c r="B27" s="2">
        <f t="shared" si="10"/>
        <v>451.822</v>
      </c>
      <c r="C27" s="3">
        <f t="shared" si="10"/>
        <v>609.79499999999996</v>
      </c>
      <c r="D27" s="2">
        <f t="shared" si="10"/>
        <v>767.76900000000001</v>
      </c>
      <c r="E27" s="2">
        <f t="shared" si="11"/>
        <v>2803.049</v>
      </c>
      <c r="F27" s="3">
        <f t="shared" si="11"/>
        <v>5039.9560000000001</v>
      </c>
      <c r="G27" s="2">
        <f t="shared" si="11"/>
        <v>7276.8639999999996</v>
      </c>
      <c r="K27" s="14" t="s">
        <v>98</v>
      </c>
      <c r="L27" s="44">
        <v>575.69175361282362</v>
      </c>
      <c r="M27" s="44">
        <v>416.13013497263665</v>
      </c>
      <c r="N27" s="44">
        <v>735.25337225301053</v>
      </c>
      <c r="O27" s="1">
        <f t="shared" si="0"/>
        <v>416.13</v>
      </c>
      <c r="P27" s="1">
        <f t="shared" si="1"/>
        <v>575.69200000000001</v>
      </c>
      <c r="Q27" s="1">
        <f t="shared" si="2"/>
        <v>735.25300000000004</v>
      </c>
      <c r="R27" s="14" t="str">
        <f t="shared" si="6"/>
        <v>2028Q1</v>
      </c>
      <c r="S27" s="59">
        <v>5028.577356640948</v>
      </c>
      <c r="T27" s="59">
        <v>2745.2793750512346</v>
      </c>
      <c r="U27" s="59">
        <v>7311.8753382306622</v>
      </c>
      <c r="V27" s="1">
        <f t="shared" si="3"/>
        <v>2745.279</v>
      </c>
      <c r="W27" s="1">
        <f t="shared" si="4"/>
        <v>5028.5770000000002</v>
      </c>
      <c r="X27" s="1">
        <f t="shared" si="5"/>
        <v>7311.875</v>
      </c>
    </row>
    <row r="28" spans="1:24" ht="15.5" thickTop="1" thickBot="1" x14ac:dyDescent="0.4">
      <c r="A28" s="5" t="str">
        <f t="shared" si="7"/>
        <v>2028Q1</v>
      </c>
      <c r="B28" s="2">
        <f t="shared" si="10"/>
        <v>416.13</v>
      </c>
      <c r="C28" s="3">
        <f t="shared" si="10"/>
        <v>575.69200000000001</v>
      </c>
      <c r="D28" s="2">
        <f t="shared" si="10"/>
        <v>735.25300000000004</v>
      </c>
      <c r="E28" s="2">
        <f t="shared" si="11"/>
        <v>2745.279</v>
      </c>
      <c r="F28" s="3">
        <f t="shared" si="11"/>
        <v>5028.5770000000002</v>
      </c>
      <c r="G28" s="2">
        <f t="shared" si="11"/>
        <v>7311.875</v>
      </c>
      <c r="K28" s="14" t="s">
        <v>99</v>
      </c>
      <c r="L28" s="44">
        <v>607.56354309349513</v>
      </c>
      <c r="M28" s="44">
        <v>446.51084021229906</v>
      </c>
      <c r="N28" s="44">
        <v>768.6162459746912</v>
      </c>
      <c r="O28" s="1">
        <f t="shared" si="0"/>
        <v>446.51100000000002</v>
      </c>
      <c r="P28" s="1">
        <f t="shared" si="1"/>
        <v>607.56399999999996</v>
      </c>
      <c r="Q28" s="1">
        <f t="shared" si="2"/>
        <v>768.61599999999999</v>
      </c>
      <c r="R28" s="14" t="str">
        <f t="shared" si="6"/>
        <v>2028Q2</v>
      </c>
      <c r="S28" s="59">
        <v>5129.8314540224483</v>
      </c>
      <c r="T28" s="59">
        <v>2801.0665382753382</v>
      </c>
      <c r="U28" s="59">
        <v>7458.5963697695579</v>
      </c>
      <c r="V28" s="1">
        <f t="shared" si="3"/>
        <v>2801.067</v>
      </c>
      <c r="W28" s="1">
        <f t="shared" si="4"/>
        <v>5129.8310000000001</v>
      </c>
      <c r="X28" s="1">
        <f t="shared" si="5"/>
        <v>7458.5959999999995</v>
      </c>
    </row>
    <row r="29" spans="1:24" ht="15.5" thickTop="1" thickBot="1" x14ac:dyDescent="0.4">
      <c r="A29" s="5" t="str">
        <f t="shared" si="7"/>
        <v>2028Q2</v>
      </c>
      <c r="B29" s="2">
        <f t="shared" si="10"/>
        <v>446.51100000000002</v>
      </c>
      <c r="C29" s="3">
        <f t="shared" si="10"/>
        <v>607.56399999999996</v>
      </c>
      <c r="D29" s="2">
        <f t="shared" si="10"/>
        <v>768.61599999999999</v>
      </c>
      <c r="E29" s="2">
        <f t="shared" si="11"/>
        <v>2801.067</v>
      </c>
      <c r="F29" s="3">
        <f t="shared" si="11"/>
        <v>5129.8310000000001</v>
      </c>
      <c r="G29" s="2">
        <f t="shared" si="11"/>
        <v>7458.5959999999995</v>
      </c>
      <c r="K29" s="14" t="s">
        <v>100</v>
      </c>
      <c r="L29" s="44">
        <v>605.71383556350338</v>
      </c>
      <c r="M29" s="44">
        <v>443.26052046996324</v>
      </c>
      <c r="N29" s="44">
        <v>768.16715065704352</v>
      </c>
      <c r="O29" s="1">
        <f t="shared" si="0"/>
        <v>443.26100000000002</v>
      </c>
      <c r="P29" s="1">
        <f t="shared" si="1"/>
        <v>605.71400000000006</v>
      </c>
      <c r="Q29" s="1">
        <f t="shared" si="2"/>
        <v>768.16700000000003</v>
      </c>
      <c r="R29" s="14" t="str">
        <f t="shared" si="6"/>
        <v>2028Q3</v>
      </c>
      <c r="S29" s="59">
        <v>5130.8450138867001</v>
      </c>
      <c r="T29" s="59">
        <v>2757.4840745805927</v>
      </c>
      <c r="U29" s="59">
        <v>7504.205953192808</v>
      </c>
      <c r="V29" s="1">
        <f t="shared" si="3"/>
        <v>2757.4839999999999</v>
      </c>
      <c r="W29" s="1">
        <f t="shared" si="4"/>
        <v>5130.8450000000003</v>
      </c>
      <c r="X29" s="1">
        <f t="shared" si="5"/>
        <v>7504.2060000000001</v>
      </c>
    </row>
    <row r="30" spans="1:24" ht="15.5" thickTop="1" thickBot="1" x14ac:dyDescent="0.4">
      <c r="A30" s="5" t="str">
        <f t="shared" si="7"/>
        <v>2028Q3</v>
      </c>
      <c r="B30" s="2">
        <f t="shared" si="10"/>
        <v>443.26100000000002</v>
      </c>
      <c r="C30" s="3">
        <f t="shared" si="10"/>
        <v>605.71400000000006</v>
      </c>
      <c r="D30" s="2">
        <f t="shared" si="10"/>
        <v>768.16700000000003</v>
      </c>
      <c r="E30" s="2">
        <f t="shared" si="11"/>
        <v>2757.4839999999999</v>
      </c>
      <c r="F30" s="3">
        <f t="shared" si="11"/>
        <v>5130.8450000000003</v>
      </c>
      <c r="G30" s="2">
        <f t="shared" si="11"/>
        <v>7504.2060000000001</v>
      </c>
      <c r="K30" s="14" t="s">
        <v>101</v>
      </c>
      <c r="L30" s="44">
        <v>608.7261152516071</v>
      </c>
      <c r="M30" s="44">
        <v>444.95636104338223</v>
      </c>
      <c r="N30" s="44">
        <v>772.49586945983197</v>
      </c>
      <c r="O30" s="1">
        <f t="shared" si="0"/>
        <v>444.95600000000002</v>
      </c>
      <c r="P30" s="1">
        <f t="shared" si="1"/>
        <v>608.726</v>
      </c>
      <c r="Q30" s="1">
        <f t="shared" si="2"/>
        <v>772.49599999999998</v>
      </c>
      <c r="R30" s="14" t="str">
        <f t="shared" si="6"/>
        <v>2028Q4</v>
      </c>
      <c r="S30" s="59">
        <v>5169.7974426600458</v>
      </c>
      <c r="T30" s="59">
        <v>2752.6631041797264</v>
      </c>
      <c r="U30" s="59">
        <v>7586.9317811403653</v>
      </c>
      <c r="V30" s="1">
        <f t="shared" si="3"/>
        <v>2752.663</v>
      </c>
      <c r="W30" s="1">
        <f t="shared" si="4"/>
        <v>5169.7969999999996</v>
      </c>
      <c r="X30" s="1">
        <f t="shared" si="5"/>
        <v>7586.9319999999998</v>
      </c>
    </row>
    <row r="31" spans="1:24" ht="15.5" thickTop="1" thickBot="1" x14ac:dyDescent="0.4">
      <c r="A31" s="5" t="str">
        <f t="shared" si="7"/>
        <v>2028Q4</v>
      </c>
      <c r="B31" s="2">
        <f t="shared" si="10"/>
        <v>444.95600000000002</v>
      </c>
      <c r="C31" s="3">
        <f t="shared" si="10"/>
        <v>608.726</v>
      </c>
      <c r="D31" s="2">
        <f t="shared" si="10"/>
        <v>772.49599999999998</v>
      </c>
      <c r="E31" s="2">
        <f t="shared" si="11"/>
        <v>2752.663</v>
      </c>
      <c r="F31" s="3">
        <f t="shared" si="11"/>
        <v>5169.7969999999996</v>
      </c>
      <c r="G31" s="2">
        <f t="shared" si="11"/>
        <v>7586.9319999999998</v>
      </c>
      <c r="K31" s="14" t="s">
        <v>102</v>
      </c>
      <c r="L31" s="44">
        <v>574.73867728400967</v>
      </c>
      <c r="M31" s="44">
        <v>409.73090070496283</v>
      </c>
      <c r="N31" s="44">
        <v>739.74645386305644</v>
      </c>
      <c r="O31" s="1">
        <f t="shared" si="0"/>
        <v>409.73099999999999</v>
      </c>
      <c r="P31" s="1">
        <f t="shared" si="1"/>
        <v>574.73900000000003</v>
      </c>
      <c r="Q31" s="1">
        <f t="shared" si="2"/>
        <v>739.74599999999998</v>
      </c>
      <c r="R31" s="14" t="str">
        <f t="shared" si="6"/>
        <v>2029Q1</v>
      </c>
      <c r="S31" s="59">
        <v>5158.4179287983452</v>
      </c>
      <c r="T31" s="59">
        <v>2698.2889516048913</v>
      </c>
      <c r="U31" s="59">
        <v>7618.5469059917996</v>
      </c>
      <c r="V31" s="1">
        <f t="shared" si="3"/>
        <v>2698.2890000000002</v>
      </c>
      <c r="W31" s="1">
        <f t="shared" si="4"/>
        <v>5158.4179999999997</v>
      </c>
      <c r="X31" s="1">
        <f t="shared" si="5"/>
        <v>7618.5469999999996</v>
      </c>
    </row>
    <row r="32" spans="1:24" ht="15.5" thickTop="1" thickBot="1" x14ac:dyDescent="0.4">
      <c r="A32" s="5" t="str">
        <f t="shared" si="7"/>
        <v>2029Q1</v>
      </c>
      <c r="B32" s="2">
        <f t="shared" si="10"/>
        <v>409.73099999999999</v>
      </c>
      <c r="C32" s="3">
        <f t="shared" si="10"/>
        <v>574.73900000000003</v>
      </c>
      <c r="D32" s="2">
        <f t="shared" si="10"/>
        <v>739.74599999999998</v>
      </c>
      <c r="E32" s="2">
        <f t="shared" si="11"/>
        <v>2698.2890000000002</v>
      </c>
      <c r="F32" s="3">
        <f t="shared" si="11"/>
        <v>5158.4179999999997</v>
      </c>
      <c r="G32" s="2">
        <f t="shared" si="11"/>
        <v>7618.5469999999996</v>
      </c>
      <c r="K32" s="14" t="s">
        <v>103</v>
      </c>
      <c r="L32" s="44">
        <v>606.72357108408289</v>
      </c>
      <c r="M32" s="44">
        <v>440.55091467160366</v>
      </c>
      <c r="N32" s="44">
        <v>772.89622749656212</v>
      </c>
      <c r="O32" s="1">
        <f t="shared" si="0"/>
        <v>440.55099999999999</v>
      </c>
      <c r="P32" s="1">
        <f t="shared" si="1"/>
        <v>606.72400000000005</v>
      </c>
      <c r="Q32" s="1">
        <f t="shared" si="2"/>
        <v>772.89599999999996</v>
      </c>
      <c r="R32" s="14" t="str">
        <f t="shared" si="6"/>
        <v>2029Q2</v>
      </c>
      <c r="S32" s="59">
        <v>5259.6722802186041</v>
      </c>
      <c r="T32" s="59">
        <v>2757.2872556366665</v>
      </c>
      <c r="U32" s="59">
        <v>7762.0573048005417</v>
      </c>
      <c r="V32" s="1">
        <f t="shared" si="3"/>
        <v>2757.2869999999998</v>
      </c>
      <c r="W32" s="1">
        <f t="shared" si="4"/>
        <v>5259.6719999999996</v>
      </c>
      <c r="X32" s="1">
        <f t="shared" si="5"/>
        <v>7762.0569999999998</v>
      </c>
    </row>
    <row r="33" spans="1:24" ht="15.5" thickTop="1" thickBot="1" x14ac:dyDescent="0.4">
      <c r="A33" s="5" t="str">
        <f t="shared" si="7"/>
        <v>2029Q2</v>
      </c>
      <c r="B33" s="2">
        <f t="shared" si="10"/>
        <v>440.55099999999999</v>
      </c>
      <c r="C33" s="3">
        <f t="shared" si="10"/>
        <v>606.72400000000005</v>
      </c>
      <c r="D33" s="2">
        <f t="shared" si="10"/>
        <v>772.89599999999996</v>
      </c>
      <c r="E33" s="2">
        <f t="shared" si="11"/>
        <v>2757.2869999999998</v>
      </c>
      <c r="F33" s="3">
        <f t="shared" si="11"/>
        <v>5259.6719999999996</v>
      </c>
      <c r="G33" s="2">
        <f t="shared" si="11"/>
        <v>7762.0569999999998</v>
      </c>
      <c r="K33" s="14" t="s">
        <v>107</v>
      </c>
      <c r="L33" s="44">
        <v>604.98397609339656</v>
      </c>
      <c r="M33" s="44">
        <v>437.71473845385094</v>
      </c>
      <c r="N33" s="44">
        <v>772.25321373294219</v>
      </c>
      <c r="O33" s="1">
        <f t="shared" si="0"/>
        <v>437.71499999999997</v>
      </c>
      <c r="P33" s="1">
        <f t="shared" si="1"/>
        <v>604.98400000000004</v>
      </c>
      <c r="Q33" s="1">
        <f t="shared" si="2"/>
        <v>772.25300000000004</v>
      </c>
      <c r="R33" s="14" t="str">
        <f t="shared" si="6"/>
        <v>2029Q3</v>
      </c>
      <c r="S33" s="59">
        <v>5260.6856878431481</v>
      </c>
      <c r="T33" s="59">
        <v>2716.746418418712</v>
      </c>
      <c r="U33" s="59">
        <v>7804.6249572675843</v>
      </c>
      <c r="V33" s="1">
        <f t="shared" si="3"/>
        <v>2716.7460000000001</v>
      </c>
      <c r="W33" s="1">
        <f t="shared" si="4"/>
        <v>5260.6859999999997</v>
      </c>
      <c r="X33" s="1">
        <f t="shared" si="5"/>
        <v>7804.625</v>
      </c>
    </row>
    <row r="34" spans="1:24" ht="15.5" thickTop="1" thickBot="1" x14ac:dyDescent="0.4">
      <c r="A34" s="5" t="str">
        <f t="shared" si="7"/>
        <v>2029Q3</v>
      </c>
      <c r="B34" s="2">
        <f t="shared" si="10"/>
        <v>437.71499999999997</v>
      </c>
      <c r="C34" s="3">
        <f t="shared" si="10"/>
        <v>604.98400000000004</v>
      </c>
      <c r="D34" s="2">
        <f t="shared" si="10"/>
        <v>772.25300000000004</v>
      </c>
      <c r="E34" s="2">
        <f t="shared" si="11"/>
        <v>2716.7460000000001</v>
      </c>
      <c r="F34" s="3">
        <f t="shared" si="11"/>
        <v>5260.6859999999997</v>
      </c>
      <c r="G34" s="2">
        <f t="shared" si="11"/>
        <v>7804.625</v>
      </c>
      <c r="K34" s="14" t="s">
        <v>108</v>
      </c>
      <c r="L34" s="44">
        <v>608.10345567781224</v>
      </c>
      <c r="M34" s="44">
        <v>439.80147698015196</v>
      </c>
      <c r="N34" s="44">
        <v>776.40543437547251</v>
      </c>
      <c r="O34" s="1">
        <f t="shared" si="0"/>
        <v>439.80099999999999</v>
      </c>
      <c r="P34" s="1">
        <f t="shared" si="1"/>
        <v>608.10299999999995</v>
      </c>
      <c r="Q34" s="1">
        <f t="shared" si="2"/>
        <v>776.40499999999997</v>
      </c>
      <c r="R34" s="14" t="str">
        <f t="shared" si="6"/>
        <v>2029Q4</v>
      </c>
      <c r="S34" s="59">
        <v>5299.6382078503229</v>
      </c>
      <c r="T34" s="59">
        <v>2714.8126391321803</v>
      </c>
      <c r="U34" s="59">
        <v>7884.4637765684656</v>
      </c>
      <c r="V34" s="1">
        <f t="shared" si="3"/>
        <v>2714.8130000000001</v>
      </c>
      <c r="W34" s="1">
        <f t="shared" si="4"/>
        <v>5299.6379999999999</v>
      </c>
      <c r="X34" s="1">
        <f t="shared" si="5"/>
        <v>7884.4639999999999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439.80099999999999</v>
      </c>
      <c r="C35" s="3">
        <f t="shared" si="10"/>
        <v>608.10299999999995</v>
      </c>
      <c r="D35" s="2">
        <f t="shared" si="10"/>
        <v>776.40499999999997</v>
      </c>
      <c r="E35" s="2">
        <f t="shared" si="11"/>
        <v>2714.8130000000001</v>
      </c>
      <c r="F35" s="3">
        <f t="shared" si="11"/>
        <v>5299.6379999999999</v>
      </c>
      <c r="G35" s="2">
        <f t="shared" si="11"/>
        <v>7884.4639999999999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605.15056249999998</v>
      </c>
      <c r="F38" s="1">
        <f>AVERAGE(F4:F35)</f>
        <v>4790.9350312500001</v>
      </c>
    </row>
    <row r="40" spans="1:24" ht="12.5" thickBot="1" x14ac:dyDescent="0.35"/>
    <row r="41" spans="1:24" ht="15.5" thickTop="1" thickBot="1" x14ac:dyDescent="0.4">
      <c r="A41" s="30" t="s">
        <v>57</v>
      </c>
      <c r="B41" s="31"/>
      <c r="C41" s="31"/>
      <c r="D41" s="31"/>
      <c r="E41" s="31"/>
      <c r="F41" s="31"/>
      <c r="G41" s="31"/>
      <c r="K41" s="30" t="s">
        <v>34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584.18100000000004</v>
      </c>
      <c r="D44" s="6"/>
      <c r="E44" s="6"/>
      <c r="F44" s="9">
        <f>ROUND(F4-((G4-F4)*(0.5/2)),3)</f>
        <v>4189.8059999999996</v>
      </c>
      <c r="G44" s="6"/>
      <c r="K44" s="7" t="str">
        <f>A4</f>
        <v>2022Q1</v>
      </c>
      <c r="L44" s="6"/>
      <c r="M44" s="9">
        <f>ROUND(C4-((D4-C4)*(1/2)),3)</f>
        <v>574.63900000000001</v>
      </c>
      <c r="N44" s="6"/>
      <c r="O44" s="6"/>
      <c r="P44" s="9">
        <f>ROUND(F4-((G4-F4)*(1/2)),3)</f>
        <v>4090.4630000000002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610.47500000000002</v>
      </c>
      <c r="D45" s="6"/>
      <c r="E45" s="6"/>
      <c r="F45" s="9">
        <f t="shared" ref="F45:F75" si="14">ROUND(F5-((G5-F5)*(0.5/2)),3)</f>
        <v>4168.5069999999996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596.35900000000004</v>
      </c>
      <c r="N45" s="6"/>
      <c r="O45" s="6"/>
      <c r="P45" s="9">
        <f t="shared" ref="P45:P75" si="17">ROUND(F5-((G5-F5)*(1/2)),3)</f>
        <v>4009.9690000000001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604.39200000000005</v>
      </c>
      <c r="D46" s="6"/>
      <c r="E46" s="6"/>
      <c r="F46" s="9">
        <f t="shared" si="14"/>
        <v>4173.6080000000002</v>
      </c>
      <c r="G46" s="6"/>
      <c r="K46" s="7" t="str">
        <f t="shared" si="15"/>
        <v>2022Q3</v>
      </c>
      <c r="L46" s="6"/>
      <c r="M46" s="9">
        <f t="shared" si="16"/>
        <v>587.01900000000001</v>
      </c>
      <c r="N46" s="6"/>
      <c r="O46" s="6"/>
      <c r="P46" s="9">
        <f t="shared" si="17"/>
        <v>3981.1889999999999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603.84900000000005</v>
      </c>
      <c r="D47" s="6"/>
      <c r="E47" s="6"/>
      <c r="F47" s="9">
        <f t="shared" si="14"/>
        <v>4156.6440000000002</v>
      </c>
      <c r="G47" s="6"/>
      <c r="K47" s="7" t="str">
        <f t="shared" si="15"/>
        <v>2022Q4</v>
      </c>
      <c r="L47" s="6"/>
      <c r="M47" s="9">
        <f t="shared" si="16"/>
        <v>583.875</v>
      </c>
      <c r="N47" s="6"/>
      <c r="O47" s="6"/>
      <c r="P47" s="9">
        <f t="shared" si="17"/>
        <v>3931.06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566.74900000000002</v>
      </c>
      <c r="D48" s="6"/>
      <c r="E48" s="6"/>
      <c r="F48" s="9">
        <f t="shared" si="14"/>
        <v>4132.3900000000003</v>
      </c>
      <c r="G48" s="6"/>
      <c r="K48" s="7" t="str">
        <f t="shared" si="15"/>
        <v>2023Q1</v>
      </c>
      <c r="L48" s="6"/>
      <c r="M48" s="9">
        <f t="shared" si="16"/>
        <v>544.58799999999997</v>
      </c>
      <c r="N48" s="6"/>
      <c r="O48" s="6"/>
      <c r="P48" s="9">
        <f t="shared" si="17"/>
        <v>3880.2979999999998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595.94299999999998</v>
      </c>
      <c r="D49" s="6"/>
      <c r="E49" s="6"/>
      <c r="F49" s="9">
        <f t="shared" si="14"/>
        <v>4200.2110000000002</v>
      </c>
      <c r="G49" s="6"/>
      <c r="K49" s="7" t="str">
        <f t="shared" si="15"/>
        <v>2023Q2</v>
      </c>
      <c r="L49" s="6"/>
      <c r="M49" s="9">
        <f t="shared" si="16"/>
        <v>571.89300000000003</v>
      </c>
      <c r="N49" s="6"/>
      <c r="O49" s="6"/>
      <c r="P49" s="9">
        <f t="shared" si="17"/>
        <v>3922.8560000000002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591.66200000000003</v>
      </c>
      <c r="D50" s="6"/>
      <c r="E50" s="6"/>
      <c r="F50" s="9">
        <f t="shared" si="14"/>
        <v>4183.6899999999996</v>
      </c>
      <c r="G50" s="6"/>
      <c r="K50" s="7" t="str">
        <f t="shared" si="15"/>
        <v>2023Q3</v>
      </c>
      <c r="L50" s="6"/>
      <c r="M50" s="9">
        <f t="shared" si="16"/>
        <v>565.94899999999996</v>
      </c>
      <c r="N50" s="6"/>
      <c r="O50" s="6"/>
      <c r="P50" s="9">
        <f t="shared" si="17"/>
        <v>3883.9029999999998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592.44299999999998</v>
      </c>
      <c r="D51" s="6"/>
      <c r="E51" s="6"/>
      <c r="F51" s="9">
        <f t="shared" si="14"/>
        <v>4198.442</v>
      </c>
      <c r="G51" s="6"/>
      <c r="K51" s="7" t="str">
        <f t="shared" si="15"/>
        <v>2023Q4</v>
      </c>
      <c r="L51" s="6"/>
      <c r="M51" s="9">
        <f t="shared" si="16"/>
        <v>565.24800000000005</v>
      </c>
      <c r="N51" s="6"/>
      <c r="O51" s="6"/>
      <c r="P51" s="9">
        <f t="shared" si="17"/>
        <v>3877.39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556.39499999999998</v>
      </c>
      <c r="D52" s="6"/>
      <c r="E52" s="6"/>
      <c r="F52" s="9">
        <f t="shared" si="14"/>
        <v>4169.1049999999996</v>
      </c>
      <c r="G52" s="6"/>
      <c r="K52" s="7" t="str">
        <f t="shared" si="15"/>
        <v>2024Q1</v>
      </c>
      <c r="L52" s="6"/>
      <c r="M52" s="9">
        <f t="shared" si="16"/>
        <v>527.86500000000001</v>
      </c>
      <c r="N52" s="6"/>
      <c r="O52" s="6"/>
      <c r="P52" s="9">
        <f t="shared" si="17"/>
        <v>3828.337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586.46100000000001</v>
      </c>
      <c r="D53" s="6"/>
      <c r="E53" s="6"/>
      <c r="F53" s="9">
        <f t="shared" si="14"/>
        <v>4250.5420000000004</v>
      </c>
      <c r="G53" s="6"/>
      <c r="K53" s="7" t="str">
        <f t="shared" si="15"/>
        <v>2024Q2</v>
      </c>
      <c r="L53" s="6"/>
      <c r="M53" s="9">
        <f t="shared" si="16"/>
        <v>556.72299999999996</v>
      </c>
      <c r="N53" s="6"/>
      <c r="O53" s="6"/>
      <c r="P53" s="9">
        <f t="shared" si="17"/>
        <v>3891.01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582.92899999999997</v>
      </c>
      <c r="D54" s="6"/>
      <c r="E54" s="6"/>
      <c r="F54" s="9">
        <f t="shared" si="14"/>
        <v>4234.4279999999999</v>
      </c>
      <c r="G54" s="6"/>
      <c r="K54" s="7" t="str">
        <f t="shared" si="15"/>
        <v>2024Q3</v>
      </c>
      <c r="L54" s="6"/>
      <c r="M54" s="9">
        <f t="shared" si="16"/>
        <v>552.08799999999997</v>
      </c>
      <c r="N54" s="6"/>
      <c r="O54" s="6"/>
      <c r="P54" s="9">
        <f t="shared" si="17"/>
        <v>3857.1370000000002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584.36599999999999</v>
      </c>
      <c r="D55" s="6"/>
      <c r="E55" s="6"/>
      <c r="F55" s="9">
        <f t="shared" si="14"/>
        <v>4256</v>
      </c>
      <c r="G55" s="6"/>
      <c r="K55" s="7" t="str">
        <f t="shared" si="15"/>
        <v>2024Q4</v>
      </c>
      <c r="L55" s="6"/>
      <c r="M55" s="9">
        <f t="shared" si="16"/>
        <v>552.51599999999996</v>
      </c>
      <c r="N55" s="6"/>
      <c r="O55" s="6"/>
      <c r="P55" s="9">
        <f t="shared" si="17"/>
        <v>3861.7069999999999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548.90099999999995</v>
      </c>
      <c r="D56" s="6"/>
      <c r="E56" s="6"/>
      <c r="F56" s="9">
        <f t="shared" si="14"/>
        <v>4228.5730000000003</v>
      </c>
      <c r="G56" s="6"/>
      <c r="K56" s="7" t="str">
        <f t="shared" si="15"/>
        <v>2025Q1</v>
      </c>
      <c r="L56" s="6"/>
      <c r="M56" s="9">
        <f t="shared" si="16"/>
        <v>516.12199999999996</v>
      </c>
      <c r="N56" s="6"/>
      <c r="O56" s="6"/>
      <c r="P56" s="9">
        <f t="shared" si="17"/>
        <v>3818.0050000000001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579.495</v>
      </c>
      <c r="D57" s="6"/>
      <c r="E57" s="6"/>
      <c r="F57" s="9">
        <f t="shared" si="14"/>
        <v>4314.0230000000001</v>
      </c>
      <c r="G57" s="6"/>
      <c r="K57" s="7" t="str">
        <f t="shared" si="15"/>
        <v>2025Q2</v>
      </c>
      <c r="L57" s="6"/>
      <c r="M57" s="9">
        <f t="shared" si="16"/>
        <v>545.86</v>
      </c>
      <c r="N57" s="6"/>
      <c r="O57" s="6"/>
      <c r="P57" s="9">
        <f t="shared" si="17"/>
        <v>3887.788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576.44200000000001</v>
      </c>
      <c r="D58" s="6"/>
      <c r="E58" s="6"/>
      <c r="F58" s="9">
        <f t="shared" si="14"/>
        <v>4300.0150000000003</v>
      </c>
      <c r="G58" s="6"/>
      <c r="K58" s="7" t="str">
        <f t="shared" si="15"/>
        <v>2025Q3</v>
      </c>
      <c r="L58" s="6"/>
      <c r="M58" s="9">
        <f t="shared" si="16"/>
        <v>542.01499999999999</v>
      </c>
      <c r="N58" s="6"/>
      <c r="O58" s="6"/>
      <c r="P58" s="9">
        <f t="shared" si="17"/>
        <v>3858.6770000000001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578.32100000000003</v>
      </c>
      <c r="D59" s="6"/>
      <c r="E59" s="6"/>
      <c r="F59" s="9">
        <f t="shared" si="14"/>
        <v>4324.3109999999997</v>
      </c>
      <c r="G59" s="6"/>
      <c r="K59" s="7" t="str">
        <f t="shared" si="15"/>
        <v>2025Q4</v>
      </c>
      <c r="L59" s="6"/>
      <c r="M59" s="9">
        <f t="shared" si="16"/>
        <v>543.16099999999994</v>
      </c>
      <c r="N59" s="6"/>
      <c r="O59" s="6"/>
      <c r="P59" s="9">
        <f t="shared" si="17"/>
        <v>3868.3649999999998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543.26300000000003</v>
      </c>
      <c r="D60" s="6"/>
      <c r="E60" s="6"/>
      <c r="F60" s="9">
        <f t="shared" si="14"/>
        <v>4298.8090000000002</v>
      </c>
      <c r="G60" s="6"/>
      <c r="K60" s="7" t="str">
        <f t="shared" si="15"/>
        <v>2026Q1</v>
      </c>
      <c r="L60" s="6"/>
      <c r="M60" s="9">
        <f t="shared" si="16"/>
        <v>507.42</v>
      </c>
      <c r="N60" s="6"/>
      <c r="O60" s="6"/>
      <c r="P60" s="9">
        <f t="shared" si="17"/>
        <v>3828.7109999999998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574.23299999999995</v>
      </c>
      <c r="D61" s="6"/>
      <c r="E61" s="6"/>
      <c r="F61" s="9">
        <f t="shared" si="14"/>
        <v>4386.3069999999998</v>
      </c>
      <c r="G61" s="6"/>
      <c r="K61" s="7" t="str">
        <f t="shared" si="15"/>
        <v>2026Q2</v>
      </c>
      <c r="L61" s="6"/>
      <c r="M61" s="9">
        <f t="shared" si="16"/>
        <v>537.75599999999997</v>
      </c>
      <c r="N61" s="6"/>
      <c r="O61" s="6"/>
      <c r="P61" s="9">
        <f t="shared" si="17"/>
        <v>3902.4690000000001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571.53399999999999</v>
      </c>
      <c r="D62" s="6"/>
      <c r="E62" s="6"/>
      <c r="F62" s="9">
        <f t="shared" si="14"/>
        <v>4373.97</v>
      </c>
      <c r="G62" s="6"/>
      <c r="K62" s="7" t="str">
        <f t="shared" si="15"/>
        <v>2026Q3</v>
      </c>
      <c r="L62" s="6"/>
      <c r="M62" s="9">
        <f t="shared" si="16"/>
        <v>534.46600000000001</v>
      </c>
      <c r="N62" s="6"/>
      <c r="O62" s="6"/>
      <c r="P62" s="9">
        <f t="shared" si="17"/>
        <v>3876.7739999999999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573.74199999999996</v>
      </c>
      <c r="D63" s="6"/>
      <c r="E63" s="6"/>
      <c r="F63" s="9">
        <f t="shared" si="14"/>
        <v>4399.9080000000004</v>
      </c>
      <c r="G63" s="6"/>
      <c r="K63" s="7" t="str">
        <f t="shared" si="15"/>
        <v>2026Q4</v>
      </c>
      <c r="L63" s="6"/>
      <c r="M63" s="9">
        <f t="shared" si="16"/>
        <v>536.12199999999996</v>
      </c>
      <c r="N63" s="6"/>
      <c r="O63" s="6"/>
      <c r="P63" s="9">
        <f t="shared" si="17"/>
        <v>3889.7020000000002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538.99300000000005</v>
      </c>
      <c r="D64" s="6"/>
      <c r="E64" s="6"/>
      <c r="F64" s="9">
        <f t="shared" si="14"/>
        <v>4375.8459999999995</v>
      </c>
      <c r="G64" s="6"/>
      <c r="K64" s="7" t="str">
        <f t="shared" si="15"/>
        <v>2027Q1</v>
      </c>
      <c r="L64" s="6"/>
      <c r="M64" s="9">
        <f t="shared" si="16"/>
        <v>500.858</v>
      </c>
      <c r="N64" s="6"/>
      <c r="O64" s="6"/>
      <c r="P64" s="9">
        <f t="shared" si="17"/>
        <v>3852.953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570.25699999999995</v>
      </c>
      <c r="D65" s="6"/>
      <c r="E65" s="6"/>
      <c r="F65" s="9">
        <f t="shared" si="14"/>
        <v>4464.7120000000004</v>
      </c>
      <c r="G65" s="6"/>
      <c r="K65" s="7" t="str">
        <f t="shared" si="15"/>
        <v>2027Q2</v>
      </c>
      <c r="L65" s="6"/>
      <c r="M65" s="9">
        <f t="shared" si="16"/>
        <v>531.63900000000001</v>
      </c>
      <c r="N65" s="6"/>
      <c r="O65" s="6"/>
      <c r="P65" s="9">
        <f t="shared" si="17"/>
        <v>3929.4340000000002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567.83199999999999</v>
      </c>
      <c r="D66" s="6"/>
      <c r="E66" s="6"/>
      <c r="F66" s="9">
        <f t="shared" si="14"/>
        <v>4453.6220000000003</v>
      </c>
      <c r="G66" s="6"/>
      <c r="K66" s="7" t="str">
        <f t="shared" si="15"/>
        <v>2027Q3</v>
      </c>
      <c r="L66" s="6"/>
      <c r="M66" s="9">
        <f t="shared" si="16"/>
        <v>528.76199999999994</v>
      </c>
      <c r="N66" s="6"/>
      <c r="O66" s="6"/>
      <c r="P66" s="9">
        <f t="shared" si="17"/>
        <v>3906.239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570.30200000000002</v>
      </c>
      <c r="D67" s="6"/>
      <c r="E67" s="6"/>
      <c r="F67" s="9">
        <f t="shared" si="14"/>
        <v>4480.7290000000003</v>
      </c>
      <c r="G67" s="6"/>
      <c r="K67" s="7" t="str">
        <f t="shared" si="15"/>
        <v>2027Q4</v>
      </c>
      <c r="L67" s="6"/>
      <c r="M67" s="9">
        <f t="shared" si="16"/>
        <v>530.80799999999999</v>
      </c>
      <c r="N67" s="6"/>
      <c r="O67" s="6"/>
      <c r="P67" s="9">
        <f t="shared" si="17"/>
        <v>3921.502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535.80200000000002</v>
      </c>
      <c r="D68" s="6"/>
      <c r="E68" s="6"/>
      <c r="F68" s="9">
        <f t="shared" si="14"/>
        <v>4457.7529999999997</v>
      </c>
      <c r="G68" s="6"/>
      <c r="K68" s="7" t="str">
        <f t="shared" si="15"/>
        <v>2028Q1</v>
      </c>
      <c r="L68" s="6"/>
      <c r="M68" s="9">
        <f t="shared" si="16"/>
        <v>495.91199999999998</v>
      </c>
      <c r="N68" s="6"/>
      <c r="O68" s="6"/>
      <c r="P68" s="9">
        <f t="shared" si="17"/>
        <v>3886.9279999999999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567.30100000000004</v>
      </c>
      <c r="D69" s="6"/>
      <c r="E69" s="6"/>
      <c r="F69" s="9">
        <f t="shared" si="14"/>
        <v>4547.6400000000003</v>
      </c>
      <c r="G69" s="6"/>
      <c r="K69" s="7" t="str">
        <f t="shared" si="15"/>
        <v>2028Q2</v>
      </c>
      <c r="L69" s="6"/>
      <c r="M69" s="9">
        <f t="shared" si="16"/>
        <v>527.03800000000001</v>
      </c>
      <c r="N69" s="6"/>
      <c r="O69" s="6"/>
      <c r="P69" s="9">
        <f t="shared" si="17"/>
        <v>3965.4490000000001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565.101</v>
      </c>
      <c r="D70" s="6"/>
      <c r="E70" s="6"/>
      <c r="F70" s="9">
        <f t="shared" si="14"/>
        <v>4537.5050000000001</v>
      </c>
      <c r="G70" s="6"/>
      <c r="K70" s="7" t="str">
        <f t="shared" si="15"/>
        <v>2028Q3</v>
      </c>
      <c r="L70" s="6"/>
      <c r="M70" s="9">
        <f t="shared" si="16"/>
        <v>524.48800000000006</v>
      </c>
      <c r="N70" s="6"/>
      <c r="O70" s="6"/>
      <c r="P70" s="9">
        <f t="shared" si="17"/>
        <v>3944.165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567.78399999999999</v>
      </c>
      <c r="D71" s="6"/>
      <c r="E71" s="6"/>
      <c r="F71" s="9">
        <f t="shared" si="14"/>
        <v>4565.5129999999999</v>
      </c>
      <c r="G71" s="6"/>
      <c r="K71" s="7" t="str">
        <f t="shared" si="15"/>
        <v>2028Q4</v>
      </c>
      <c r="L71" s="6"/>
      <c r="M71" s="9">
        <f t="shared" si="16"/>
        <v>526.84100000000001</v>
      </c>
      <c r="N71" s="6"/>
      <c r="O71" s="6"/>
      <c r="P71" s="9">
        <f t="shared" si="17"/>
        <v>3961.23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533.48699999999997</v>
      </c>
      <c r="D72" s="6"/>
      <c r="E72" s="6"/>
      <c r="F72" s="9">
        <f t="shared" si="14"/>
        <v>4543.3860000000004</v>
      </c>
      <c r="G72" s="6"/>
      <c r="K72" s="7" t="str">
        <f t="shared" si="15"/>
        <v>2029Q1</v>
      </c>
      <c r="L72" s="6"/>
      <c r="M72" s="9">
        <f t="shared" si="16"/>
        <v>492.23599999999999</v>
      </c>
      <c r="N72" s="6"/>
      <c r="O72" s="6"/>
      <c r="P72" s="9">
        <f t="shared" si="17"/>
        <v>3928.3539999999998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565.18100000000004</v>
      </c>
      <c r="D73" s="6"/>
      <c r="E73" s="6"/>
      <c r="F73" s="9">
        <f t="shared" si="14"/>
        <v>4634.076</v>
      </c>
      <c r="G73" s="6"/>
      <c r="K73" s="7" t="str">
        <f t="shared" si="15"/>
        <v>2029Q2</v>
      </c>
      <c r="L73" s="6"/>
      <c r="M73" s="9">
        <f t="shared" si="16"/>
        <v>523.63800000000003</v>
      </c>
      <c r="N73" s="6"/>
      <c r="O73" s="6"/>
      <c r="P73" s="9">
        <f t="shared" si="17"/>
        <v>4008.48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563.16700000000003</v>
      </c>
      <c r="D74" s="6"/>
      <c r="E74" s="6"/>
      <c r="F74" s="9">
        <f t="shared" si="14"/>
        <v>4624.701</v>
      </c>
      <c r="G74" s="6"/>
      <c r="K74" s="7" t="str">
        <f t="shared" si="15"/>
        <v>2029Q3</v>
      </c>
      <c r="L74" s="6"/>
      <c r="M74" s="9">
        <f t="shared" si="16"/>
        <v>521.35</v>
      </c>
      <c r="N74" s="6"/>
      <c r="O74" s="6"/>
      <c r="P74" s="9">
        <f t="shared" si="17"/>
        <v>3988.7170000000001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566.02800000000002</v>
      </c>
      <c r="D75" s="6"/>
      <c r="E75" s="6"/>
      <c r="F75" s="9">
        <f t="shared" si="14"/>
        <v>4653.4319999999998</v>
      </c>
      <c r="G75" s="6"/>
      <c r="K75" s="7" t="str">
        <f t="shared" si="15"/>
        <v>2029Q4</v>
      </c>
      <c r="L75" s="6"/>
      <c r="M75" s="9">
        <f t="shared" si="16"/>
        <v>523.952</v>
      </c>
      <c r="N75" s="6"/>
      <c r="O75" s="6"/>
      <c r="P75" s="9">
        <f t="shared" si="17"/>
        <v>4007.2249999999999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4" t="s">
        <v>13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7">
        <v>224.61623856669874</v>
      </c>
      <c r="M3" s="47">
        <v>212.48608186571889</v>
      </c>
      <c r="N3" s="47">
        <v>236.74639526767859</v>
      </c>
      <c r="O3" s="1">
        <f t="shared" ref="O3:O34" si="0">ROUND(M3,3)</f>
        <v>212.48599999999999</v>
      </c>
      <c r="P3" s="1">
        <f t="shared" ref="P3:P34" si="1">ROUND(L3,3)</f>
        <v>224.61600000000001</v>
      </c>
      <c r="Q3" s="1">
        <f t="shared" ref="Q3:Q34" si="2">ROUND(N3,3)</f>
        <v>236.74600000000001</v>
      </c>
      <c r="R3" s="14" t="str">
        <f>K3</f>
        <v>2022Q1</v>
      </c>
      <c r="S3" s="62">
        <v>189.51483309676507</v>
      </c>
      <c r="T3" s="62">
        <v>171.27654220101371</v>
      </c>
      <c r="U3" s="62">
        <v>207.75312399251644</v>
      </c>
      <c r="V3" s="1">
        <f t="shared" ref="V3:V34" si="3">ROUND(T3,3)</f>
        <v>171.27699999999999</v>
      </c>
      <c r="W3" s="1">
        <f t="shared" ref="W3:W34" si="4">ROUND(S3,3)</f>
        <v>189.51499999999999</v>
      </c>
      <c r="X3" s="1">
        <f t="shared" ref="X3:X34" si="5">ROUND(U3,3)</f>
        <v>207.75299999999999</v>
      </c>
    </row>
    <row r="4" spans="1:30" ht="15.5" thickTop="1" thickBot="1" x14ac:dyDescent="0.4">
      <c r="A4" s="5" t="str">
        <f>K3</f>
        <v>2022Q1</v>
      </c>
      <c r="B4" s="2">
        <f>O3</f>
        <v>212.48599999999999</v>
      </c>
      <c r="C4" s="3">
        <f>P3</f>
        <v>224.61600000000001</v>
      </c>
      <c r="D4" s="2">
        <f>Q3</f>
        <v>236.74600000000001</v>
      </c>
      <c r="E4" s="2">
        <f>V3</f>
        <v>171.27699999999999</v>
      </c>
      <c r="F4" s="3">
        <f>W3</f>
        <v>189.51499999999999</v>
      </c>
      <c r="G4" s="2">
        <f>X3</f>
        <v>207.75299999999999</v>
      </c>
      <c r="K4" s="14" t="s">
        <v>68</v>
      </c>
      <c r="L4" s="47">
        <v>240.99969293654172</v>
      </c>
      <c r="M4" s="47">
        <v>226.76823111003287</v>
      </c>
      <c r="N4" s="47">
        <v>255.23115476305057</v>
      </c>
      <c r="O4" s="1">
        <f t="shared" si="0"/>
        <v>226.768</v>
      </c>
      <c r="P4" s="1">
        <f t="shared" si="1"/>
        <v>241</v>
      </c>
      <c r="Q4" s="1">
        <f t="shared" si="2"/>
        <v>255.23099999999999</v>
      </c>
      <c r="R4" s="14" t="str">
        <f t="shared" ref="R4:R34" si="6">K4</f>
        <v>2022Q2</v>
      </c>
      <c r="S4" s="62">
        <v>194.16072273039234</v>
      </c>
      <c r="T4" s="62">
        <v>170.40018516831302</v>
      </c>
      <c r="U4" s="62">
        <v>217.92126029247166</v>
      </c>
      <c r="V4" s="1">
        <f t="shared" si="3"/>
        <v>170.4</v>
      </c>
      <c r="W4" s="1">
        <f t="shared" si="4"/>
        <v>194.161</v>
      </c>
      <c r="X4" s="1">
        <f t="shared" si="5"/>
        <v>217.92099999999999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226.768</v>
      </c>
      <c r="C5" s="3">
        <f t="shared" si="8"/>
        <v>241</v>
      </c>
      <c r="D5" s="2">
        <f t="shared" si="8"/>
        <v>255.23099999999999</v>
      </c>
      <c r="E5" s="2">
        <f t="shared" ref="E5:G20" si="9">V4</f>
        <v>170.4</v>
      </c>
      <c r="F5" s="3">
        <f t="shared" si="9"/>
        <v>194.161</v>
      </c>
      <c r="G5" s="2">
        <f t="shared" si="9"/>
        <v>217.92099999999999</v>
      </c>
      <c r="I5" s="1">
        <f>SUM(F5:F8)</f>
        <v>783.92799999999988</v>
      </c>
      <c r="K5" s="14" t="s">
        <v>69</v>
      </c>
      <c r="L5" s="47">
        <v>241.25663003301986</v>
      </c>
      <c r="M5" s="47">
        <v>225.76324124196077</v>
      </c>
      <c r="N5" s="47">
        <v>256.75001882407895</v>
      </c>
      <c r="O5" s="1">
        <f t="shared" si="0"/>
        <v>225.76300000000001</v>
      </c>
      <c r="P5" s="1">
        <f t="shared" si="1"/>
        <v>241.25700000000001</v>
      </c>
      <c r="Q5" s="1">
        <f t="shared" si="2"/>
        <v>256.75</v>
      </c>
      <c r="R5" s="14" t="str">
        <f t="shared" si="6"/>
        <v>2022Q3</v>
      </c>
      <c r="S5" s="62">
        <v>194.90942205711852</v>
      </c>
      <c r="T5" s="62">
        <v>166.77081285077227</v>
      </c>
      <c r="U5" s="62">
        <v>223.04803126346476</v>
      </c>
      <c r="V5" s="1">
        <f t="shared" si="3"/>
        <v>166.77099999999999</v>
      </c>
      <c r="W5" s="1">
        <f t="shared" si="4"/>
        <v>194.90899999999999</v>
      </c>
      <c r="X5" s="1">
        <f t="shared" si="5"/>
        <v>223.048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225.76300000000001</v>
      </c>
      <c r="C6" s="3">
        <f t="shared" si="8"/>
        <v>241.25700000000001</v>
      </c>
      <c r="D6" s="2">
        <f t="shared" si="8"/>
        <v>256.75</v>
      </c>
      <c r="E6" s="2">
        <f t="shared" si="9"/>
        <v>166.77099999999999</v>
      </c>
      <c r="F6" s="3">
        <f t="shared" si="9"/>
        <v>194.90899999999999</v>
      </c>
      <c r="G6" s="2">
        <f t="shared" si="9"/>
        <v>223.048</v>
      </c>
      <c r="I6" s="1">
        <f>SUM(F9:F12)</f>
        <v>816.49</v>
      </c>
      <c r="K6" s="14" t="s">
        <v>70</v>
      </c>
      <c r="L6" s="47">
        <v>239.71792246003361</v>
      </c>
      <c r="M6" s="47">
        <v>223.42541343323555</v>
      </c>
      <c r="N6" s="47">
        <v>256.01043148683164</v>
      </c>
      <c r="O6" s="1">
        <f t="shared" si="0"/>
        <v>223.42500000000001</v>
      </c>
      <c r="P6" s="1">
        <f t="shared" si="1"/>
        <v>239.71799999999999</v>
      </c>
      <c r="Q6" s="1">
        <f t="shared" si="2"/>
        <v>256.01</v>
      </c>
      <c r="R6" s="14" t="str">
        <f t="shared" si="6"/>
        <v>2022Q4</v>
      </c>
      <c r="S6" s="62">
        <v>197.23088608069227</v>
      </c>
      <c r="T6" s="62">
        <v>165.3129042166733</v>
      </c>
      <c r="U6" s="62">
        <v>229.14886794471124</v>
      </c>
      <c r="V6" s="1">
        <f t="shared" si="3"/>
        <v>165.31299999999999</v>
      </c>
      <c r="W6" s="1">
        <f t="shared" si="4"/>
        <v>197.23099999999999</v>
      </c>
      <c r="X6" s="1">
        <f t="shared" si="5"/>
        <v>229.149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223.42500000000001</v>
      </c>
      <c r="C7" s="3">
        <f t="shared" si="8"/>
        <v>239.71799999999999</v>
      </c>
      <c r="D7" s="2">
        <f t="shared" si="8"/>
        <v>256.01</v>
      </c>
      <c r="E7" s="2">
        <f t="shared" si="9"/>
        <v>165.31299999999999</v>
      </c>
      <c r="F7" s="3">
        <f t="shared" si="9"/>
        <v>197.23099999999999</v>
      </c>
      <c r="G7" s="2">
        <f t="shared" si="9"/>
        <v>229.149</v>
      </c>
      <c r="I7" s="1">
        <f>SUM(F13:F16)</f>
        <v>849.05399999999997</v>
      </c>
      <c r="K7" s="14" t="s">
        <v>71</v>
      </c>
      <c r="L7" s="47">
        <v>223.93902877775344</v>
      </c>
      <c r="M7" s="47">
        <v>207.12694142770252</v>
      </c>
      <c r="N7" s="47">
        <v>240.75111612780435</v>
      </c>
      <c r="O7" s="1">
        <f t="shared" si="0"/>
        <v>207.12700000000001</v>
      </c>
      <c r="P7" s="1">
        <f t="shared" si="1"/>
        <v>223.93899999999999</v>
      </c>
      <c r="Q7" s="1">
        <f t="shared" si="2"/>
        <v>240.751</v>
      </c>
      <c r="R7" s="14" t="str">
        <f t="shared" si="6"/>
        <v>2023Q1</v>
      </c>
      <c r="S7" s="62">
        <v>197.62668988013664</v>
      </c>
      <c r="T7" s="62">
        <v>162.33191248289418</v>
      </c>
      <c r="U7" s="62">
        <v>232.92146727737909</v>
      </c>
      <c r="V7" s="1">
        <f t="shared" si="3"/>
        <v>162.33199999999999</v>
      </c>
      <c r="W7" s="1">
        <f t="shared" si="4"/>
        <v>197.62700000000001</v>
      </c>
      <c r="X7" s="1">
        <f t="shared" si="5"/>
        <v>232.92099999999999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207.12700000000001</v>
      </c>
      <c r="C8" s="3">
        <f t="shared" si="8"/>
        <v>223.93899999999999</v>
      </c>
      <c r="D8" s="2">
        <f t="shared" si="8"/>
        <v>240.751</v>
      </c>
      <c r="E8" s="2">
        <f t="shared" si="9"/>
        <v>162.33199999999999</v>
      </c>
      <c r="F8" s="3">
        <f t="shared" si="9"/>
        <v>197.62700000000001</v>
      </c>
      <c r="G8" s="2">
        <f t="shared" si="9"/>
        <v>232.92099999999999</v>
      </c>
      <c r="I8" s="1">
        <f>SUM(F17:F20)</f>
        <v>881.61799999999994</v>
      </c>
      <c r="K8" s="14" t="s">
        <v>72</v>
      </c>
      <c r="L8" s="47">
        <v>241.75527099292896</v>
      </c>
      <c r="M8" s="47">
        <v>224.6002786402899</v>
      </c>
      <c r="N8" s="47">
        <v>258.91026334556801</v>
      </c>
      <c r="O8" s="1">
        <f t="shared" si="0"/>
        <v>224.6</v>
      </c>
      <c r="P8" s="1">
        <f t="shared" si="1"/>
        <v>241.755</v>
      </c>
      <c r="Q8" s="1">
        <f t="shared" si="2"/>
        <v>258.91000000000003</v>
      </c>
      <c r="R8" s="14" t="str">
        <f t="shared" si="6"/>
        <v>2023Q2</v>
      </c>
      <c r="S8" s="62">
        <v>202.30025011983446</v>
      </c>
      <c r="T8" s="62">
        <v>163.92467961570603</v>
      </c>
      <c r="U8" s="62">
        <v>240.67582062396289</v>
      </c>
      <c r="V8" s="1">
        <f t="shared" si="3"/>
        <v>163.92500000000001</v>
      </c>
      <c r="W8" s="1">
        <f t="shared" si="4"/>
        <v>202.3</v>
      </c>
      <c r="X8" s="1">
        <f t="shared" si="5"/>
        <v>240.67599999999999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224.6</v>
      </c>
      <c r="C9" s="3">
        <f t="shared" si="8"/>
        <v>241.755</v>
      </c>
      <c r="D9" s="2">
        <f t="shared" si="8"/>
        <v>258.91000000000003</v>
      </c>
      <c r="E9" s="2">
        <f t="shared" si="9"/>
        <v>163.92500000000001</v>
      </c>
      <c r="F9" s="3">
        <f t="shared" si="9"/>
        <v>202.3</v>
      </c>
      <c r="G9" s="2">
        <f t="shared" si="9"/>
        <v>240.67599999999999</v>
      </c>
      <c r="I9" s="1">
        <f>SUM(F21:F24)</f>
        <v>914.18200000000002</v>
      </c>
      <c r="K9" s="14" t="s">
        <v>73</v>
      </c>
      <c r="L9" s="47">
        <v>243.19124728715465</v>
      </c>
      <c r="M9" s="47">
        <v>225.8078932695048</v>
      </c>
      <c r="N9" s="47">
        <v>260.5746013048045</v>
      </c>
      <c r="O9" s="1">
        <f t="shared" si="0"/>
        <v>225.80799999999999</v>
      </c>
      <c r="P9" s="1">
        <f t="shared" si="1"/>
        <v>243.191</v>
      </c>
      <c r="Q9" s="1">
        <f t="shared" si="2"/>
        <v>260.57499999999999</v>
      </c>
      <c r="R9" s="14" t="str">
        <f t="shared" si="6"/>
        <v>2023Q3</v>
      </c>
      <c r="S9" s="62">
        <v>203.0503786351662</v>
      </c>
      <c r="T9" s="62">
        <v>161.82359755555177</v>
      </c>
      <c r="U9" s="62">
        <v>244.27715971478062</v>
      </c>
      <c r="V9" s="1">
        <f t="shared" si="3"/>
        <v>161.82400000000001</v>
      </c>
      <c r="W9" s="1">
        <f t="shared" si="4"/>
        <v>203.05</v>
      </c>
      <c r="X9" s="1">
        <f t="shared" si="5"/>
        <v>244.27699999999999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225.80799999999999</v>
      </c>
      <c r="C10" s="3">
        <f t="shared" si="8"/>
        <v>243.191</v>
      </c>
      <c r="D10" s="2">
        <f t="shared" si="8"/>
        <v>260.57499999999999</v>
      </c>
      <c r="E10" s="2">
        <f t="shared" si="9"/>
        <v>161.82400000000001</v>
      </c>
      <c r="F10" s="3">
        <f t="shared" si="9"/>
        <v>203.05</v>
      </c>
      <c r="G10" s="2">
        <f t="shared" si="9"/>
        <v>244.27699999999999</v>
      </c>
      <c r="I10" s="1">
        <f>SUM(F25:F28)</f>
        <v>946.74700000000007</v>
      </c>
      <c r="K10" s="14" t="s">
        <v>74</v>
      </c>
      <c r="L10" s="47">
        <v>242.62276948988418</v>
      </c>
      <c r="M10" s="47">
        <v>225.08646617770242</v>
      </c>
      <c r="N10" s="47">
        <v>260.15907280206591</v>
      </c>
      <c r="O10" s="1">
        <f t="shared" si="0"/>
        <v>225.08600000000001</v>
      </c>
      <c r="P10" s="1">
        <f t="shared" si="1"/>
        <v>242.62299999999999</v>
      </c>
      <c r="Q10" s="1">
        <f t="shared" si="2"/>
        <v>260.15899999999999</v>
      </c>
      <c r="R10" s="14" t="str">
        <f t="shared" si="6"/>
        <v>2023Q4</v>
      </c>
      <c r="S10" s="62">
        <v>205.3719164764245</v>
      </c>
      <c r="T10" s="62">
        <v>161.4787445343762</v>
      </c>
      <c r="U10" s="62">
        <v>249.2650884184728</v>
      </c>
      <c r="V10" s="1">
        <f t="shared" si="3"/>
        <v>161.47900000000001</v>
      </c>
      <c r="W10" s="1">
        <f t="shared" si="4"/>
        <v>205.37200000000001</v>
      </c>
      <c r="X10" s="1">
        <f t="shared" si="5"/>
        <v>249.26499999999999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225.08600000000001</v>
      </c>
      <c r="C11" s="3">
        <f t="shared" si="8"/>
        <v>242.62299999999999</v>
      </c>
      <c r="D11" s="2">
        <f t="shared" si="8"/>
        <v>260.15899999999999</v>
      </c>
      <c r="E11" s="2">
        <f t="shared" si="9"/>
        <v>161.47900000000001</v>
      </c>
      <c r="F11" s="3">
        <f t="shared" si="9"/>
        <v>205.37200000000001</v>
      </c>
      <c r="G11" s="2">
        <f t="shared" si="9"/>
        <v>249.26499999999999</v>
      </c>
      <c r="I11" s="1">
        <f>SUM(F29:F32)</f>
        <v>979.31099999999992</v>
      </c>
      <c r="K11" s="14" t="s">
        <v>75</v>
      </c>
      <c r="L11" s="47">
        <v>227.64227658976955</v>
      </c>
      <c r="M11" s="47">
        <v>210.0031548855053</v>
      </c>
      <c r="N11" s="47">
        <v>245.28139829403381</v>
      </c>
      <c r="O11" s="1">
        <f t="shared" si="0"/>
        <v>210.00299999999999</v>
      </c>
      <c r="P11" s="1">
        <f t="shared" si="1"/>
        <v>227.642</v>
      </c>
      <c r="Q11" s="1">
        <f t="shared" si="2"/>
        <v>245.28100000000001</v>
      </c>
      <c r="R11" s="14" t="str">
        <f t="shared" si="6"/>
        <v>2024Q1</v>
      </c>
      <c r="S11" s="62">
        <v>205.76772408855706</v>
      </c>
      <c r="T11" s="62">
        <v>159.36111240451928</v>
      </c>
      <c r="U11" s="62">
        <v>252.17433577259484</v>
      </c>
      <c r="V11" s="1">
        <f t="shared" si="3"/>
        <v>159.36099999999999</v>
      </c>
      <c r="W11" s="1">
        <f t="shared" si="4"/>
        <v>205.768</v>
      </c>
      <c r="X11" s="1">
        <f t="shared" si="5"/>
        <v>252.17400000000001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210.00299999999999</v>
      </c>
      <c r="C12" s="3">
        <f t="shared" si="8"/>
        <v>227.642</v>
      </c>
      <c r="D12" s="2">
        <f t="shared" si="8"/>
        <v>245.28100000000001</v>
      </c>
      <c r="E12" s="2">
        <f t="shared" si="9"/>
        <v>159.36099999999999</v>
      </c>
      <c r="F12" s="3">
        <f t="shared" si="9"/>
        <v>205.768</v>
      </c>
      <c r="G12" s="2">
        <f t="shared" si="9"/>
        <v>252.17400000000001</v>
      </c>
      <c r="K12" s="14" t="s">
        <v>76</v>
      </c>
      <c r="L12" s="47">
        <v>246.11552173859783</v>
      </c>
      <c r="M12" s="47">
        <v>228.40711430220892</v>
      </c>
      <c r="N12" s="47">
        <v>263.82392917498674</v>
      </c>
      <c r="O12" s="1">
        <f t="shared" si="0"/>
        <v>228.40700000000001</v>
      </c>
      <c r="P12" s="1">
        <f t="shared" si="1"/>
        <v>246.11600000000001</v>
      </c>
      <c r="Q12" s="1">
        <f t="shared" si="2"/>
        <v>263.82400000000001</v>
      </c>
      <c r="R12" s="14" t="str">
        <f t="shared" si="6"/>
        <v>2024Q2</v>
      </c>
      <c r="S12" s="62">
        <v>210.44128452518046</v>
      </c>
      <c r="T12" s="62">
        <v>161.65054080419037</v>
      </c>
      <c r="U12" s="62">
        <v>259.2320282461705</v>
      </c>
      <c r="V12" s="1">
        <f t="shared" si="3"/>
        <v>161.65100000000001</v>
      </c>
      <c r="W12" s="1">
        <f t="shared" si="4"/>
        <v>210.441</v>
      </c>
      <c r="X12" s="1">
        <f t="shared" si="5"/>
        <v>259.23200000000003</v>
      </c>
    </row>
    <row r="13" spans="1:30" ht="15.5" thickTop="1" thickBot="1" x14ac:dyDescent="0.4">
      <c r="A13" s="5" t="str">
        <f t="shared" si="7"/>
        <v>2024Q2</v>
      </c>
      <c r="B13" s="2">
        <f t="shared" si="8"/>
        <v>228.40700000000001</v>
      </c>
      <c r="C13" s="3">
        <f t="shared" si="8"/>
        <v>246.11600000000001</v>
      </c>
      <c r="D13" s="2">
        <f t="shared" si="8"/>
        <v>263.82400000000001</v>
      </c>
      <c r="E13" s="2">
        <f t="shared" si="9"/>
        <v>161.65100000000001</v>
      </c>
      <c r="F13" s="3">
        <f t="shared" si="9"/>
        <v>210.441</v>
      </c>
      <c r="G13" s="2">
        <f t="shared" si="9"/>
        <v>259.23200000000003</v>
      </c>
      <c r="K13" s="14" t="s">
        <v>77</v>
      </c>
      <c r="L13" s="47">
        <v>248.09214486643211</v>
      </c>
      <c r="M13" s="47">
        <v>230.33697328285672</v>
      </c>
      <c r="N13" s="47">
        <v>265.8473164500075</v>
      </c>
      <c r="O13" s="1">
        <f t="shared" si="0"/>
        <v>230.33699999999999</v>
      </c>
      <c r="P13" s="1">
        <f t="shared" si="1"/>
        <v>248.09200000000001</v>
      </c>
      <c r="Q13" s="1">
        <f t="shared" si="2"/>
        <v>265.84699999999998</v>
      </c>
      <c r="R13" s="14" t="str">
        <f t="shared" si="6"/>
        <v>2024Q3</v>
      </c>
      <c r="S13" s="62">
        <v>211.19141305068345</v>
      </c>
      <c r="T13" s="62">
        <v>160.12772989228446</v>
      </c>
      <c r="U13" s="62">
        <v>262.25509620908241</v>
      </c>
      <c r="V13" s="1">
        <f t="shared" si="3"/>
        <v>160.12799999999999</v>
      </c>
      <c r="W13" s="1">
        <f t="shared" si="4"/>
        <v>211.191</v>
      </c>
      <c r="X13" s="1">
        <f t="shared" si="5"/>
        <v>262.255</v>
      </c>
    </row>
    <row r="14" spans="1:30" ht="15.5" thickTop="1" thickBot="1" x14ac:dyDescent="0.4">
      <c r="A14" s="5" t="str">
        <f t="shared" si="7"/>
        <v>2024Q3</v>
      </c>
      <c r="B14" s="2">
        <f t="shared" si="8"/>
        <v>230.33699999999999</v>
      </c>
      <c r="C14" s="3">
        <f t="shared" si="8"/>
        <v>248.09200000000001</v>
      </c>
      <c r="D14" s="2">
        <f t="shared" si="8"/>
        <v>265.84699999999998</v>
      </c>
      <c r="E14" s="2">
        <f t="shared" si="9"/>
        <v>160.12799999999999</v>
      </c>
      <c r="F14" s="3">
        <f t="shared" si="9"/>
        <v>211.191</v>
      </c>
      <c r="G14" s="2">
        <f t="shared" si="9"/>
        <v>262.255</v>
      </c>
      <c r="K14" s="14" t="s">
        <v>82</v>
      </c>
      <c r="L14" s="47">
        <v>247.96856462398043</v>
      </c>
      <c r="M14" s="47">
        <v>230.18179594517127</v>
      </c>
      <c r="N14" s="47">
        <v>265.75533330278955</v>
      </c>
      <c r="O14" s="1">
        <f t="shared" si="0"/>
        <v>230.18199999999999</v>
      </c>
      <c r="P14" s="1">
        <f t="shared" si="1"/>
        <v>247.96899999999999</v>
      </c>
      <c r="Q14" s="1">
        <f t="shared" si="2"/>
        <v>265.755</v>
      </c>
      <c r="R14" s="14" t="str">
        <f t="shared" si="6"/>
        <v>2024Q4</v>
      </c>
      <c r="S14" s="62">
        <v>213.5129508924671</v>
      </c>
      <c r="T14" s="62">
        <v>160.27327769140985</v>
      </c>
      <c r="U14" s="62">
        <v>266.75262409352433</v>
      </c>
      <c r="V14" s="1">
        <f t="shared" si="3"/>
        <v>160.273</v>
      </c>
      <c r="W14" s="1">
        <f t="shared" si="4"/>
        <v>213.51300000000001</v>
      </c>
      <c r="X14" s="1">
        <f t="shared" si="5"/>
        <v>266.75299999999999</v>
      </c>
    </row>
    <row r="15" spans="1:30" ht="15.5" thickTop="1" thickBot="1" x14ac:dyDescent="0.4">
      <c r="A15" s="5" t="str">
        <f t="shared" si="7"/>
        <v>2024Q4</v>
      </c>
      <c r="B15" s="2">
        <f t="shared" si="8"/>
        <v>230.18199999999999</v>
      </c>
      <c r="C15" s="3">
        <f t="shared" si="8"/>
        <v>247.96899999999999</v>
      </c>
      <c r="D15" s="2">
        <f t="shared" si="8"/>
        <v>265.755</v>
      </c>
      <c r="E15" s="2">
        <f t="shared" si="9"/>
        <v>160.273</v>
      </c>
      <c r="F15" s="3">
        <f t="shared" si="9"/>
        <v>213.51300000000001</v>
      </c>
      <c r="G15" s="2">
        <f t="shared" si="9"/>
        <v>266.75299999999999</v>
      </c>
      <c r="K15" s="14" t="s">
        <v>79</v>
      </c>
      <c r="L15" s="47">
        <v>233.35417732548873</v>
      </c>
      <c r="M15" s="47">
        <v>215.5460441236402</v>
      </c>
      <c r="N15" s="47">
        <v>251.1623105273373</v>
      </c>
      <c r="O15" s="1">
        <f t="shared" si="0"/>
        <v>215.54599999999999</v>
      </c>
      <c r="P15" s="1">
        <f t="shared" si="1"/>
        <v>233.35400000000001</v>
      </c>
      <c r="Q15" s="1">
        <f t="shared" si="2"/>
        <v>251.16200000000001</v>
      </c>
      <c r="R15" s="14" t="str">
        <f t="shared" si="6"/>
        <v>2025Q1</v>
      </c>
      <c r="S15" s="62">
        <v>213.90875850462683</v>
      </c>
      <c r="T15" s="62">
        <v>158.57860517563827</v>
      </c>
      <c r="U15" s="62">
        <v>269.23891183361536</v>
      </c>
      <c r="V15" s="1">
        <f t="shared" si="3"/>
        <v>158.57900000000001</v>
      </c>
      <c r="W15" s="1">
        <f t="shared" si="4"/>
        <v>213.90899999999999</v>
      </c>
      <c r="X15" s="1">
        <f t="shared" si="5"/>
        <v>269.23899999999998</v>
      </c>
    </row>
    <row r="16" spans="1:30" ht="15.5" thickTop="1" thickBot="1" x14ac:dyDescent="0.4">
      <c r="A16" s="5" t="str">
        <f t="shared" si="7"/>
        <v>2025Q1</v>
      </c>
      <c r="B16" s="2">
        <f t="shared" si="8"/>
        <v>215.54599999999999</v>
      </c>
      <c r="C16" s="3">
        <f t="shared" si="8"/>
        <v>233.35400000000001</v>
      </c>
      <c r="D16" s="2">
        <f t="shared" si="8"/>
        <v>251.16200000000001</v>
      </c>
      <c r="E16" s="2">
        <f t="shared" si="9"/>
        <v>158.57900000000001</v>
      </c>
      <c r="F16" s="3">
        <f t="shared" si="9"/>
        <v>213.90899999999999</v>
      </c>
      <c r="G16" s="2">
        <f t="shared" si="9"/>
        <v>269.23899999999998</v>
      </c>
      <c r="K16" s="14" t="s">
        <v>80</v>
      </c>
      <c r="L16" s="47">
        <v>252.12869028324948</v>
      </c>
      <c r="M16" s="47">
        <v>234.30610437686073</v>
      </c>
      <c r="N16" s="47">
        <v>269.95127618963824</v>
      </c>
      <c r="O16" s="1">
        <f t="shared" si="0"/>
        <v>234.30600000000001</v>
      </c>
      <c r="P16" s="1">
        <f t="shared" si="1"/>
        <v>252.12899999999999</v>
      </c>
      <c r="Q16" s="1">
        <f t="shared" si="2"/>
        <v>269.95100000000002</v>
      </c>
      <c r="R16" s="14" t="str">
        <f t="shared" si="6"/>
        <v>2025Q2</v>
      </c>
      <c r="S16" s="62">
        <v>218.5823189412516</v>
      </c>
      <c r="T16" s="62">
        <v>161.23784290158935</v>
      </c>
      <c r="U16" s="62">
        <v>275.92679498091383</v>
      </c>
      <c r="V16" s="1">
        <f t="shared" si="3"/>
        <v>161.238</v>
      </c>
      <c r="W16" s="1">
        <f t="shared" si="4"/>
        <v>218.58199999999999</v>
      </c>
      <c r="X16" s="1">
        <f t="shared" si="5"/>
        <v>275.92700000000002</v>
      </c>
    </row>
    <row r="17" spans="1:24" ht="15.5" thickTop="1" thickBot="1" x14ac:dyDescent="0.4">
      <c r="A17" s="5" t="str">
        <f t="shared" si="7"/>
        <v>2025Q2</v>
      </c>
      <c r="B17" s="2">
        <f t="shared" si="8"/>
        <v>234.30600000000001</v>
      </c>
      <c r="C17" s="3">
        <f t="shared" si="8"/>
        <v>252.12899999999999</v>
      </c>
      <c r="D17" s="2">
        <f t="shared" si="8"/>
        <v>269.95100000000002</v>
      </c>
      <c r="E17" s="2">
        <f t="shared" si="9"/>
        <v>161.238</v>
      </c>
      <c r="F17" s="3">
        <f t="shared" si="9"/>
        <v>218.58199999999999</v>
      </c>
      <c r="G17" s="2">
        <f t="shared" si="9"/>
        <v>275.92700000000002</v>
      </c>
      <c r="K17" s="14" t="s">
        <v>81</v>
      </c>
      <c r="L17" s="47">
        <v>254.35322628730472</v>
      </c>
      <c r="M17" s="47">
        <v>236.52086020726375</v>
      </c>
      <c r="N17" s="47">
        <v>272.18559236734569</v>
      </c>
      <c r="O17" s="1">
        <f t="shared" si="0"/>
        <v>236.52099999999999</v>
      </c>
      <c r="P17" s="1">
        <f t="shared" si="1"/>
        <v>254.35300000000001</v>
      </c>
      <c r="Q17" s="1">
        <f t="shared" si="2"/>
        <v>272.18599999999998</v>
      </c>
      <c r="R17" s="14" t="str">
        <f t="shared" si="6"/>
        <v>2025Q3</v>
      </c>
      <c r="S17" s="62">
        <v>219.33244746675467</v>
      </c>
      <c r="T17" s="62">
        <v>160.04204354573716</v>
      </c>
      <c r="U17" s="62">
        <v>278.62285138777219</v>
      </c>
      <c r="V17" s="1">
        <f t="shared" si="3"/>
        <v>160.042</v>
      </c>
      <c r="W17" s="1">
        <f t="shared" si="4"/>
        <v>219.33199999999999</v>
      </c>
      <c r="X17" s="1">
        <f t="shared" si="5"/>
        <v>278.62299999999999</v>
      </c>
    </row>
    <row r="18" spans="1:24" ht="15.5" thickTop="1" thickBot="1" x14ac:dyDescent="0.4">
      <c r="A18" s="5" t="str">
        <f t="shared" si="7"/>
        <v>2025Q3</v>
      </c>
      <c r="B18" s="2">
        <f t="shared" si="8"/>
        <v>236.52099999999999</v>
      </c>
      <c r="C18" s="3">
        <f t="shared" si="8"/>
        <v>254.35300000000001</v>
      </c>
      <c r="D18" s="2">
        <f t="shared" si="8"/>
        <v>272.18599999999998</v>
      </c>
      <c r="E18" s="2">
        <f t="shared" si="9"/>
        <v>160.042</v>
      </c>
      <c r="F18" s="3">
        <f t="shared" si="9"/>
        <v>219.33199999999999</v>
      </c>
      <c r="G18" s="2">
        <f t="shared" si="9"/>
        <v>278.62299999999999</v>
      </c>
      <c r="K18" s="14" t="s">
        <v>78</v>
      </c>
      <c r="L18" s="47">
        <v>254.43365321845044</v>
      </c>
      <c r="M18" s="47">
        <v>236.5946674192738</v>
      </c>
      <c r="N18" s="47">
        <v>272.27263901762706</v>
      </c>
      <c r="O18" s="1">
        <f t="shared" si="0"/>
        <v>236.595</v>
      </c>
      <c r="P18" s="1">
        <f t="shared" si="1"/>
        <v>254.434</v>
      </c>
      <c r="Q18" s="1">
        <f t="shared" si="2"/>
        <v>272.27300000000002</v>
      </c>
      <c r="R18" s="14" t="str">
        <f t="shared" si="6"/>
        <v>2025Q4</v>
      </c>
      <c r="S18" s="62">
        <v>221.6539853085383</v>
      </c>
      <c r="T18" s="62">
        <v>160.4795211754425</v>
      </c>
      <c r="U18" s="62">
        <v>282.82844944163406</v>
      </c>
      <c r="V18" s="1">
        <f t="shared" si="3"/>
        <v>160.47999999999999</v>
      </c>
      <c r="W18" s="1">
        <f t="shared" si="4"/>
        <v>221.654</v>
      </c>
      <c r="X18" s="1">
        <f t="shared" si="5"/>
        <v>282.82799999999997</v>
      </c>
    </row>
    <row r="19" spans="1:24" ht="15.5" thickTop="1" thickBot="1" x14ac:dyDescent="0.4">
      <c r="A19" s="5" t="str">
        <f t="shared" si="7"/>
        <v>2025Q4</v>
      </c>
      <c r="B19" s="2">
        <f t="shared" si="8"/>
        <v>236.595</v>
      </c>
      <c r="C19" s="3">
        <f t="shared" si="8"/>
        <v>254.434</v>
      </c>
      <c r="D19" s="2">
        <f t="shared" si="8"/>
        <v>272.27300000000002</v>
      </c>
      <c r="E19" s="2">
        <f t="shared" si="9"/>
        <v>160.47999999999999</v>
      </c>
      <c r="F19" s="3">
        <f t="shared" si="9"/>
        <v>221.654</v>
      </c>
      <c r="G19" s="2">
        <f t="shared" si="9"/>
        <v>282.82799999999997</v>
      </c>
      <c r="K19" s="14" t="s">
        <v>90</v>
      </c>
      <c r="L19" s="47">
        <v>239.98714314970809</v>
      </c>
      <c r="M19" s="47">
        <v>222.14367612149078</v>
      </c>
      <c r="N19" s="47">
        <v>257.83061017792539</v>
      </c>
      <c r="O19" s="1">
        <f t="shared" si="0"/>
        <v>222.14400000000001</v>
      </c>
      <c r="P19" s="1">
        <f t="shared" si="1"/>
        <v>239.98699999999999</v>
      </c>
      <c r="Q19" s="1">
        <f t="shared" si="2"/>
        <v>257.83100000000002</v>
      </c>
      <c r="R19" s="14" t="str">
        <f t="shared" si="6"/>
        <v>2026Q1</v>
      </c>
      <c r="S19" s="62">
        <v>222.04979292069802</v>
      </c>
      <c r="T19" s="62">
        <v>159.04758560360924</v>
      </c>
      <c r="U19" s="62">
        <v>285.05200023778679</v>
      </c>
      <c r="V19" s="1">
        <f t="shared" si="3"/>
        <v>159.048</v>
      </c>
      <c r="W19" s="1">
        <f t="shared" si="4"/>
        <v>222.05</v>
      </c>
      <c r="X19" s="1">
        <f t="shared" si="5"/>
        <v>285.05200000000002</v>
      </c>
    </row>
    <row r="20" spans="1:24" ht="15.5" thickTop="1" thickBot="1" x14ac:dyDescent="0.4">
      <c r="A20" s="5" t="str">
        <f t="shared" si="7"/>
        <v>2026Q1</v>
      </c>
      <c r="B20" s="2">
        <f t="shared" si="8"/>
        <v>222.14400000000001</v>
      </c>
      <c r="C20" s="3">
        <f t="shared" si="8"/>
        <v>239.98699999999999</v>
      </c>
      <c r="D20" s="2">
        <f t="shared" si="8"/>
        <v>257.83100000000002</v>
      </c>
      <c r="E20" s="2">
        <f t="shared" si="9"/>
        <v>159.048</v>
      </c>
      <c r="F20" s="3">
        <f t="shared" si="9"/>
        <v>222.05</v>
      </c>
      <c r="G20" s="2">
        <f t="shared" si="9"/>
        <v>285.05200000000002</v>
      </c>
      <c r="K20" s="14" t="s">
        <v>91</v>
      </c>
      <c r="L20" s="47">
        <v>258.89980205484585</v>
      </c>
      <c r="M20" s="47">
        <v>241.05330114666097</v>
      </c>
      <c r="N20" s="47">
        <v>276.74630296303081</v>
      </c>
      <c r="O20" s="1">
        <f t="shared" si="0"/>
        <v>241.053</v>
      </c>
      <c r="P20" s="1">
        <f t="shared" si="1"/>
        <v>258.89999999999998</v>
      </c>
      <c r="Q20" s="1">
        <f t="shared" si="2"/>
        <v>276.74599999999998</v>
      </c>
      <c r="R20" s="14" t="str">
        <f t="shared" si="6"/>
        <v>2026Q2</v>
      </c>
      <c r="S20" s="62">
        <v>226.72335335732279</v>
      </c>
      <c r="T20" s="62">
        <v>161.94495270031794</v>
      </c>
      <c r="U20" s="62">
        <v>291.50175401432762</v>
      </c>
      <c r="V20" s="1">
        <f t="shared" si="3"/>
        <v>161.94499999999999</v>
      </c>
      <c r="W20" s="1">
        <f t="shared" si="4"/>
        <v>226.72300000000001</v>
      </c>
      <c r="X20" s="1">
        <f t="shared" si="5"/>
        <v>291.50200000000001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241.053</v>
      </c>
      <c r="C21" s="3">
        <f t="shared" si="10"/>
        <v>258.89999999999998</v>
      </c>
      <c r="D21" s="2">
        <f t="shared" si="10"/>
        <v>276.74599999999998</v>
      </c>
      <c r="E21" s="2">
        <f t="shared" ref="E21:G35" si="11">V20</f>
        <v>161.94499999999999</v>
      </c>
      <c r="F21" s="3">
        <f t="shared" si="11"/>
        <v>226.72300000000001</v>
      </c>
      <c r="G21" s="2">
        <f t="shared" si="11"/>
        <v>291.50200000000001</v>
      </c>
      <c r="K21" s="14" t="s">
        <v>92</v>
      </c>
      <c r="L21" s="47">
        <v>261.2380181738589</v>
      </c>
      <c r="M21" s="47">
        <v>243.38946312966814</v>
      </c>
      <c r="N21" s="47">
        <v>279.08657321804964</v>
      </c>
      <c r="O21" s="1">
        <f t="shared" si="0"/>
        <v>243.38900000000001</v>
      </c>
      <c r="P21" s="1">
        <f t="shared" si="1"/>
        <v>261.238</v>
      </c>
      <c r="Q21" s="1">
        <f t="shared" si="2"/>
        <v>279.08699999999999</v>
      </c>
      <c r="R21" s="14" t="str">
        <f t="shared" si="6"/>
        <v>2026Q3</v>
      </c>
      <c r="S21" s="62">
        <v>227.47348188282587</v>
      </c>
      <c r="T21" s="62">
        <v>160.96630740868767</v>
      </c>
      <c r="U21" s="62">
        <v>293.98065635696406</v>
      </c>
      <c r="V21" s="1">
        <f t="shared" si="3"/>
        <v>160.96600000000001</v>
      </c>
      <c r="W21" s="1">
        <f t="shared" si="4"/>
        <v>227.47300000000001</v>
      </c>
      <c r="X21" s="1">
        <f t="shared" si="5"/>
        <v>293.98099999999999</v>
      </c>
    </row>
    <row r="22" spans="1:24" ht="15.5" thickTop="1" thickBot="1" x14ac:dyDescent="0.4">
      <c r="A22" s="5" t="str">
        <f t="shared" si="7"/>
        <v>2026Q3</v>
      </c>
      <c r="B22" s="2">
        <f t="shared" si="10"/>
        <v>243.38900000000001</v>
      </c>
      <c r="C22" s="3">
        <f t="shared" si="10"/>
        <v>261.238</v>
      </c>
      <c r="D22" s="2">
        <f t="shared" si="10"/>
        <v>279.08699999999999</v>
      </c>
      <c r="E22" s="2">
        <f t="shared" si="11"/>
        <v>160.96600000000001</v>
      </c>
      <c r="F22" s="3">
        <f t="shared" si="11"/>
        <v>227.47300000000001</v>
      </c>
      <c r="G22" s="2">
        <f t="shared" si="11"/>
        <v>293.98099999999999</v>
      </c>
      <c r="K22" s="14" t="s">
        <v>93</v>
      </c>
      <c r="L22" s="47">
        <v>261.41199231925282</v>
      </c>
      <c r="M22" s="47">
        <v>243.56204642602933</v>
      </c>
      <c r="N22" s="47">
        <v>279.26193821247637</v>
      </c>
      <c r="O22" s="1">
        <f t="shared" si="0"/>
        <v>243.56200000000001</v>
      </c>
      <c r="P22" s="1">
        <f t="shared" si="1"/>
        <v>261.41199999999998</v>
      </c>
      <c r="Q22" s="1">
        <f t="shared" si="2"/>
        <v>279.262</v>
      </c>
      <c r="R22" s="14" t="str">
        <f t="shared" si="6"/>
        <v>2026Q4</v>
      </c>
      <c r="S22" s="62">
        <v>229.79501972460955</v>
      </c>
      <c r="T22" s="62">
        <v>161.60288439077891</v>
      </c>
      <c r="U22" s="62">
        <v>297.98715505844018</v>
      </c>
      <c r="V22" s="1">
        <f t="shared" si="3"/>
        <v>161.60300000000001</v>
      </c>
      <c r="W22" s="1">
        <f t="shared" si="4"/>
        <v>229.79499999999999</v>
      </c>
      <c r="X22" s="1">
        <f t="shared" si="5"/>
        <v>297.98700000000002</v>
      </c>
    </row>
    <row r="23" spans="1:24" ht="15.5" thickTop="1" thickBot="1" x14ac:dyDescent="0.4">
      <c r="A23" s="5" t="str">
        <f t="shared" si="7"/>
        <v>2026Q4</v>
      </c>
      <c r="B23" s="2">
        <f t="shared" si="10"/>
        <v>243.56200000000001</v>
      </c>
      <c r="C23" s="3">
        <f t="shared" si="10"/>
        <v>261.41199999999998</v>
      </c>
      <c r="D23" s="2">
        <f t="shared" si="10"/>
        <v>279.262</v>
      </c>
      <c r="E23" s="2">
        <f t="shared" si="11"/>
        <v>161.60300000000001</v>
      </c>
      <c r="F23" s="3">
        <f t="shared" si="11"/>
        <v>229.79499999999999</v>
      </c>
      <c r="G23" s="2">
        <f t="shared" si="11"/>
        <v>297.98700000000002</v>
      </c>
      <c r="K23" s="14" t="s">
        <v>94</v>
      </c>
      <c r="L23" s="47">
        <v>247.04246212774643</v>
      </c>
      <c r="M23" s="47">
        <v>229.19157446566317</v>
      </c>
      <c r="N23" s="47">
        <v>264.8933497898297</v>
      </c>
      <c r="O23" s="1">
        <f t="shared" si="0"/>
        <v>229.19200000000001</v>
      </c>
      <c r="P23" s="1">
        <f t="shared" si="1"/>
        <v>247.042</v>
      </c>
      <c r="Q23" s="1">
        <f t="shared" si="2"/>
        <v>264.89299999999997</v>
      </c>
      <c r="R23" s="14" t="str">
        <f t="shared" si="6"/>
        <v>2027Q1</v>
      </c>
      <c r="S23" s="62">
        <v>230.19082733676922</v>
      </c>
      <c r="T23" s="62">
        <v>160.35437277153883</v>
      </c>
      <c r="U23" s="62">
        <v>300.02728190199957</v>
      </c>
      <c r="V23" s="1">
        <f t="shared" si="3"/>
        <v>160.35400000000001</v>
      </c>
      <c r="W23" s="1">
        <f t="shared" si="4"/>
        <v>230.191</v>
      </c>
      <c r="X23" s="1">
        <f t="shared" si="5"/>
        <v>300.02699999999999</v>
      </c>
    </row>
    <row r="24" spans="1:24" ht="15.5" thickTop="1" thickBot="1" x14ac:dyDescent="0.4">
      <c r="A24" s="5" t="str">
        <f t="shared" si="7"/>
        <v>2027Q1</v>
      </c>
      <c r="B24" s="2">
        <f t="shared" si="10"/>
        <v>229.19200000000001</v>
      </c>
      <c r="C24" s="3">
        <f t="shared" si="10"/>
        <v>247.042</v>
      </c>
      <c r="D24" s="2">
        <f t="shared" si="10"/>
        <v>264.89299999999997</v>
      </c>
      <c r="E24" s="2">
        <f t="shared" si="11"/>
        <v>160.35400000000001</v>
      </c>
      <c r="F24" s="3">
        <f t="shared" si="11"/>
        <v>230.191</v>
      </c>
      <c r="G24" s="2">
        <f t="shared" si="11"/>
        <v>300.02699999999999</v>
      </c>
      <c r="K24" s="14" t="s">
        <v>95</v>
      </c>
      <c r="L24" s="47">
        <v>266.01846767069571</v>
      </c>
      <c r="M24" s="47">
        <v>248.16694230654855</v>
      </c>
      <c r="N24" s="47">
        <v>283.86999303484288</v>
      </c>
      <c r="O24" s="1">
        <f t="shared" si="0"/>
        <v>248.167</v>
      </c>
      <c r="P24" s="1">
        <f t="shared" si="1"/>
        <v>266.01799999999997</v>
      </c>
      <c r="Q24" s="1">
        <f t="shared" si="2"/>
        <v>283.87</v>
      </c>
      <c r="R24" s="14" t="str">
        <f t="shared" si="6"/>
        <v>2027Q2</v>
      </c>
      <c r="S24" s="62">
        <v>234.86438777339404</v>
      </c>
      <c r="T24" s="62">
        <v>163.42144934631438</v>
      </c>
      <c r="U24" s="62">
        <v>306.30732620047365</v>
      </c>
      <c r="V24" s="1">
        <f t="shared" si="3"/>
        <v>163.42099999999999</v>
      </c>
      <c r="W24" s="1">
        <f t="shared" si="4"/>
        <v>234.864</v>
      </c>
      <c r="X24" s="1">
        <f t="shared" si="5"/>
        <v>306.30700000000002</v>
      </c>
    </row>
    <row r="25" spans="1:24" ht="15.5" thickTop="1" thickBot="1" x14ac:dyDescent="0.4">
      <c r="A25" s="5" t="str">
        <f t="shared" si="7"/>
        <v>2027Q2</v>
      </c>
      <c r="B25" s="2">
        <f t="shared" si="10"/>
        <v>248.167</v>
      </c>
      <c r="C25" s="3">
        <f t="shared" si="10"/>
        <v>266.01799999999997</v>
      </c>
      <c r="D25" s="2">
        <f t="shared" si="10"/>
        <v>283.87</v>
      </c>
      <c r="E25" s="2">
        <f t="shared" si="11"/>
        <v>163.42099999999999</v>
      </c>
      <c r="F25" s="3">
        <f t="shared" si="11"/>
        <v>234.864</v>
      </c>
      <c r="G25" s="2">
        <f t="shared" si="11"/>
        <v>306.30700000000002</v>
      </c>
      <c r="K25" s="14" t="s">
        <v>96</v>
      </c>
      <c r="L25" s="47">
        <v>268.40881165306871</v>
      </c>
      <c r="M25" s="47">
        <v>250.55685447412185</v>
      </c>
      <c r="N25" s="47">
        <v>286.26076883201557</v>
      </c>
      <c r="O25" s="1">
        <f t="shared" si="0"/>
        <v>250.55699999999999</v>
      </c>
      <c r="P25" s="1">
        <f t="shared" si="1"/>
        <v>268.40899999999999</v>
      </c>
      <c r="Q25" s="1">
        <f t="shared" si="2"/>
        <v>286.26100000000002</v>
      </c>
      <c r="R25" s="14" t="str">
        <f t="shared" si="6"/>
        <v>2027Q3</v>
      </c>
      <c r="S25" s="62">
        <v>235.61451629889706</v>
      </c>
      <c r="T25" s="62">
        <v>162.60043193190995</v>
      </c>
      <c r="U25" s="62">
        <v>308.62860066588416</v>
      </c>
      <c r="V25" s="1">
        <f t="shared" si="3"/>
        <v>162.6</v>
      </c>
      <c r="W25" s="1">
        <f t="shared" si="4"/>
        <v>235.61500000000001</v>
      </c>
      <c r="X25" s="1">
        <f t="shared" si="5"/>
        <v>308.62900000000002</v>
      </c>
    </row>
    <row r="26" spans="1:24" ht="15.5" thickTop="1" thickBot="1" x14ac:dyDescent="0.4">
      <c r="A26" s="5" t="str">
        <f t="shared" si="7"/>
        <v>2027Q3</v>
      </c>
      <c r="B26" s="2">
        <f t="shared" si="10"/>
        <v>250.55699999999999</v>
      </c>
      <c r="C26" s="3">
        <f t="shared" si="10"/>
        <v>268.40899999999999</v>
      </c>
      <c r="D26" s="2">
        <f t="shared" si="10"/>
        <v>286.26100000000002</v>
      </c>
      <c r="E26" s="2">
        <f t="shared" si="11"/>
        <v>162.6</v>
      </c>
      <c r="F26" s="3">
        <f t="shared" si="11"/>
        <v>235.61500000000001</v>
      </c>
      <c r="G26" s="2">
        <f t="shared" si="11"/>
        <v>308.62900000000002</v>
      </c>
      <c r="K26" s="14" t="s">
        <v>97</v>
      </c>
      <c r="L26" s="47">
        <v>268.62568174736145</v>
      </c>
      <c r="M26" s="47">
        <v>250.77343216568414</v>
      </c>
      <c r="N26" s="47">
        <v>286.47793132903877</v>
      </c>
      <c r="O26" s="1">
        <f t="shared" si="0"/>
        <v>250.773</v>
      </c>
      <c r="P26" s="1">
        <f t="shared" si="1"/>
        <v>268.62599999999998</v>
      </c>
      <c r="Q26" s="1">
        <f t="shared" si="2"/>
        <v>286.47800000000001</v>
      </c>
      <c r="R26" s="14" t="str">
        <f t="shared" si="6"/>
        <v>2027Q4</v>
      </c>
      <c r="S26" s="62">
        <v>237.93605414068074</v>
      </c>
      <c r="T26" s="62">
        <v>163.38392753919791</v>
      </c>
      <c r="U26" s="62">
        <v>312.48818074216354</v>
      </c>
      <c r="V26" s="1">
        <f t="shared" si="3"/>
        <v>163.38399999999999</v>
      </c>
      <c r="W26" s="1">
        <f t="shared" si="4"/>
        <v>237.93600000000001</v>
      </c>
      <c r="X26" s="1">
        <f t="shared" si="5"/>
        <v>312.488</v>
      </c>
    </row>
    <row r="27" spans="1:24" ht="15.5" thickTop="1" thickBot="1" x14ac:dyDescent="0.4">
      <c r="A27" s="5" t="str">
        <f t="shared" si="7"/>
        <v>2027Q4</v>
      </c>
      <c r="B27" s="2">
        <f t="shared" si="10"/>
        <v>250.773</v>
      </c>
      <c r="C27" s="3">
        <f t="shared" si="10"/>
        <v>268.62599999999998</v>
      </c>
      <c r="D27" s="2">
        <f t="shared" si="10"/>
        <v>286.47800000000001</v>
      </c>
      <c r="E27" s="2">
        <f t="shared" si="11"/>
        <v>163.38399999999999</v>
      </c>
      <c r="F27" s="3">
        <f t="shared" si="11"/>
        <v>237.93600000000001</v>
      </c>
      <c r="G27" s="2">
        <f t="shared" si="11"/>
        <v>312.488</v>
      </c>
      <c r="K27" s="14" t="s">
        <v>98</v>
      </c>
      <c r="L27" s="47">
        <v>254.29145057471612</v>
      </c>
      <c r="M27" s="47">
        <v>236.43900299168084</v>
      </c>
      <c r="N27" s="47">
        <v>272.14389815775138</v>
      </c>
      <c r="O27" s="1">
        <f t="shared" si="0"/>
        <v>236.43899999999999</v>
      </c>
      <c r="P27" s="1">
        <f t="shared" si="1"/>
        <v>254.291</v>
      </c>
      <c r="Q27" s="1">
        <f t="shared" si="2"/>
        <v>272.14400000000001</v>
      </c>
      <c r="R27" s="14" t="str">
        <f t="shared" si="6"/>
        <v>2028Q1</v>
      </c>
      <c r="S27" s="62">
        <v>238.33186175284041</v>
      </c>
      <c r="T27" s="62">
        <v>162.27278835815898</v>
      </c>
      <c r="U27" s="62">
        <v>314.39093514752182</v>
      </c>
      <c r="V27" s="1">
        <f t="shared" si="3"/>
        <v>162.273</v>
      </c>
      <c r="W27" s="1">
        <f t="shared" si="4"/>
        <v>238.33199999999999</v>
      </c>
      <c r="X27" s="1">
        <f t="shared" si="5"/>
        <v>314.39100000000002</v>
      </c>
    </row>
    <row r="28" spans="1:24" ht="15.5" thickTop="1" thickBot="1" x14ac:dyDescent="0.4">
      <c r="A28" s="5" t="str">
        <f t="shared" si="7"/>
        <v>2028Q1</v>
      </c>
      <c r="B28" s="2">
        <f t="shared" si="10"/>
        <v>236.43899999999999</v>
      </c>
      <c r="C28" s="3">
        <f t="shared" si="10"/>
        <v>254.291</v>
      </c>
      <c r="D28" s="2">
        <f t="shared" si="10"/>
        <v>272.14400000000001</v>
      </c>
      <c r="E28" s="2">
        <f t="shared" si="11"/>
        <v>162.273</v>
      </c>
      <c r="F28" s="3">
        <f t="shared" si="11"/>
        <v>238.33199999999999</v>
      </c>
      <c r="G28" s="2">
        <f t="shared" si="11"/>
        <v>314.39100000000002</v>
      </c>
      <c r="K28" s="14" t="s">
        <v>99</v>
      </c>
      <c r="L28" s="47">
        <v>273.29650363297952</v>
      </c>
      <c r="M28" s="47">
        <v>255.44392197215524</v>
      </c>
      <c r="N28" s="47">
        <v>291.14908529380381</v>
      </c>
      <c r="O28" s="1">
        <f t="shared" si="0"/>
        <v>255.44399999999999</v>
      </c>
      <c r="P28" s="1">
        <f t="shared" si="1"/>
        <v>273.29700000000003</v>
      </c>
      <c r="Q28" s="1">
        <f t="shared" si="2"/>
        <v>291.149</v>
      </c>
      <c r="R28" s="14" t="str">
        <f t="shared" si="6"/>
        <v>2028Q2</v>
      </c>
      <c r="S28" s="62">
        <v>243.00542218946524</v>
      </c>
      <c r="T28" s="62">
        <v>165.46868437756379</v>
      </c>
      <c r="U28" s="62">
        <v>320.54216000136665</v>
      </c>
      <c r="V28" s="1">
        <f t="shared" si="3"/>
        <v>165.46899999999999</v>
      </c>
      <c r="W28" s="1">
        <f t="shared" si="4"/>
        <v>243.005</v>
      </c>
      <c r="X28" s="1">
        <f t="shared" si="5"/>
        <v>320.54199999999997</v>
      </c>
    </row>
    <row r="29" spans="1:24" ht="15.5" thickTop="1" thickBot="1" x14ac:dyDescent="0.4">
      <c r="A29" s="5" t="str">
        <f t="shared" si="7"/>
        <v>2028Q2</v>
      </c>
      <c r="B29" s="2">
        <f t="shared" si="10"/>
        <v>255.44399999999999</v>
      </c>
      <c r="C29" s="3">
        <f t="shared" si="10"/>
        <v>273.29700000000003</v>
      </c>
      <c r="D29" s="2">
        <f t="shared" si="10"/>
        <v>291.149</v>
      </c>
      <c r="E29" s="2">
        <f t="shared" si="11"/>
        <v>165.46899999999999</v>
      </c>
      <c r="F29" s="3">
        <f t="shared" si="11"/>
        <v>243.005</v>
      </c>
      <c r="G29" s="2">
        <f t="shared" si="11"/>
        <v>320.54199999999997</v>
      </c>
      <c r="K29" s="14" t="s">
        <v>100</v>
      </c>
      <c r="L29" s="47">
        <v>275.71075077677591</v>
      </c>
      <c r="M29" s="47">
        <v>257.85807832411228</v>
      </c>
      <c r="N29" s="47">
        <v>293.56342322943954</v>
      </c>
      <c r="O29" s="1">
        <f t="shared" si="0"/>
        <v>257.858</v>
      </c>
      <c r="P29" s="1">
        <f t="shared" si="1"/>
        <v>275.71100000000001</v>
      </c>
      <c r="Q29" s="1">
        <f t="shared" si="2"/>
        <v>293.56299999999999</v>
      </c>
      <c r="R29" s="14" t="str">
        <f t="shared" si="6"/>
        <v>2028Q3</v>
      </c>
      <c r="S29" s="62">
        <v>243.75555071496831</v>
      </c>
      <c r="T29" s="62">
        <v>164.76878742284725</v>
      </c>
      <c r="U29" s="62">
        <v>322.74231400708936</v>
      </c>
      <c r="V29" s="1">
        <f t="shared" si="3"/>
        <v>164.76900000000001</v>
      </c>
      <c r="W29" s="1">
        <f t="shared" si="4"/>
        <v>243.756</v>
      </c>
      <c r="X29" s="1">
        <f t="shared" si="5"/>
        <v>322.74200000000002</v>
      </c>
    </row>
    <row r="30" spans="1:24" ht="15.5" thickTop="1" thickBot="1" x14ac:dyDescent="0.4">
      <c r="A30" s="5" t="str">
        <f t="shared" si="7"/>
        <v>2028Q3</v>
      </c>
      <c r="B30" s="2">
        <f t="shared" si="10"/>
        <v>257.858</v>
      </c>
      <c r="C30" s="3">
        <f t="shared" si="10"/>
        <v>275.71100000000001</v>
      </c>
      <c r="D30" s="2">
        <f t="shared" si="10"/>
        <v>293.56299999999999</v>
      </c>
      <c r="E30" s="2">
        <f t="shared" si="11"/>
        <v>164.76900000000001</v>
      </c>
      <c r="F30" s="3">
        <f t="shared" si="11"/>
        <v>243.756</v>
      </c>
      <c r="G30" s="2">
        <f t="shared" si="11"/>
        <v>322.74200000000002</v>
      </c>
      <c r="K30" s="14" t="s">
        <v>101</v>
      </c>
      <c r="L30" s="47">
        <v>275.94729075056966</v>
      </c>
      <c r="M30" s="47">
        <v>258.0945568173662</v>
      </c>
      <c r="N30" s="47">
        <v>293.80002468377313</v>
      </c>
      <c r="O30" s="1">
        <f t="shared" si="0"/>
        <v>258.09500000000003</v>
      </c>
      <c r="P30" s="1">
        <f t="shared" si="1"/>
        <v>275.947</v>
      </c>
      <c r="Q30" s="1">
        <f t="shared" si="2"/>
        <v>293.8</v>
      </c>
      <c r="R30" s="14" t="str">
        <f t="shared" si="6"/>
        <v>2028Q4</v>
      </c>
      <c r="S30" s="62">
        <v>246.07708855675193</v>
      </c>
      <c r="T30" s="62">
        <v>165.66644348895278</v>
      </c>
      <c r="U30" s="62">
        <v>326.48773362455108</v>
      </c>
      <c r="V30" s="1">
        <f t="shared" si="3"/>
        <v>165.666</v>
      </c>
      <c r="W30" s="1">
        <f t="shared" si="4"/>
        <v>246.077</v>
      </c>
      <c r="X30" s="1">
        <f t="shared" si="5"/>
        <v>326.488</v>
      </c>
    </row>
    <row r="31" spans="1:24" ht="15.5" thickTop="1" thickBot="1" x14ac:dyDescent="0.4">
      <c r="A31" s="5" t="str">
        <f t="shared" si="7"/>
        <v>2028Q4</v>
      </c>
      <c r="B31" s="2">
        <f t="shared" si="10"/>
        <v>258.09500000000003</v>
      </c>
      <c r="C31" s="3">
        <f t="shared" si="10"/>
        <v>275.947</v>
      </c>
      <c r="D31" s="2">
        <f t="shared" si="10"/>
        <v>293.8</v>
      </c>
      <c r="E31" s="2">
        <f t="shared" si="11"/>
        <v>165.666</v>
      </c>
      <c r="F31" s="3">
        <f t="shared" si="11"/>
        <v>246.077</v>
      </c>
      <c r="G31" s="2">
        <f t="shared" si="11"/>
        <v>326.488</v>
      </c>
      <c r="K31" s="14" t="s">
        <v>102</v>
      </c>
      <c r="L31" s="47">
        <v>261.62924589540484</v>
      </c>
      <c r="M31" s="47">
        <v>243.7764703300237</v>
      </c>
      <c r="N31" s="47">
        <v>279.48202146078597</v>
      </c>
      <c r="O31" s="1">
        <f t="shared" si="0"/>
        <v>243.77600000000001</v>
      </c>
      <c r="P31" s="1">
        <f t="shared" si="1"/>
        <v>261.62900000000002</v>
      </c>
      <c r="Q31" s="1">
        <f t="shared" si="2"/>
        <v>279.48200000000003</v>
      </c>
      <c r="R31" s="14" t="str">
        <f t="shared" si="6"/>
        <v>2029Q1</v>
      </c>
      <c r="S31" s="62">
        <v>246.47289616891166</v>
      </c>
      <c r="T31" s="62">
        <v>164.66314794124881</v>
      </c>
      <c r="U31" s="62">
        <v>328.28264439657448</v>
      </c>
      <c r="V31" s="1">
        <f t="shared" si="3"/>
        <v>164.66300000000001</v>
      </c>
      <c r="W31" s="1">
        <f t="shared" si="4"/>
        <v>246.47300000000001</v>
      </c>
      <c r="X31" s="1">
        <f t="shared" si="5"/>
        <v>328.28300000000002</v>
      </c>
    </row>
    <row r="32" spans="1:24" ht="15.5" thickTop="1" thickBot="1" x14ac:dyDescent="0.4">
      <c r="A32" s="5" t="str">
        <f t="shared" si="7"/>
        <v>2029Q1</v>
      </c>
      <c r="B32" s="2">
        <f t="shared" si="10"/>
        <v>243.77600000000001</v>
      </c>
      <c r="C32" s="3">
        <f t="shared" si="10"/>
        <v>261.62900000000002</v>
      </c>
      <c r="D32" s="2">
        <f t="shared" si="10"/>
        <v>279.48200000000003</v>
      </c>
      <c r="E32" s="2">
        <f t="shared" si="11"/>
        <v>164.66300000000001</v>
      </c>
      <c r="F32" s="3">
        <f t="shared" si="11"/>
        <v>246.47300000000001</v>
      </c>
      <c r="G32" s="2">
        <f t="shared" si="11"/>
        <v>328.28300000000002</v>
      </c>
      <c r="K32" s="14" t="s">
        <v>103</v>
      </c>
      <c r="L32" s="47">
        <v>280.64761865263051</v>
      </c>
      <c r="M32" s="47">
        <v>262.7948148955673</v>
      </c>
      <c r="N32" s="47">
        <v>298.50042240969373</v>
      </c>
      <c r="O32" s="1">
        <f t="shared" si="0"/>
        <v>262.79500000000002</v>
      </c>
      <c r="P32" s="1">
        <f t="shared" si="1"/>
        <v>280.64800000000002</v>
      </c>
      <c r="Q32" s="1">
        <f t="shared" si="2"/>
        <v>298.5</v>
      </c>
      <c r="R32" s="14" t="str">
        <f t="shared" si="6"/>
        <v>2029Q2</v>
      </c>
      <c r="S32" s="62">
        <v>251.14645660553643</v>
      </c>
      <c r="T32" s="62">
        <v>167.96113356157875</v>
      </c>
      <c r="U32" s="62">
        <v>334.33177964949408</v>
      </c>
      <c r="V32" s="1">
        <f t="shared" si="3"/>
        <v>167.96100000000001</v>
      </c>
      <c r="W32" s="1">
        <f t="shared" si="4"/>
        <v>251.14599999999999</v>
      </c>
      <c r="X32" s="1">
        <f t="shared" si="5"/>
        <v>334.33199999999999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262.79500000000002</v>
      </c>
      <c r="C33" s="3">
        <f t="shared" si="10"/>
        <v>280.64800000000002</v>
      </c>
      <c r="D33" s="2">
        <f t="shared" si="10"/>
        <v>298.5</v>
      </c>
      <c r="E33" s="2">
        <f t="shared" si="11"/>
        <v>167.96100000000001</v>
      </c>
      <c r="F33" s="3">
        <f t="shared" si="11"/>
        <v>251.14599999999999</v>
      </c>
      <c r="G33" s="2">
        <f t="shared" si="11"/>
        <v>334.33199999999999</v>
      </c>
      <c r="K33" s="14" t="s">
        <v>107</v>
      </c>
      <c r="L33" s="47">
        <v>283.07282655885234</v>
      </c>
      <c r="M33" s="47">
        <v>265.22000371147283</v>
      </c>
      <c r="N33" s="47">
        <v>300.92564940623186</v>
      </c>
      <c r="O33" s="1">
        <f t="shared" si="0"/>
        <v>265.22000000000003</v>
      </c>
      <c r="P33" s="1">
        <f t="shared" si="1"/>
        <v>283.07299999999998</v>
      </c>
      <c r="Q33" s="1">
        <f t="shared" si="2"/>
        <v>300.92599999999999</v>
      </c>
      <c r="R33" s="14" t="str">
        <f t="shared" si="6"/>
        <v>2029Q3</v>
      </c>
      <c r="S33" s="62">
        <v>251.8965851310395</v>
      </c>
      <c r="T33" s="62">
        <v>167.35806707695002</v>
      </c>
      <c r="U33" s="62">
        <v>336.43510318512898</v>
      </c>
      <c r="V33" s="1">
        <f t="shared" si="3"/>
        <v>167.358</v>
      </c>
      <c r="W33" s="1">
        <f t="shared" si="4"/>
        <v>251.89699999999999</v>
      </c>
      <c r="X33" s="1">
        <f t="shared" si="5"/>
        <v>336.435</v>
      </c>
    </row>
    <row r="34" spans="1:24" ht="15.5" thickTop="1" thickBot="1" x14ac:dyDescent="0.4">
      <c r="A34" s="5" t="str">
        <f t="shared" si="7"/>
        <v>2029Q3</v>
      </c>
      <c r="B34" s="2">
        <f t="shared" si="10"/>
        <v>265.22000000000003</v>
      </c>
      <c r="C34" s="3">
        <f t="shared" si="10"/>
        <v>283.07299999999998</v>
      </c>
      <c r="D34" s="2">
        <f t="shared" si="10"/>
        <v>300.92599999999999</v>
      </c>
      <c r="E34" s="2">
        <f t="shared" si="11"/>
        <v>167.358</v>
      </c>
      <c r="F34" s="3">
        <f t="shared" si="11"/>
        <v>251.89699999999999</v>
      </c>
      <c r="G34" s="2">
        <f t="shared" si="11"/>
        <v>336.435</v>
      </c>
      <c r="K34" s="14" t="s">
        <v>108</v>
      </c>
      <c r="L34" s="47">
        <v>283.31838612935684</v>
      </c>
      <c r="M34" s="47">
        <v>265.46555035474825</v>
      </c>
      <c r="N34" s="47">
        <v>301.17122190396543</v>
      </c>
      <c r="O34" s="1">
        <f t="shared" si="0"/>
        <v>265.46600000000001</v>
      </c>
      <c r="P34" s="1">
        <f t="shared" si="1"/>
        <v>283.31799999999998</v>
      </c>
      <c r="Q34" s="1">
        <f t="shared" si="2"/>
        <v>301.17099999999999</v>
      </c>
      <c r="R34" s="14" t="str">
        <f t="shared" si="6"/>
        <v>2029Q4</v>
      </c>
      <c r="S34" s="62">
        <v>254.21812297282312</v>
      </c>
      <c r="T34" s="62">
        <v>168.34773168667826</v>
      </c>
      <c r="U34" s="62">
        <v>340.08851425896796</v>
      </c>
      <c r="V34" s="1">
        <f t="shared" si="3"/>
        <v>168.34800000000001</v>
      </c>
      <c r="W34" s="1">
        <f t="shared" si="4"/>
        <v>254.21799999999999</v>
      </c>
      <c r="X34" s="1">
        <f t="shared" si="5"/>
        <v>340.089</v>
      </c>
    </row>
    <row r="35" spans="1:24" ht="13" thickTop="1" thickBot="1" x14ac:dyDescent="0.35">
      <c r="A35" s="5" t="str">
        <f t="shared" si="7"/>
        <v>2029Q4</v>
      </c>
      <c r="B35" s="2">
        <f t="shared" si="10"/>
        <v>265.46600000000001</v>
      </c>
      <c r="C35" s="3">
        <f t="shared" si="10"/>
        <v>283.31799999999998</v>
      </c>
      <c r="D35" s="2">
        <f t="shared" si="10"/>
        <v>301.17099999999999</v>
      </c>
      <c r="E35" s="2">
        <f t="shared" si="11"/>
        <v>168.34800000000001</v>
      </c>
      <c r="F35" s="3">
        <f t="shared" si="11"/>
        <v>254.21799999999999</v>
      </c>
      <c r="G35" s="2">
        <f t="shared" si="11"/>
        <v>340.089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253.80418750000007</v>
      </c>
      <c r="F38" s="1">
        <f>AVERAGE(F4:F35)</f>
        <v>222.44081249999996</v>
      </c>
    </row>
    <row r="40" spans="1:24" ht="12.5" thickBot="1" x14ac:dyDescent="0.35"/>
    <row r="41" spans="1:24" ht="15.5" thickTop="1" thickBot="1" x14ac:dyDescent="0.4">
      <c r="A41" s="30" t="s">
        <v>58</v>
      </c>
      <c r="B41" s="31"/>
      <c r="C41" s="31"/>
      <c r="D41" s="31"/>
      <c r="E41" s="31"/>
      <c r="F41" s="31"/>
      <c r="G41" s="31"/>
      <c r="K41" s="30" t="s">
        <v>35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221.584</v>
      </c>
      <c r="D44" s="6"/>
      <c r="E44" s="6"/>
      <c r="F44" s="9">
        <f>ROUND(F4-((G4-F4)*(0.5/2)),3)</f>
        <v>184.95599999999999</v>
      </c>
      <c r="G44" s="6"/>
      <c r="K44" s="7" t="str">
        <f>A4</f>
        <v>2022Q1</v>
      </c>
      <c r="L44" s="6"/>
      <c r="M44" s="9">
        <f>ROUND(C4-((D4-C4)*(1/2)),3)</f>
        <v>218.55099999999999</v>
      </c>
      <c r="N44" s="6"/>
      <c r="O44" s="6"/>
      <c r="P44" s="9">
        <f>ROUND(F4-((G4-F4)*(1/2)),3)</f>
        <v>180.39599999999999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237.44200000000001</v>
      </c>
      <c r="D45" s="6"/>
      <c r="E45" s="6"/>
      <c r="F45" s="9">
        <f t="shared" ref="F45:F75" si="14">ROUND(F5-((G5-F5)*(0.5/2)),3)</f>
        <v>188.221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233.88499999999999</v>
      </c>
      <c r="N45" s="6"/>
      <c r="O45" s="6"/>
      <c r="P45" s="9">
        <f t="shared" ref="P45:P75" si="17">ROUND(F5-((G5-F5)*(1/2)),3)</f>
        <v>182.28100000000001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237.38399999999999</v>
      </c>
      <c r="D46" s="6"/>
      <c r="E46" s="6"/>
      <c r="F46" s="9">
        <f t="shared" si="14"/>
        <v>187.874</v>
      </c>
      <c r="G46" s="6"/>
      <c r="K46" s="7" t="str">
        <f t="shared" si="15"/>
        <v>2022Q3</v>
      </c>
      <c r="L46" s="6"/>
      <c r="M46" s="9">
        <f t="shared" si="16"/>
        <v>233.511</v>
      </c>
      <c r="N46" s="6"/>
      <c r="O46" s="6"/>
      <c r="P46" s="9">
        <f t="shared" si="17"/>
        <v>180.84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235.64500000000001</v>
      </c>
      <c r="D47" s="6"/>
      <c r="E47" s="6"/>
      <c r="F47" s="9">
        <f t="shared" si="14"/>
        <v>189.25200000000001</v>
      </c>
      <c r="G47" s="6"/>
      <c r="K47" s="7" t="str">
        <f t="shared" si="15"/>
        <v>2022Q4</v>
      </c>
      <c r="L47" s="6"/>
      <c r="M47" s="9">
        <f t="shared" si="16"/>
        <v>231.572</v>
      </c>
      <c r="N47" s="6"/>
      <c r="O47" s="6"/>
      <c r="P47" s="9">
        <f t="shared" si="17"/>
        <v>181.27199999999999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219.73599999999999</v>
      </c>
      <c r="D48" s="6"/>
      <c r="E48" s="6"/>
      <c r="F48" s="9">
        <f t="shared" si="14"/>
        <v>188.804</v>
      </c>
      <c r="G48" s="6"/>
      <c r="K48" s="7" t="str">
        <f t="shared" si="15"/>
        <v>2023Q1</v>
      </c>
      <c r="L48" s="6"/>
      <c r="M48" s="9">
        <f t="shared" si="16"/>
        <v>215.53299999999999</v>
      </c>
      <c r="N48" s="6"/>
      <c r="O48" s="6"/>
      <c r="P48" s="9">
        <f t="shared" si="17"/>
        <v>179.98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237.46600000000001</v>
      </c>
      <c r="D49" s="6"/>
      <c r="E49" s="6"/>
      <c r="F49" s="9">
        <f t="shared" si="14"/>
        <v>192.70599999999999</v>
      </c>
      <c r="G49" s="6"/>
      <c r="K49" s="7" t="str">
        <f t="shared" si="15"/>
        <v>2023Q2</v>
      </c>
      <c r="L49" s="6"/>
      <c r="M49" s="9">
        <f t="shared" si="16"/>
        <v>233.178</v>
      </c>
      <c r="N49" s="6"/>
      <c r="O49" s="6"/>
      <c r="P49" s="9">
        <f t="shared" si="17"/>
        <v>183.11199999999999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238.845</v>
      </c>
      <c r="D50" s="6"/>
      <c r="E50" s="6"/>
      <c r="F50" s="9">
        <f t="shared" si="14"/>
        <v>192.74299999999999</v>
      </c>
      <c r="G50" s="6"/>
      <c r="K50" s="7" t="str">
        <f t="shared" si="15"/>
        <v>2023Q3</v>
      </c>
      <c r="L50" s="6"/>
      <c r="M50" s="9">
        <f t="shared" si="16"/>
        <v>234.499</v>
      </c>
      <c r="N50" s="6"/>
      <c r="O50" s="6"/>
      <c r="P50" s="9">
        <f t="shared" si="17"/>
        <v>182.43700000000001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238.239</v>
      </c>
      <c r="D51" s="6"/>
      <c r="E51" s="6"/>
      <c r="F51" s="9">
        <f t="shared" si="14"/>
        <v>194.399</v>
      </c>
      <c r="G51" s="6"/>
      <c r="K51" s="7" t="str">
        <f t="shared" si="15"/>
        <v>2023Q4</v>
      </c>
      <c r="L51" s="6"/>
      <c r="M51" s="9">
        <f t="shared" si="16"/>
        <v>233.85499999999999</v>
      </c>
      <c r="N51" s="6"/>
      <c r="O51" s="6"/>
      <c r="P51" s="9">
        <f t="shared" si="17"/>
        <v>183.42599999999999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223.232</v>
      </c>
      <c r="D52" s="6"/>
      <c r="E52" s="6"/>
      <c r="F52" s="9">
        <f t="shared" si="14"/>
        <v>194.167</v>
      </c>
      <c r="G52" s="6"/>
      <c r="K52" s="7" t="str">
        <f t="shared" si="15"/>
        <v>2024Q1</v>
      </c>
      <c r="L52" s="6"/>
      <c r="M52" s="9">
        <f t="shared" si="16"/>
        <v>218.82300000000001</v>
      </c>
      <c r="N52" s="6"/>
      <c r="O52" s="6"/>
      <c r="P52" s="9">
        <f t="shared" si="17"/>
        <v>182.565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241.68899999999999</v>
      </c>
      <c r="D53" s="6"/>
      <c r="E53" s="6"/>
      <c r="F53" s="9">
        <f t="shared" si="14"/>
        <v>198.24299999999999</v>
      </c>
      <c r="G53" s="6"/>
      <c r="K53" s="7" t="str">
        <f t="shared" si="15"/>
        <v>2024Q2</v>
      </c>
      <c r="L53" s="6"/>
      <c r="M53" s="9">
        <f t="shared" si="16"/>
        <v>237.262</v>
      </c>
      <c r="N53" s="6"/>
      <c r="O53" s="6"/>
      <c r="P53" s="9">
        <f t="shared" si="17"/>
        <v>186.04599999999999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243.65299999999999</v>
      </c>
      <c r="D54" s="6"/>
      <c r="E54" s="6"/>
      <c r="F54" s="9">
        <f t="shared" si="14"/>
        <v>198.42500000000001</v>
      </c>
      <c r="G54" s="6"/>
      <c r="K54" s="7" t="str">
        <f t="shared" si="15"/>
        <v>2024Q3</v>
      </c>
      <c r="L54" s="6"/>
      <c r="M54" s="9">
        <f t="shared" si="16"/>
        <v>239.215</v>
      </c>
      <c r="N54" s="6"/>
      <c r="O54" s="6"/>
      <c r="P54" s="9">
        <f t="shared" si="17"/>
        <v>185.65899999999999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243.523</v>
      </c>
      <c r="D55" s="6"/>
      <c r="E55" s="6"/>
      <c r="F55" s="9">
        <f t="shared" si="14"/>
        <v>200.203</v>
      </c>
      <c r="G55" s="6"/>
      <c r="K55" s="7" t="str">
        <f t="shared" si="15"/>
        <v>2024Q4</v>
      </c>
      <c r="L55" s="6"/>
      <c r="M55" s="9">
        <f t="shared" si="16"/>
        <v>239.07599999999999</v>
      </c>
      <c r="N55" s="6"/>
      <c r="O55" s="6"/>
      <c r="P55" s="9">
        <f t="shared" si="17"/>
        <v>186.893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228.90199999999999</v>
      </c>
      <c r="D56" s="6"/>
      <c r="E56" s="6"/>
      <c r="F56" s="9">
        <f t="shared" si="14"/>
        <v>200.077</v>
      </c>
      <c r="G56" s="6"/>
      <c r="K56" s="7" t="str">
        <f t="shared" si="15"/>
        <v>2025Q1</v>
      </c>
      <c r="L56" s="6"/>
      <c r="M56" s="9">
        <f t="shared" si="16"/>
        <v>224.45</v>
      </c>
      <c r="N56" s="6"/>
      <c r="O56" s="6"/>
      <c r="P56" s="9">
        <f t="shared" si="17"/>
        <v>186.244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247.67400000000001</v>
      </c>
      <c r="D57" s="6"/>
      <c r="E57" s="6"/>
      <c r="F57" s="9">
        <f t="shared" si="14"/>
        <v>204.24600000000001</v>
      </c>
      <c r="G57" s="6"/>
      <c r="K57" s="7" t="str">
        <f t="shared" si="15"/>
        <v>2025Q2</v>
      </c>
      <c r="L57" s="6"/>
      <c r="M57" s="9">
        <f t="shared" si="16"/>
        <v>243.21799999999999</v>
      </c>
      <c r="N57" s="6"/>
      <c r="O57" s="6"/>
      <c r="P57" s="9">
        <f t="shared" si="17"/>
        <v>189.91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249.89500000000001</v>
      </c>
      <c r="D58" s="6"/>
      <c r="E58" s="6"/>
      <c r="F58" s="9">
        <f t="shared" si="14"/>
        <v>204.50899999999999</v>
      </c>
      <c r="G58" s="6"/>
      <c r="K58" s="7" t="str">
        <f t="shared" si="15"/>
        <v>2025Q3</v>
      </c>
      <c r="L58" s="6"/>
      <c r="M58" s="9">
        <f t="shared" si="16"/>
        <v>245.43700000000001</v>
      </c>
      <c r="N58" s="6"/>
      <c r="O58" s="6"/>
      <c r="P58" s="9">
        <f t="shared" si="17"/>
        <v>189.68700000000001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249.97399999999999</v>
      </c>
      <c r="D59" s="6"/>
      <c r="E59" s="6"/>
      <c r="F59" s="9">
        <f t="shared" si="14"/>
        <v>206.36099999999999</v>
      </c>
      <c r="G59" s="6"/>
      <c r="K59" s="7" t="str">
        <f t="shared" si="15"/>
        <v>2025Q4</v>
      </c>
      <c r="L59" s="6"/>
      <c r="M59" s="9">
        <f t="shared" si="16"/>
        <v>245.51499999999999</v>
      </c>
      <c r="N59" s="6"/>
      <c r="O59" s="6"/>
      <c r="P59" s="9">
        <f t="shared" si="17"/>
        <v>191.06700000000001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235.52600000000001</v>
      </c>
      <c r="D60" s="6"/>
      <c r="E60" s="6"/>
      <c r="F60" s="9">
        <f t="shared" si="14"/>
        <v>206.3</v>
      </c>
      <c r="G60" s="6"/>
      <c r="K60" s="7" t="str">
        <f t="shared" si="15"/>
        <v>2026Q1</v>
      </c>
      <c r="L60" s="6"/>
      <c r="M60" s="9">
        <f t="shared" si="16"/>
        <v>231.065</v>
      </c>
      <c r="N60" s="6"/>
      <c r="O60" s="6"/>
      <c r="P60" s="9">
        <f t="shared" si="17"/>
        <v>190.54900000000001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254.43899999999999</v>
      </c>
      <c r="D61" s="6"/>
      <c r="E61" s="6"/>
      <c r="F61" s="9">
        <f t="shared" si="14"/>
        <v>210.52799999999999</v>
      </c>
      <c r="G61" s="6"/>
      <c r="K61" s="7" t="str">
        <f t="shared" si="15"/>
        <v>2026Q2</v>
      </c>
      <c r="L61" s="6"/>
      <c r="M61" s="9">
        <f t="shared" si="16"/>
        <v>249.977</v>
      </c>
      <c r="N61" s="6"/>
      <c r="O61" s="6"/>
      <c r="P61" s="9">
        <f t="shared" si="17"/>
        <v>194.334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256.77600000000001</v>
      </c>
      <c r="D62" s="6"/>
      <c r="E62" s="6"/>
      <c r="F62" s="9">
        <f t="shared" si="14"/>
        <v>210.846</v>
      </c>
      <c r="G62" s="6"/>
      <c r="K62" s="7" t="str">
        <f t="shared" si="15"/>
        <v>2026Q3</v>
      </c>
      <c r="L62" s="6"/>
      <c r="M62" s="9">
        <f t="shared" si="16"/>
        <v>252.31399999999999</v>
      </c>
      <c r="N62" s="6"/>
      <c r="O62" s="6"/>
      <c r="P62" s="9">
        <f t="shared" si="17"/>
        <v>194.21899999999999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256.95</v>
      </c>
      <c r="D63" s="6"/>
      <c r="E63" s="6"/>
      <c r="F63" s="9">
        <f t="shared" si="14"/>
        <v>212.74700000000001</v>
      </c>
      <c r="G63" s="6"/>
      <c r="K63" s="7" t="str">
        <f t="shared" si="15"/>
        <v>2026Q4</v>
      </c>
      <c r="L63" s="6"/>
      <c r="M63" s="9">
        <f t="shared" si="16"/>
        <v>252.48699999999999</v>
      </c>
      <c r="N63" s="6"/>
      <c r="O63" s="6"/>
      <c r="P63" s="9">
        <f t="shared" si="17"/>
        <v>195.69900000000001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242.57900000000001</v>
      </c>
      <c r="D64" s="6"/>
      <c r="E64" s="6"/>
      <c r="F64" s="9">
        <f t="shared" si="14"/>
        <v>212.732</v>
      </c>
      <c r="G64" s="6"/>
      <c r="K64" s="7" t="str">
        <f t="shared" si="15"/>
        <v>2027Q1</v>
      </c>
      <c r="L64" s="6"/>
      <c r="M64" s="9">
        <f t="shared" si="16"/>
        <v>238.11699999999999</v>
      </c>
      <c r="N64" s="6"/>
      <c r="O64" s="6"/>
      <c r="P64" s="9">
        <f t="shared" si="17"/>
        <v>195.273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261.55500000000001</v>
      </c>
      <c r="D65" s="6"/>
      <c r="E65" s="6"/>
      <c r="F65" s="9">
        <f t="shared" si="14"/>
        <v>217.00299999999999</v>
      </c>
      <c r="G65" s="6"/>
      <c r="K65" s="7" t="str">
        <f t="shared" si="15"/>
        <v>2027Q2</v>
      </c>
      <c r="L65" s="6"/>
      <c r="M65" s="9">
        <f t="shared" si="16"/>
        <v>257.09199999999998</v>
      </c>
      <c r="N65" s="6"/>
      <c r="O65" s="6"/>
      <c r="P65" s="9">
        <f t="shared" si="17"/>
        <v>199.143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263.94600000000003</v>
      </c>
      <c r="D66" s="6"/>
      <c r="E66" s="6"/>
      <c r="F66" s="9">
        <f t="shared" si="14"/>
        <v>217.36199999999999</v>
      </c>
      <c r="G66" s="6"/>
      <c r="K66" s="7" t="str">
        <f t="shared" si="15"/>
        <v>2027Q3</v>
      </c>
      <c r="L66" s="6"/>
      <c r="M66" s="9">
        <f t="shared" si="16"/>
        <v>259.483</v>
      </c>
      <c r="N66" s="6"/>
      <c r="O66" s="6"/>
      <c r="P66" s="9">
        <f t="shared" si="17"/>
        <v>199.108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264.16300000000001</v>
      </c>
      <c r="D67" s="6"/>
      <c r="E67" s="6"/>
      <c r="F67" s="9">
        <f t="shared" si="14"/>
        <v>219.298</v>
      </c>
      <c r="G67" s="6"/>
      <c r="K67" s="7" t="str">
        <f t="shared" si="15"/>
        <v>2027Q4</v>
      </c>
      <c r="L67" s="6"/>
      <c r="M67" s="9">
        <f t="shared" si="16"/>
        <v>259.7</v>
      </c>
      <c r="N67" s="6"/>
      <c r="O67" s="6"/>
      <c r="P67" s="9">
        <f t="shared" si="17"/>
        <v>200.66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249.828</v>
      </c>
      <c r="D68" s="6"/>
      <c r="E68" s="6"/>
      <c r="F68" s="9">
        <f t="shared" si="14"/>
        <v>219.31700000000001</v>
      </c>
      <c r="G68" s="6"/>
      <c r="K68" s="7" t="str">
        <f t="shared" si="15"/>
        <v>2028Q1</v>
      </c>
      <c r="L68" s="6"/>
      <c r="M68" s="9">
        <f t="shared" si="16"/>
        <v>245.36500000000001</v>
      </c>
      <c r="N68" s="6"/>
      <c r="O68" s="6"/>
      <c r="P68" s="9">
        <f t="shared" si="17"/>
        <v>200.303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268.834</v>
      </c>
      <c r="D69" s="6"/>
      <c r="E69" s="6"/>
      <c r="F69" s="9">
        <f t="shared" si="14"/>
        <v>223.62100000000001</v>
      </c>
      <c r="G69" s="6"/>
      <c r="K69" s="7" t="str">
        <f t="shared" si="15"/>
        <v>2028Q2</v>
      </c>
      <c r="L69" s="6"/>
      <c r="M69" s="9">
        <f t="shared" si="16"/>
        <v>264.37099999999998</v>
      </c>
      <c r="N69" s="6"/>
      <c r="O69" s="6"/>
      <c r="P69" s="9">
        <f t="shared" si="17"/>
        <v>204.23699999999999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271.24799999999999</v>
      </c>
      <c r="D70" s="6"/>
      <c r="E70" s="6"/>
      <c r="F70" s="9">
        <f t="shared" si="14"/>
        <v>224.01</v>
      </c>
      <c r="G70" s="6"/>
      <c r="K70" s="7" t="str">
        <f t="shared" si="15"/>
        <v>2028Q3</v>
      </c>
      <c r="L70" s="6"/>
      <c r="M70" s="9">
        <f t="shared" si="16"/>
        <v>266.78500000000003</v>
      </c>
      <c r="N70" s="6"/>
      <c r="O70" s="6"/>
      <c r="P70" s="9">
        <f t="shared" si="17"/>
        <v>204.26300000000001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271.48399999999998</v>
      </c>
      <c r="D71" s="6"/>
      <c r="E71" s="6"/>
      <c r="F71" s="9">
        <f t="shared" si="14"/>
        <v>225.97399999999999</v>
      </c>
      <c r="G71" s="6"/>
      <c r="K71" s="7" t="str">
        <f t="shared" si="15"/>
        <v>2028Q4</v>
      </c>
      <c r="L71" s="6"/>
      <c r="M71" s="9">
        <f t="shared" si="16"/>
        <v>267.02100000000002</v>
      </c>
      <c r="N71" s="6"/>
      <c r="O71" s="6"/>
      <c r="P71" s="9">
        <f t="shared" si="17"/>
        <v>205.87200000000001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257.166</v>
      </c>
      <c r="D72" s="6"/>
      <c r="E72" s="6"/>
      <c r="F72" s="9">
        <f t="shared" si="14"/>
        <v>226.02099999999999</v>
      </c>
      <c r="G72" s="6"/>
      <c r="K72" s="7" t="str">
        <f t="shared" si="15"/>
        <v>2029Q1</v>
      </c>
      <c r="L72" s="6"/>
      <c r="M72" s="9">
        <f t="shared" si="16"/>
        <v>252.703</v>
      </c>
      <c r="N72" s="6"/>
      <c r="O72" s="6"/>
      <c r="P72" s="9">
        <f t="shared" si="17"/>
        <v>205.56800000000001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276.185</v>
      </c>
      <c r="D73" s="6"/>
      <c r="E73" s="6"/>
      <c r="F73" s="9">
        <f t="shared" si="14"/>
        <v>230.35</v>
      </c>
      <c r="G73" s="6"/>
      <c r="K73" s="7" t="str">
        <f t="shared" si="15"/>
        <v>2029Q2</v>
      </c>
      <c r="L73" s="6"/>
      <c r="M73" s="9">
        <f t="shared" si="16"/>
        <v>271.72199999999998</v>
      </c>
      <c r="N73" s="6"/>
      <c r="O73" s="6"/>
      <c r="P73" s="9">
        <f t="shared" si="17"/>
        <v>209.553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278.61</v>
      </c>
      <c r="D74" s="6"/>
      <c r="E74" s="6"/>
      <c r="F74" s="9">
        <f t="shared" si="14"/>
        <v>230.76300000000001</v>
      </c>
      <c r="G74" s="6"/>
      <c r="K74" s="7" t="str">
        <f t="shared" si="15"/>
        <v>2029Q3</v>
      </c>
      <c r="L74" s="6"/>
      <c r="M74" s="9">
        <f t="shared" si="16"/>
        <v>274.14699999999999</v>
      </c>
      <c r="N74" s="6"/>
      <c r="O74" s="6"/>
      <c r="P74" s="9">
        <f t="shared" si="17"/>
        <v>209.62799999999999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278.85500000000002</v>
      </c>
      <c r="D75" s="6"/>
      <c r="E75" s="6"/>
      <c r="F75" s="9">
        <f t="shared" si="14"/>
        <v>232.75</v>
      </c>
      <c r="G75" s="6"/>
      <c r="K75" s="7" t="str">
        <f t="shared" si="15"/>
        <v>2029Q4</v>
      </c>
      <c r="L75" s="6"/>
      <c r="M75" s="9">
        <f t="shared" si="16"/>
        <v>274.392</v>
      </c>
      <c r="N75" s="6"/>
      <c r="O75" s="6"/>
      <c r="P75" s="9">
        <f t="shared" si="17"/>
        <v>211.28299999999999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14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32.25" customHeight="1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48">
        <v>117.85219250576255</v>
      </c>
      <c r="M3" s="48">
        <v>110.94533151035697</v>
      </c>
      <c r="N3" s="48">
        <v>124.75905350116811</v>
      </c>
      <c r="O3" s="1">
        <f t="shared" ref="O3:O34" si="0">ROUND(M3,3)</f>
        <v>110.94499999999999</v>
      </c>
      <c r="P3" s="1">
        <f t="shared" ref="P3:P34" si="1">ROUND(L3,3)</f>
        <v>117.852</v>
      </c>
      <c r="Q3" s="1">
        <f t="shared" ref="Q3:Q34" si="2">ROUND(N3,3)</f>
        <v>124.759</v>
      </c>
      <c r="R3" s="14" t="str">
        <f>K3</f>
        <v>2022Q1</v>
      </c>
      <c r="S3" s="63">
        <v>1620.5215179198397</v>
      </c>
      <c r="T3" s="63">
        <v>1397.976312485031</v>
      </c>
      <c r="U3" s="63">
        <v>1843.0667233546483</v>
      </c>
      <c r="V3" s="1">
        <f t="shared" ref="V3:V34" si="3">ROUND(T3,3)</f>
        <v>1397.9760000000001</v>
      </c>
      <c r="W3" s="1">
        <f t="shared" ref="W3:W34" si="4">ROUND(S3,3)</f>
        <v>1620.5219999999999</v>
      </c>
      <c r="X3" s="1">
        <f t="shared" ref="X3:X34" si="5">ROUND(U3,3)</f>
        <v>1843.067</v>
      </c>
    </row>
    <row r="4" spans="1:30" ht="15.5" thickTop="1" thickBot="1" x14ac:dyDescent="0.4">
      <c r="A4" s="5" t="str">
        <f>K3</f>
        <v>2022Q1</v>
      </c>
      <c r="B4" s="2">
        <f>O3</f>
        <v>110.94499999999999</v>
      </c>
      <c r="C4" s="3">
        <f>P3</f>
        <v>117.852</v>
      </c>
      <c r="D4" s="2">
        <f>Q3</f>
        <v>124.759</v>
      </c>
      <c r="E4" s="2">
        <f>V3</f>
        <v>1397.9760000000001</v>
      </c>
      <c r="F4" s="3">
        <f>W3</f>
        <v>1620.5219999999999</v>
      </c>
      <c r="G4" s="2">
        <f>X3</f>
        <v>1843.067</v>
      </c>
      <c r="K4" s="14" t="s">
        <v>68</v>
      </c>
      <c r="L4" s="48">
        <v>124.99208939409591</v>
      </c>
      <c r="M4" s="48">
        <v>115.46988744147977</v>
      </c>
      <c r="N4" s="48">
        <v>134.51429134671204</v>
      </c>
      <c r="O4" s="1">
        <f t="shared" si="0"/>
        <v>115.47</v>
      </c>
      <c r="P4" s="1">
        <f t="shared" si="1"/>
        <v>124.992</v>
      </c>
      <c r="Q4" s="1">
        <f t="shared" si="2"/>
        <v>134.51400000000001</v>
      </c>
      <c r="R4" s="14" t="str">
        <f t="shared" ref="R4:R34" si="6">K4</f>
        <v>2022Q2</v>
      </c>
      <c r="S4" s="63">
        <v>1627.9080445461227</v>
      </c>
      <c r="T4" s="63">
        <v>1281.235582854446</v>
      </c>
      <c r="U4" s="63">
        <v>1974.5805062377995</v>
      </c>
      <c r="V4" s="1">
        <f t="shared" si="3"/>
        <v>1281.2360000000001</v>
      </c>
      <c r="W4" s="1">
        <f t="shared" si="4"/>
        <v>1627.9079999999999</v>
      </c>
      <c r="X4" s="1">
        <f t="shared" si="5"/>
        <v>1974.5809999999999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115.47</v>
      </c>
      <c r="C5" s="3">
        <f t="shared" si="8"/>
        <v>124.992</v>
      </c>
      <c r="D5" s="2">
        <f t="shared" si="8"/>
        <v>134.51400000000001</v>
      </c>
      <c r="E5" s="2">
        <f t="shared" ref="E5:G20" si="9">V4</f>
        <v>1281.2360000000001</v>
      </c>
      <c r="F5" s="3">
        <f t="shared" si="9"/>
        <v>1627.9079999999999</v>
      </c>
      <c r="G5" s="2">
        <f t="shared" si="9"/>
        <v>1974.5809999999999</v>
      </c>
      <c r="I5" s="1">
        <f>SUM(F5:F8)</f>
        <v>6586.8429999999998</v>
      </c>
      <c r="K5" s="14" t="s">
        <v>69</v>
      </c>
      <c r="L5" s="48">
        <v>125.95891968078618</v>
      </c>
      <c r="M5" s="48">
        <v>114.7492294486819</v>
      </c>
      <c r="N5" s="48">
        <v>137.16860991289045</v>
      </c>
      <c r="O5" s="1">
        <f t="shared" si="0"/>
        <v>114.749</v>
      </c>
      <c r="P5" s="1">
        <f t="shared" si="1"/>
        <v>125.959</v>
      </c>
      <c r="Q5" s="1">
        <f t="shared" si="2"/>
        <v>137.16900000000001</v>
      </c>
      <c r="R5" s="14" t="str">
        <f t="shared" si="6"/>
        <v>2022Q3</v>
      </c>
      <c r="S5" s="63">
        <v>1621.4548174793599</v>
      </c>
      <c r="T5" s="63">
        <v>1193.2661708207331</v>
      </c>
      <c r="U5" s="63">
        <v>2049.6434641379865</v>
      </c>
      <c r="V5" s="1">
        <f t="shared" si="3"/>
        <v>1193.2660000000001</v>
      </c>
      <c r="W5" s="1">
        <f t="shared" si="4"/>
        <v>1621.4549999999999</v>
      </c>
      <c r="X5" s="1">
        <f t="shared" si="5"/>
        <v>2049.643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114.749</v>
      </c>
      <c r="C6" s="3">
        <f t="shared" si="8"/>
        <v>125.959</v>
      </c>
      <c r="D6" s="2">
        <f t="shared" si="8"/>
        <v>137.16900000000001</v>
      </c>
      <c r="E6" s="2">
        <f t="shared" si="9"/>
        <v>1193.2660000000001</v>
      </c>
      <c r="F6" s="3">
        <f t="shared" si="9"/>
        <v>1621.4549999999999</v>
      </c>
      <c r="G6" s="2">
        <f t="shared" si="9"/>
        <v>2049.643</v>
      </c>
      <c r="I6" s="1">
        <f>SUM(F9:F12)</f>
        <v>6855.2480000000005</v>
      </c>
      <c r="K6" s="14" t="s">
        <v>70</v>
      </c>
      <c r="L6" s="48">
        <v>127.50943661008372</v>
      </c>
      <c r="M6" s="48">
        <v>115.0940311961517</v>
      </c>
      <c r="N6" s="48">
        <v>139.92484202401576</v>
      </c>
      <c r="O6" s="1">
        <f t="shared" si="0"/>
        <v>115.09399999999999</v>
      </c>
      <c r="P6" s="1">
        <f t="shared" si="1"/>
        <v>127.509</v>
      </c>
      <c r="Q6" s="1">
        <f t="shared" si="2"/>
        <v>139.92500000000001</v>
      </c>
      <c r="R6" s="14" t="str">
        <f t="shared" si="6"/>
        <v>2022Q4</v>
      </c>
      <c r="S6" s="63">
        <v>1649.169078996297</v>
      </c>
      <c r="T6" s="63">
        <v>1150.1991443530467</v>
      </c>
      <c r="U6" s="63">
        <v>2148.1390136395476</v>
      </c>
      <c r="V6" s="1">
        <f t="shared" si="3"/>
        <v>1150.1990000000001</v>
      </c>
      <c r="W6" s="1">
        <f t="shared" si="4"/>
        <v>1649.1690000000001</v>
      </c>
      <c r="X6" s="1">
        <f t="shared" si="5"/>
        <v>2148.1390000000001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115.09399999999999</v>
      </c>
      <c r="C7" s="3">
        <f t="shared" si="8"/>
        <v>127.509</v>
      </c>
      <c r="D7" s="2">
        <f t="shared" si="8"/>
        <v>139.92500000000001</v>
      </c>
      <c r="E7" s="2">
        <f t="shared" si="9"/>
        <v>1150.1990000000001</v>
      </c>
      <c r="F7" s="3">
        <f t="shared" si="9"/>
        <v>1649.1690000000001</v>
      </c>
      <c r="G7" s="2">
        <f t="shared" si="9"/>
        <v>2148.1390000000001</v>
      </c>
      <c r="I7" s="1">
        <f>SUM(F13:F16)</f>
        <v>7123.8099999999995</v>
      </c>
      <c r="K7" s="14" t="s">
        <v>71</v>
      </c>
      <c r="L7" s="48">
        <v>119.10423524052727</v>
      </c>
      <c r="M7" s="48">
        <v>105.787505527457</v>
      </c>
      <c r="N7" s="48">
        <v>132.42096495359752</v>
      </c>
      <c r="O7" s="1">
        <f t="shared" si="0"/>
        <v>105.788</v>
      </c>
      <c r="P7" s="1">
        <f t="shared" si="1"/>
        <v>119.104</v>
      </c>
      <c r="Q7" s="1">
        <f t="shared" si="2"/>
        <v>132.42099999999999</v>
      </c>
      <c r="R7" s="14" t="str">
        <f t="shared" si="6"/>
        <v>2023Q1</v>
      </c>
      <c r="S7" s="63">
        <v>1688.3113783370297</v>
      </c>
      <c r="T7" s="63">
        <v>1128.1623389306546</v>
      </c>
      <c r="U7" s="63">
        <v>2248.4604177434048</v>
      </c>
      <c r="V7" s="1">
        <f t="shared" si="3"/>
        <v>1128.162</v>
      </c>
      <c r="W7" s="1">
        <f t="shared" si="4"/>
        <v>1688.3109999999999</v>
      </c>
      <c r="X7" s="1">
        <f t="shared" si="5"/>
        <v>2248.46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105.788</v>
      </c>
      <c r="C8" s="3">
        <f t="shared" si="8"/>
        <v>119.104</v>
      </c>
      <c r="D8" s="2">
        <f t="shared" si="8"/>
        <v>132.42099999999999</v>
      </c>
      <c r="E8" s="2">
        <f t="shared" si="9"/>
        <v>1128.162</v>
      </c>
      <c r="F8" s="3">
        <f t="shared" si="9"/>
        <v>1688.3109999999999</v>
      </c>
      <c r="G8" s="2">
        <f t="shared" si="9"/>
        <v>2248.46</v>
      </c>
      <c r="I8" s="1">
        <f>SUM(F17:F20)</f>
        <v>7392.3739999999998</v>
      </c>
      <c r="K8" s="14" t="s">
        <v>72</v>
      </c>
      <c r="L8" s="48">
        <v>126.42366574828115</v>
      </c>
      <c r="M8" s="48">
        <v>112.41583380064851</v>
      </c>
      <c r="N8" s="48">
        <v>140.43149769591378</v>
      </c>
      <c r="O8" s="1">
        <f t="shared" si="0"/>
        <v>112.416</v>
      </c>
      <c r="P8" s="1">
        <f t="shared" si="1"/>
        <v>126.42400000000001</v>
      </c>
      <c r="Q8" s="1">
        <f t="shared" si="2"/>
        <v>140.43100000000001</v>
      </c>
      <c r="R8" s="14" t="str">
        <f t="shared" si="6"/>
        <v>2023Q2</v>
      </c>
      <c r="S8" s="63">
        <v>1694.8319496754359</v>
      </c>
      <c r="T8" s="63">
        <v>1079.3320991026305</v>
      </c>
      <c r="U8" s="63">
        <v>2310.3318002482411</v>
      </c>
      <c r="V8" s="1">
        <f t="shared" si="3"/>
        <v>1079.3320000000001</v>
      </c>
      <c r="W8" s="1">
        <f t="shared" si="4"/>
        <v>1694.8320000000001</v>
      </c>
      <c r="X8" s="1">
        <f t="shared" si="5"/>
        <v>2310.3319999999999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112.416</v>
      </c>
      <c r="C9" s="3">
        <f t="shared" si="8"/>
        <v>126.42400000000001</v>
      </c>
      <c r="D9" s="2">
        <f t="shared" si="8"/>
        <v>140.43100000000001</v>
      </c>
      <c r="E9" s="2">
        <f t="shared" si="9"/>
        <v>1079.3320000000001</v>
      </c>
      <c r="F9" s="3">
        <f t="shared" si="9"/>
        <v>1694.8320000000001</v>
      </c>
      <c r="G9" s="2">
        <f t="shared" si="9"/>
        <v>2310.3319999999999</v>
      </c>
      <c r="I9" s="1">
        <f>SUM(F21:F24)</f>
        <v>7660.9390000000003</v>
      </c>
      <c r="K9" s="14" t="s">
        <v>73</v>
      </c>
      <c r="L9" s="48">
        <v>127.55249606141618</v>
      </c>
      <c r="M9" s="48">
        <v>113.00618973886532</v>
      </c>
      <c r="N9" s="48">
        <v>142.09880238396704</v>
      </c>
      <c r="O9" s="1">
        <f t="shared" si="0"/>
        <v>113.006</v>
      </c>
      <c r="P9" s="1">
        <f t="shared" si="1"/>
        <v>127.55200000000001</v>
      </c>
      <c r="Q9" s="1">
        <f t="shared" si="2"/>
        <v>142.09899999999999</v>
      </c>
      <c r="R9" s="14" t="str">
        <f t="shared" si="6"/>
        <v>2023Q3</v>
      </c>
      <c r="S9" s="63">
        <v>1688.6686764437534</v>
      </c>
      <c r="T9" s="63">
        <v>1022.4702724749101</v>
      </c>
      <c r="U9" s="63">
        <v>2354.8670804125964</v>
      </c>
      <c r="V9" s="1">
        <f t="shared" si="3"/>
        <v>1022.47</v>
      </c>
      <c r="W9" s="1">
        <f t="shared" si="4"/>
        <v>1688.6690000000001</v>
      </c>
      <c r="X9" s="1">
        <f t="shared" si="5"/>
        <v>2354.8670000000002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113.006</v>
      </c>
      <c r="C10" s="3">
        <f t="shared" si="8"/>
        <v>127.55200000000001</v>
      </c>
      <c r="D10" s="2">
        <f t="shared" si="8"/>
        <v>142.09899999999999</v>
      </c>
      <c r="E10" s="2">
        <f t="shared" si="9"/>
        <v>1022.47</v>
      </c>
      <c r="F10" s="3">
        <f t="shared" si="9"/>
        <v>1688.6690000000001</v>
      </c>
      <c r="G10" s="2">
        <f t="shared" si="9"/>
        <v>2354.8670000000002</v>
      </c>
      <c r="I10" s="1">
        <f>SUM(F25:F28)</f>
        <v>7929.5029999999988</v>
      </c>
      <c r="K10" s="14" t="s">
        <v>74</v>
      </c>
      <c r="L10" s="48">
        <v>129.24919178804876</v>
      </c>
      <c r="M10" s="48">
        <v>114.27875038610007</v>
      </c>
      <c r="N10" s="48">
        <v>144.21963318999747</v>
      </c>
      <c r="O10" s="1">
        <f t="shared" si="0"/>
        <v>114.279</v>
      </c>
      <c r="P10" s="1">
        <f t="shared" si="1"/>
        <v>129.249</v>
      </c>
      <c r="Q10" s="1">
        <f t="shared" si="2"/>
        <v>144.22</v>
      </c>
      <c r="R10" s="14" t="str">
        <f t="shared" si="6"/>
        <v>2023Q4</v>
      </c>
      <c r="S10" s="63">
        <v>1716.2858507003498</v>
      </c>
      <c r="T10" s="63">
        <v>1002.9614851113056</v>
      </c>
      <c r="U10" s="63">
        <v>2429.610216289394</v>
      </c>
      <c r="V10" s="1">
        <f t="shared" si="3"/>
        <v>1002.961</v>
      </c>
      <c r="W10" s="1">
        <f t="shared" si="4"/>
        <v>1716.2860000000001</v>
      </c>
      <c r="X10" s="1">
        <f t="shared" si="5"/>
        <v>2429.61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114.279</v>
      </c>
      <c r="C11" s="3">
        <f t="shared" si="8"/>
        <v>129.249</v>
      </c>
      <c r="D11" s="2">
        <f t="shared" si="8"/>
        <v>144.22</v>
      </c>
      <c r="E11" s="2">
        <f t="shared" si="9"/>
        <v>1002.961</v>
      </c>
      <c r="F11" s="3">
        <f t="shared" si="9"/>
        <v>1716.2860000000001</v>
      </c>
      <c r="G11" s="2">
        <f t="shared" si="9"/>
        <v>2429.61</v>
      </c>
      <c r="I11" s="1">
        <f>SUM(F29:F32)</f>
        <v>8198.0669999999991</v>
      </c>
      <c r="K11" s="14" t="s">
        <v>75</v>
      </c>
      <c r="L11" s="48">
        <v>120.97589311788852</v>
      </c>
      <c r="M11" s="48">
        <v>105.66879236816881</v>
      </c>
      <c r="N11" s="48">
        <v>136.28299386760821</v>
      </c>
      <c r="O11" s="1">
        <f t="shared" si="0"/>
        <v>105.669</v>
      </c>
      <c r="P11" s="1">
        <f t="shared" si="1"/>
        <v>120.976</v>
      </c>
      <c r="Q11" s="1">
        <f t="shared" si="2"/>
        <v>136.28299999999999</v>
      </c>
      <c r="R11" s="14" t="str">
        <f t="shared" si="6"/>
        <v>2024Q1</v>
      </c>
      <c r="S11" s="63">
        <v>1755.4606584440764</v>
      </c>
      <c r="T11" s="63">
        <v>997.94328119930526</v>
      </c>
      <c r="U11" s="63">
        <v>2512.9780356888477</v>
      </c>
      <c r="V11" s="1">
        <f t="shared" si="3"/>
        <v>997.94299999999998</v>
      </c>
      <c r="W11" s="1">
        <f t="shared" si="4"/>
        <v>1755.461</v>
      </c>
      <c r="X11" s="1">
        <f t="shared" si="5"/>
        <v>2512.9780000000001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105.669</v>
      </c>
      <c r="C12" s="3">
        <f t="shared" si="8"/>
        <v>120.976</v>
      </c>
      <c r="D12" s="2">
        <f t="shared" si="8"/>
        <v>136.28299999999999</v>
      </c>
      <c r="E12" s="2">
        <f t="shared" si="9"/>
        <v>997.94299999999998</v>
      </c>
      <c r="F12" s="3">
        <f t="shared" si="9"/>
        <v>1755.461</v>
      </c>
      <c r="G12" s="2">
        <f t="shared" si="9"/>
        <v>2512.9780000000001</v>
      </c>
      <c r="K12" s="14" t="s">
        <v>76</v>
      </c>
      <c r="L12" s="48">
        <v>128.4143444578369</v>
      </c>
      <c r="M12" s="48">
        <v>112.8385043696768</v>
      </c>
      <c r="N12" s="48">
        <v>143.99018454599698</v>
      </c>
      <c r="O12" s="1">
        <f t="shared" si="0"/>
        <v>112.839</v>
      </c>
      <c r="P12" s="1">
        <f t="shared" si="1"/>
        <v>128.41399999999999</v>
      </c>
      <c r="Q12" s="1">
        <f t="shared" si="2"/>
        <v>143.99</v>
      </c>
      <c r="R12" s="14" t="str">
        <f t="shared" si="6"/>
        <v>2024Q2</v>
      </c>
      <c r="S12" s="63">
        <v>1761.9703447676877</v>
      </c>
      <c r="T12" s="63">
        <v>962.69755720207843</v>
      </c>
      <c r="U12" s="63">
        <v>2561.2431323332967</v>
      </c>
      <c r="V12" s="1">
        <f t="shared" si="3"/>
        <v>962.69799999999998</v>
      </c>
      <c r="W12" s="1">
        <f t="shared" si="4"/>
        <v>1761.97</v>
      </c>
      <c r="X12" s="1">
        <f t="shared" si="5"/>
        <v>2561.2429999999999</v>
      </c>
    </row>
    <row r="13" spans="1:30" ht="15.5" thickTop="1" thickBot="1" x14ac:dyDescent="0.4">
      <c r="A13" s="5" t="str">
        <f t="shared" si="7"/>
        <v>2024Q2</v>
      </c>
      <c r="B13" s="2">
        <f t="shared" si="8"/>
        <v>112.839</v>
      </c>
      <c r="C13" s="3">
        <f t="shared" si="8"/>
        <v>128.41399999999999</v>
      </c>
      <c r="D13" s="2">
        <f t="shared" si="8"/>
        <v>143.99</v>
      </c>
      <c r="E13" s="2">
        <f t="shared" si="9"/>
        <v>962.69799999999998</v>
      </c>
      <c r="F13" s="3">
        <f t="shared" si="9"/>
        <v>1761.97</v>
      </c>
      <c r="G13" s="2">
        <f t="shared" si="9"/>
        <v>2561.2429999999999</v>
      </c>
      <c r="K13" s="14" t="s">
        <v>77</v>
      </c>
      <c r="L13" s="48">
        <v>129.65057180348998</v>
      </c>
      <c r="M13" s="48">
        <v>113.85929787232371</v>
      </c>
      <c r="N13" s="48">
        <v>145.44184573465625</v>
      </c>
      <c r="O13" s="1">
        <f t="shared" si="0"/>
        <v>113.85899999999999</v>
      </c>
      <c r="P13" s="1">
        <f t="shared" si="1"/>
        <v>129.65100000000001</v>
      </c>
      <c r="Q13" s="1">
        <f t="shared" si="2"/>
        <v>145.44200000000001</v>
      </c>
      <c r="R13" s="14" t="str">
        <f t="shared" si="6"/>
        <v>2024Q3</v>
      </c>
      <c r="S13" s="63">
        <v>1755.8107162412557</v>
      </c>
      <c r="T13" s="63">
        <v>916.85885000412111</v>
      </c>
      <c r="U13" s="63">
        <v>2594.76258247839</v>
      </c>
      <c r="V13" s="1">
        <f t="shared" si="3"/>
        <v>916.85900000000004</v>
      </c>
      <c r="W13" s="1">
        <f t="shared" si="4"/>
        <v>1755.8109999999999</v>
      </c>
      <c r="X13" s="1">
        <f t="shared" si="5"/>
        <v>2594.7629999999999</v>
      </c>
    </row>
    <row r="14" spans="1:30" ht="15.5" thickTop="1" thickBot="1" x14ac:dyDescent="0.4">
      <c r="A14" s="5" t="str">
        <f t="shared" si="7"/>
        <v>2024Q3</v>
      </c>
      <c r="B14" s="2">
        <f t="shared" si="8"/>
        <v>113.85899999999999</v>
      </c>
      <c r="C14" s="3">
        <f t="shared" si="8"/>
        <v>129.65100000000001</v>
      </c>
      <c r="D14" s="2">
        <f t="shared" si="8"/>
        <v>145.44200000000001</v>
      </c>
      <c r="E14" s="2">
        <f t="shared" si="9"/>
        <v>916.85900000000004</v>
      </c>
      <c r="F14" s="3">
        <f t="shared" si="9"/>
        <v>1755.8109999999999</v>
      </c>
      <c r="G14" s="2">
        <f t="shared" si="9"/>
        <v>2594.7629999999999</v>
      </c>
      <c r="K14" s="14" t="s">
        <v>82</v>
      </c>
      <c r="L14" s="48">
        <v>131.44417596523442</v>
      </c>
      <c r="M14" s="48">
        <v>115.47963980666327</v>
      </c>
      <c r="N14" s="48">
        <v>147.40871212380557</v>
      </c>
      <c r="O14" s="1">
        <f t="shared" si="0"/>
        <v>115.48</v>
      </c>
      <c r="P14" s="1">
        <f t="shared" si="1"/>
        <v>131.44399999999999</v>
      </c>
      <c r="Q14" s="1">
        <f t="shared" si="2"/>
        <v>147.40899999999999</v>
      </c>
      <c r="R14" s="14" t="str">
        <f t="shared" si="6"/>
        <v>2024Q4</v>
      </c>
      <c r="S14" s="63">
        <v>1783.4266701158301</v>
      </c>
      <c r="T14" s="63">
        <v>906.58924527495526</v>
      </c>
      <c r="U14" s="63">
        <v>2660.2640949567049</v>
      </c>
      <c r="V14" s="1">
        <f t="shared" si="3"/>
        <v>906.58900000000006</v>
      </c>
      <c r="W14" s="1">
        <f t="shared" si="4"/>
        <v>1783.4269999999999</v>
      </c>
      <c r="X14" s="1">
        <f t="shared" si="5"/>
        <v>2660.2640000000001</v>
      </c>
    </row>
    <row r="15" spans="1:30" ht="15.5" thickTop="1" thickBot="1" x14ac:dyDescent="0.4">
      <c r="A15" s="5" t="str">
        <f t="shared" si="7"/>
        <v>2024Q4</v>
      </c>
      <c r="B15" s="2">
        <f t="shared" si="8"/>
        <v>115.48</v>
      </c>
      <c r="C15" s="3">
        <f t="shared" si="8"/>
        <v>131.44399999999999</v>
      </c>
      <c r="D15" s="2">
        <f t="shared" si="8"/>
        <v>147.40899999999999</v>
      </c>
      <c r="E15" s="2">
        <f t="shared" si="9"/>
        <v>906.58900000000006</v>
      </c>
      <c r="F15" s="3">
        <f t="shared" si="9"/>
        <v>1783.4269999999999</v>
      </c>
      <c r="G15" s="2">
        <f t="shared" si="9"/>
        <v>2660.2640000000001</v>
      </c>
      <c r="K15" s="14" t="s">
        <v>79</v>
      </c>
      <c r="L15" s="48">
        <v>123.25832146904851</v>
      </c>
      <c r="M15" s="48">
        <v>107.15408949096913</v>
      </c>
      <c r="N15" s="48">
        <v>139.36255344712788</v>
      </c>
      <c r="O15" s="1">
        <f t="shared" si="0"/>
        <v>107.154</v>
      </c>
      <c r="P15" s="1">
        <f t="shared" si="1"/>
        <v>123.258</v>
      </c>
      <c r="Q15" s="1">
        <f t="shared" si="2"/>
        <v>139.363</v>
      </c>
      <c r="R15" s="14" t="str">
        <f t="shared" si="6"/>
        <v>2025Q1</v>
      </c>
      <c r="S15" s="63">
        <v>1822.6018864885618</v>
      </c>
      <c r="T15" s="63">
        <v>909.44944878737033</v>
      </c>
      <c r="U15" s="63">
        <v>2735.7543241897538</v>
      </c>
      <c r="V15" s="1">
        <f t="shared" si="3"/>
        <v>909.44899999999996</v>
      </c>
      <c r="W15" s="1">
        <f t="shared" si="4"/>
        <v>1822.6020000000001</v>
      </c>
      <c r="X15" s="1">
        <f t="shared" si="5"/>
        <v>2735.7539999999999</v>
      </c>
    </row>
    <row r="16" spans="1:30" ht="15.5" thickTop="1" thickBot="1" x14ac:dyDescent="0.4">
      <c r="A16" s="5" t="str">
        <f t="shared" si="7"/>
        <v>2025Q1</v>
      </c>
      <c r="B16" s="2">
        <f t="shared" si="8"/>
        <v>107.154</v>
      </c>
      <c r="C16" s="3">
        <f t="shared" si="8"/>
        <v>123.258</v>
      </c>
      <c r="D16" s="2">
        <f t="shared" si="8"/>
        <v>139.363</v>
      </c>
      <c r="E16" s="2">
        <f t="shared" si="9"/>
        <v>909.44899999999996</v>
      </c>
      <c r="F16" s="3">
        <f t="shared" si="9"/>
        <v>1822.6020000000001</v>
      </c>
      <c r="G16" s="2">
        <f t="shared" si="9"/>
        <v>2735.7539999999999</v>
      </c>
      <c r="K16" s="14" t="s">
        <v>80</v>
      </c>
      <c r="L16" s="48">
        <v>130.77567701948399</v>
      </c>
      <c r="M16" s="48">
        <v>114.5585914901546</v>
      </c>
      <c r="N16" s="48">
        <v>146.9927625488134</v>
      </c>
      <c r="O16" s="1">
        <f t="shared" si="0"/>
        <v>114.559</v>
      </c>
      <c r="P16" s="1">
        <f t="shared" si="1"/>
        <v>130.77600000000001</v>
      </c>
      <c r="Q16" s="1">
        <f t="shared" si="2"/>
        <v>146.99299999999999</v>
      </c>
      <c r="R16" s="14" t="str">
        <f t="shared" si="6"/>
        <v>2025Q2</v>
      </c>
      <c r="S16" s="63">
        <v>1829.1114359880794</v>
      </c>
      <c r="T16" s="63">
        <v>881.03394802906098</v>
      </c>
      <c r="U16" s="63">
        <v>2777.1889239470975</v>
      </c>
      <c r="V16" s="1">
        <f t="shared" si="3"/>
        <v>881.03399999999999</v>
      </c>
      <c r="W16" s="1">
        <f t="shared" si="4"/>
        <v>1829.1110000000001</v>
      </c>
      <c r="X16" s="1">
        <f t="shared" si="5"/>
        <v>2777.1889999999999</v>
      </c>
    </row>
    <row r="17" spans="1:24" ht="15.5" thickTop="1" thickBot="1" x14ac:dyDescent="0.4">
      <c r="A17" s="5" t="str">
        <f t="shared" si="7"/>
        <v>2025Q2</v>
      </c>
      <c r="B17" s="2">
        <f t="shared" si="8"/>
        <v>114.559</v>
      </c>
      <c r="C17" s="3">
        <f t="shared" si="8"/>
        <v>130.77600000000001</v>
      </c>
      <c r="D17" s="2">
        <f t="shared" si="8"/>
        <v>146.99299999999999</v>
      </c>
      <c r="E17" s="2">
        <f t="shared" si="9"/>
        <v>881.03399999999999</v>
      </c>
      <c r="F17" s="3">
        <f t="shared" si="9"/>
        <v>1829.1110000000001</v>
      </c>
      <c r="G17" s="2">
        <f t="shared" si="9"/>
        <v>2777.1889999999999</v>
      </c>
      <c r="K17" s="14" t="s">
        <v>81</v>
      </c>
      <c r="L17" s="48">
        <v>132.08310264113007</v>
      </c>
      <c r="M17" s="48">
        <v>115.7747069415298</v>
      </c>
      <c r="N17" s="48">
        <v>148.39149834073032</v>
      </c>
      <c r="O17" s="1">
        <f t="shared" si="0"/>
        <v>115.77500000000001</v>
      </c>
      <c r="P17" s="1">
        <f t="shared" si="1"/>
        <v>132.083</v>
      </c>
      <c r="Q17" s="1">
        <f t="shared" si="2"/>
        <v>148.39099999999999</v>
      </c>
      <c r="R17" s="14" t="str">
        <f t="shared" si="6"/>
        <v>2025Q3</v>
      </c>
      <c r="S17" s="63">
        <v>1822.9518532754109</v>
      </c>
      <c r="T17" s="63">
        <v>841.19095713104764</v>
      </c>
      <c r="U17" s="63">
        <v>2804.7127494197739</v>
      </c>
      <c r="V17" s="1">
        <f t="shared" si="3"/>
        <v>841.19100000000003</v>
      </c>
      <c r="W17" s="1">
        <f t="shared" si="4"/>
        <v>1822.952</v>
      </c>
      <c r="X17" s="1">
        <f t="shared" si="5"/>
        <v>2804.7130000000002</v>
      </c>
    </row>
    <row r="18" spans="1:24" ht="15.5" thickTop="1" thickBot="1" x14ac:dyDescent="0.4">
      <c r="A18" s="5" t="str">
        <f t="shared" si="7"/>
        <v>2025Q3</v>
      </c>
      <c r="B18" s="2">
        <f t="shared" si="8"/>
        <v>115.77500000000001</v>
      </c>
      <c r="C18" s="3">
        <f t="shared" si="8"/>
        <v>132.083</v>
      </c>
      <c r="D18" s="2">
        <f t="shared" si="8"/>
        <v>148.39099999999999</v>
      </c>
      <c r="E18" s="2">
        <f t="shared" si="9"/>
        <v>841.19100000000003</v>
      </c>
      <c r="F18" s="3">
        <f t="shared" si="9"/>
        <v>1822.952</v>
      </c>
      <c r="G18" s="2">
        <f t="shared" si="9"/>
        <v>2804.7130000000002</v>
      </c>
      <c r="K18" s="14" t="s">
        <v>78</v>
      </c>
      <c r="L18" s="48">
        <v>133.94095172051675</v>
      </c>
      <c r="M18" s="48">
        <v>117.55858588037437</v>
      </c>
      <c r="N18" s="48">
        <v>150.32331756065915</v>
      </c>
      <c r="O18" s="1">
        <f t="shared" si="0"/>
        <v>117.559</v>
      </c>
      <c r="P18" s="1">
        <f t="shared" si="1"/>
        <v>133.941</v>
      </c>
      <c r="Q18" s="1">
        <f t="shared" si="2"/>
        <v>150.32300000000001</v>
      </c>
      <c r="R18" s="14" t="str">
        <f t="shared" si="6"/>
        <v>2025Q4</v>
      </c>
      <c r="S18" s="63">
        <v>1850.567791809844</v>
      </c>
      <c r="T18" s="63">
        <v>836.24141626089806</v>
      </c>
      <c r="U18" s="63">
        <v>2864.8941673587901</v>
      </c>
      <c r="V18" s="1">
        <f t="shared" si="3"/>
        <v>836.24099999999999</v>
      </c>
      <c r="W18" s="1">
        <f t="shared" si="4"/>
        <v>1850.568</v>
      </c>
      <c r="X18" s="1">
        <f t="shared" si="5"/>
        <v>2864.8939999999998</v>
      </c>
    </row>
    <row r="19" spans="1:24" ht="15.5" thickTop="1" thickBot="1" x14ac:dyDescent="0.4">
      <c r="A19" s="5" t="str">
        <f t="shared" si="7"/>
        <v>2025Q4</v>
      </c>
      <c r="B19" s="2">
        <f t="shared" si="8"/>
        <v>117.559</v>
      </c>
      <c r="C19" s="3">
        <f t="shared" si="8"/>
        <v>133.941</v>
      </c>
      <c r="D19" s="2">
        <f t="shared" si="8"/>
        <v>150.32300000000001</v>
      </c>
      <c r="E19" s="2">
        <f t="shared" si="9"/>
        <v>836.24099999999999</v>
      </c>
      <c r="F19" s="3">
        <f t="shared" si="9"/>
        <v>1850.568</v>
      </c>
      <c r="G19" s="2">
        <f t="shared" si="9"/>
        <v>2864.8939999999998</v>
      </c>
      <c r="K19" s="14" t="s">
        <v>90</v>
      </c>
      <c r="L19" s="48">
        <v>125.81306786175558</v>
      </c>
      <c r="M19" s="48">
        <v>109.3707202710648</v>
      </c>
      <c r="N19" s="48">
        <v>142.25541545244636</v>
      </c>
      <c r="O19" s="1">
        <f t="shared" si="0"/>
        <v>109.371</v>
      </c>
      <c r="P19" s="1">
        <f t="shared" si="1"/>
        <v>125.813</v>
      </c>
      <c r="Q19" s="1">
        <f t="shared" si="2"/>
        <v>142.255</v>
      </c>
      <c r="R19" s="14" t="str">
        <f t="shared" si="6"/>
        <v>2026Q1</v>
      </c>
      <c r="S19" s="63">
        <v>1889.7430133190219</v>
      </c>
      <c r="T19" s="63">
        <v>843.86465833435727</v>
      </c>
      <c r="U19" s="63">
        <v>2935.6213683036867</v>
      </c>
      <c r="V19" s="1">
        <f t="shared" si="3"/>
        <v>843.86500000000001</v>
      </c>
      <c r="W19" s="1">
        <f t="shared" si="4"/>
        <v>1889.7429999999999</v>
      </c>
      <c r="X19" s="1">
        <f t="shared" si="5"/>
        <v>2935.6210000000001</v>
      </c>
    </row>
    <row r="20" spans="1:24" ht="15.5" thickTop="1" thickBot="1" x14ac:dyDescent="0.4">
      <c r="A20" s="5" t="str">
        <f t="shared" si="7"/>
        <v>2026Q1</v>
      </c>
      <c r="B20" s="2">
        <f t="shared" si="8"/>
        <v>109.371</v>
      </c>
      <c r="C20" s="3">
        <f t="shared" si="8"/>
        <v>125.813</v>
      </c>
      <c r="D20" s="2">
        <f t="shared" si="8"/>
        <v>142.255</v>
      </c>
      <c r="E20" s="2">
        <f t="shared" si="9"/>
        <v>843.86500000000001</v>
      </c>
      <c r="F20" s="3">
        <f t="shared" si="9"/>
        <v>1889.7429999999999</v>
      </c>
      <c r="G20" s="2">
        <f t="shared" si="9"/>
        <v>2935.6210000000001</v>
      </c>
      <c r="K20" s="14" t="s">
        <v>91</v>
      </c>
      <c r="L20" s="48">
        <v>133.38273252747626</v>
      </c>
      <c r="M20" s="48">
        <v>116.89170808552011</v>
      </c>
      <c r="N20" s="48">
        <v>149.87375696943243</v>
      </c>
      <c r="O20" s="1">
        <f t="shared" si="0"/>
        <v>116.892</v>
      </c>
      <c r="P20" s="1">
        <f t="shared" si="1"/>
        <v>133.38300000000001</v>
      </c>
      <c r="Q20" s="1">
        <f t="shared" si="2"/>
        <v>149.874</v>
      </c>
      <c r="R20" s="14" t="str">
        <f t="shared" si="6"/>
        <v>2026Q2</v>
      </c>
      <c r="S20" s="63">
        <v>1896.2525610986679</v>
      </c>
      <c r="T20" s="63">
        <v>819.74660604436747</v>
      </c>
      <c r="U20" s="63">
        <v>2972.7585161529678</v>
      </c>
      <c r="V20" s="1">
        <f t="shared" si="3"/>
        <v>819.74699999999996</v>
      </c>
      <c r="W20" s="1">
        <f t="shared" si="4"/>
        <v>1896.2529999999999</v>
      </c>
      <c r="X20" s="1">
        <f t="shared" si="5"/>
        <v>2972.759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116.892</v>
      </c>
      <c r="C21" s="3">
        <f t="shared" si="10"/>
        <v>133.38300000000001</v>
      </c>
      <c r="D21" s="2">
        <f t="shared" si="10"/>
        <v>149.874</v>
      </c>
      <c r="E21" s="2">
        <f t="shared" ref="E21:G35" si="11">V20</f>
        <v>819.74699999999996</v>
      </c>
      <c r="F21" s="3">
        <f t="shared" si="11"/>
        <v>1896.2529999999999</v>
      </c>
      <c r="G21" s="2">
        <f t="shared" si="11"/>
        <v>2972.759</v>
      </c>
      <c r="K21" s="14" t="s">
        <v>92</v>
      </c>
      <c r="L21" s="48">
        <v>134.73735865723245</v>
      </c>
      <c r="M21" s="48">
        <v>118.20680670376481</v>
      </c>
      <c r="N21" s="48">
        <v>151.26791061070008</v>
      </c>
      <c r="O21" s="1">
        <f t="shared" si="0"/>
        <v>118.20699999999999</v>
      </c>
      <c r="P21" s="1">
        <f t="shared" si="1"/>
        <v>134.73699999999999</v>
      </c>
      <c r="Q21" s="1">
        <f t="shared" si="2"/>
        <v>151.268</v>
      </c>
      <c r="R21" s="14" t="str">
        <f t="shared" si="6"/>
        <v>2026Q3</v>
      </c>
      <c r="S21" s="63">
        <v>1890.0929789618758</v>
      </c>
      <c r="T21" s="63">
        <v>783.80702635970431</v>
      </c>
      <c r="U21" s="63">
        <v>2996.378931564047</v>
      </c>
      <c r="V21" s="1">
        <f t="shared" si="3"/>
        <v>783.80700000000002</v>
      </c>
      <c r="W21" s="1">
        <f t="shared" si="4"/>
        <v>1890.0930000000001</v>
      </c>
      <c r="X21" s="1">
        <f t="shared" si="5"/>
        <v>2996.3789999999999</v>
      </c>
    </row>
    <row r="22" spans="1:24" ht="15.5" thickTop="1" thickBot="1" x14ac:dyDescent="0.4">
      <c r="A22" s="5" t="str">
        <f t="shared" si="7"/>
        <v>2026Q3</v>
      </c>
      <c r="B22" s="2">
        <f t="shared" si="10"/>
        <v>118.20699999999999</v>
      </c>
      <c r="C22" s="3">
        <f t="shared" si="10"/>
        <v>134.73699999999999</v>
      </c>
      <c r="D22" s="2">
        <f t="shared" si="10"/>
        <v>151.268</v>
      </c>
      <c r="E22" s="2">
        <f t="shared" si="11"/>
        <v>783.80700000000002</v>
      </c>
      <c r="F22" s="3">
        <f t="shared" si="11"/>
        <v>1890.0930000000001</v>
      </c>
      <c r="G22" s="2">
        <f t="shared" si="11"/>
        <v>2996.3789999999999</v>
      </c>
      <c r="K22" s="14" t="s">
        <v>93</v>
      </c>
      <c r="L22" s="48">
        <v>136.63779855379715</v>
      </c>
      <c r="M22" s="48">
        <v>120.07513241773005</v>
      </c>
      <c r="N22" s="48">
        <v>153.20046468986428</v>
      </c>
      <c r="O22" s="1">
        <f t="shared" si="0"/>
        <v>120.075</v>
      </c>
      <c r="P22" s="1">
        <f t="shared" si="1"/>
        <v>136.63800000000001</v>
      </c>
      <c r="Q22" s="1">
        <f t="shared" si="2"/>
        <v>153.19999999999999</v>
      </c>
      <c r="R22" s="14" t="str">
        <f t="shared" si="6"/>
        <v>2026Q4</v>
      </c>
      <c r="S22" s="63">
        <v>1917.7089173034842</v>
      </c>
      <c r="T22" s="63">
        <v>782.42386647080116</v>
      </c>
      <c r="U22" s="63">
        <v>3052.993968136167</v>
      </c>
      <c r="V22" s="1">
        <f t="shared" si="3"/>
        <v>782.42399999999998</v>
      </c>
      <c r="W22" s="1">
        <f t="shared" si="4"/>
        <v>1917.7090000000001</v>
      </c>
      <c r="X22" s="1">
        <f t="shared" si="5"/>
        <v>3052.9940000000001</v>
      </c>
    </row>
    <row r="23" spans="1:24" ht="15.5" thickTop="1" thickBot="1" x14ac:dyDescent="0.4">
      <c r="A23" s="5" t="str">
        <f t="shared" si="7"/>
        <v>2026Q4</v>
      </c>
      <c r="B23" s="2">
        <f t="shared" si="10"/>
        <v>120.075</v>
      </c>
      <c r="C23" s="3">
        <f t="shared" si="10"/>
        <v>136.63800000000001</v>
      </c>
      <c r="D23" s="2">
        <f t="shared" si="10"/>
        <v>153.19999999999999</v>
      </c>
      <c r="E23" s="2">
        <f t="shared" si="11"/>
        <v>782.42399999999998</v>
      </c>
      <c r="F23" s="3">
        <f t="shared" si="11"/>
        <v>1917.7090000000001</v>
      </c>
      <c r="G23" s="2">
        <f t="shared" si="11"/>
        <v>3052.9940000000001</v>
      </c>
      <c r="K23" s="14" t="s">
        <v>94</v>
      </c>
      <c r="L23" s="48">
        <v>128.54834601242052</v>
      </c>
      <c r="M23" s="48">
        <v>111.95957797460544</v>
      </c>
      <c r="N23" s="48">
        <v>145.13711405023562</v>
      </c>
      <c r="O23" s="1">
        <f t="shared" si="0"/>
        <v>111.96</v>
      </c>
      <c r="P23" s="1">
        <f t="shared" si="1"/>
        <v>128.548</v>
      </c>
      <c r="Q23" s="1">
        <f t="shared" si="2"/>
        <v>145.137</v>
      </c>
      <c r="R23" s="14" t="str">
        <f t="shared" si="6"/>
        <v>2027Q1</v>
      </c>
      <c r="S23" s="63">
        <v>1956.8841388772271</v>
      </c>
      <c r="T23" s="63">
        <v>793.32250134238438</v>
      </c>
      <c r="U23" s="63">
        <v>3120.4457764120698</v>
      </c>
      <c r="V23" s="1">
        <f t="shared" si="3"/>
        <v>793.32299999999998</v>
      </c>
      <c r="W23" s="1">
        <f t="shared" si="4"/>
        <v>1956.884</v>
      </c>
      <c r="X23" s="1">
        <f t="shared" si="5"/>
        <v>3120.4459999999999</v>
      </c>
    </row>
    <row r="24" spans="1:24" ht="15.5" thickTop="1" thickBot="1" x14ac:dyDescent="0.4">
      <c r="A24" s="5" t="str">
        <f t="shared" si="7"/>
        <v>2027Q1</v>
      </c>
      <c r="B24" s="2">
        <f t="shared" si="10"/>
        <v>111.96</v>
      </c>
      <c r="C24" s="3">
        <f t="shared" si="10"/>
        <v>128.548</v>
      </c>
      <c r="D24" s="2">
        <f t="shared" si="10"/>
        <v>145.137</v>
      </c>
      <c r="E24" s="2">
        <f t="shared" si="11"/>
        <v>793.32299999999998</v>
      </c>
      <c r="F24" s="3">
        <f t="shared" si="11"/>
        <v>1956.884</v>
      </c>
      <c r="G24" s="2">
        <f t="shared" si="11"/>
        <v>3120.4459999999999</v>
      </c>
      <c r="K24" s="14" t="s">
        <v>95</v>
      </c>
      <c r="L24" s="48">
        <v>136.15268872035244</v>
      </c>
      <c r="M24" s="48">
        <v>119.54269844216702</v>
      </c>
      <c r="N24" s="48">
        <v>152.76267899853787</v>
      </c>
      <c r="O24" s="1">
        <f t="shared" si="0"/>
        <v>119.54300000000001</v>
      </c>
      <c r="P24" s="1">
        <f t="shared" si="1"/>
        <v>136.15299999999999</v>
      </c>
      <c r="Q24" s="1">
        <f t="shared" si="2"/>
        <v>152.76300000000001</v>
      </c>
      <c r="R24" s="14" t="str">
        <f t="shared" si="6"/>
        <v>2027Q2</v>
      </c>
      <c r="S24" s="63">
        <v>1963.393686635254</v>
      </c>
      <c r="T24" s="63">
        <v>772.22651866583521</v>
      </c>
      <c r="U24" s="63">
        <v>3154.5608546046724</v>
      </c>
      <c r="V24" s="1">
        <f t="shared" si="3"/>
        <v>772.22699999999998</v>
      </c>
      <c r="W24" s="1">
        <f t="shared" si="4"/>
        <v>1963.394</v>
      </c>
      <c r="X24" s="1">
        <f t="shared" si="5"/>
        <v>3154.5610000000001</v>
      </c>
    </row>
    <row r="25" spans="1:24" ht="15.5" thickTop="1" thickBot="1" x14ac:dyDescent="0.4">
      <c r="A25" s="5" t="str">
        <f t="shared" si="7"/>
        <v>2027Q2</v>
      </c>
      <c r="B25" s="2">
        <f t="shared" si="10"/>
        <v>119.54300000000001</v>
      </c>
      <c r="C25" s="3">
        <f t="shared" si="10"/>
        <v>136.15299999999999</v>
      </c>
      <c r="D25" s="2">
        <f t="shared" si="10"/>
        <v>152.76300000000001</v>
      </c>
      <c r="E25" s="2">
        <f t="shared" si="11"/>
        <v>772.22699999999998</v>
      </c>
      <c r="F25" s="3">
        <f t="shared" si="11"/>
        <v>1963.394</v>
      </c>
      <c r="G25" s="2">
        <f t="shared" si="11"/>
        <v>3154.5610000000001</v>
      </c>
      <c r="K25" s="14" t="s">
        <v>96</v>
      </c>
      <c r="L25" s="48">
        <v>137.53860616910174</v>
      </c>
      <c r="M25" s="48">
        <v>120.91135645034069</v>
      </c>
      <c r="N25" s="48">
        <v>154.16585588786279</v>
      </c>
      <c r="O25" s="1">
        <f t="shared" si="0"/>
        <v>120.911</v>
      </c>
      <c r="P25" s="1">
        <f t="shared" si="1"/>
        <v>137.53899999999999</v>
      </c>
      <c r="Q25" s="1">
        <f t="shared" si="2"/>
        <v>154.166</v>
      </c>
      <c r="R25" s="14" t="str">
        <f t="shared" si="6"/>
        <v>2027Q3</v>
      </c>
      <c r="S25" s="63">
        <v>1957.234104505701</v>
      </c>
      <c r="T25" s="63">
        <v>739.08683929041183</v>
      </c>
      <c r="U25" s="63">
        <v>3175.3813697209898</v>
      </c>
      <c r="V25" s="1">
        <f t="shared" si="3"/>
        <v>739.08699999999999</v>
      </c>
      <c r="W25" s="1">
        <f t="shared" si="4"/>
        <v>1957.2339999999999</v>
      </c>
      <c r="X25" s="1">
        <f t="shared" si="5"/>
        <v>3175.3809999999999</v>
      </c>
    </row>
    <row r="26" spans="1:24" ht="15.5" thickTop="1" thickBot="1" x14ac:dyDescent="0.4">
      <c r="A26" s="5" t="str">
        <f t="shared" si="7"/>
        <v>2027Q3</v>
      </c>
      <c r="B26" s="2">
        <f t="shared" si="10"/>
        <v>120.911</v>
      </c>
      <c r="C26" s="3">
        <f t="shared" si="10"/>
        <v>137.53899999999999</v>
      </c>
      <c r="D26" s="2">
        <f t="shared" si="10"/>
        <v>154.166</v>
      </c>
      <c r="E26" s="2">
        <f t="shared" si="11"/>
        <v>739.08699999999999</v>
      </c>
      <c r="F26" s="3">
        <f t="shared" si="11"/>
        <v>1957.2339999999999</v>
      </c>
      <c r="G26" s="2">
        <f t="shared" si="11"/>
        <v>3175.3809999999999</v>
      </c>
      <c r="K26" s="14" t="s">
        <v>97</v>
      </c>
      <c r="L26" s="48">
        <v>139.46728141523906</v>
      </c>
      <c r="M26" s="48">
        <v>122.82599203825113</v>
      </c>
      <c r="N26" s="48">
        <v>156.10857079222697</v>
      </c>
      <c r="O26" s="1">
        <f t="shared" si="0"/>
        <v>122.82599999999999</v>
      </c>
      <c r="P26" s="1">
        <f t="shared" si="1"/>
        <v>139.46700000000001</v>
      </c>
      <c r="Q26" s="1">
        <f t="shared" si="2"/>
        <v>156.10900000000001</v>
      </c>
      <c r="R26" s="14" t="str">
        <f t="shared" si="6"/>
        <v>2027Q4</v>
      </c>
      <c r="S26" s="63">
        <v>1984.8500428448856</v>
      </c>
      <c r="T26" s="63">
        <v>740.3074371236246</v>
      </c>
      <c r="U26" s="63">
        <v>3229.3926485661464</v>
      </c>
      <c r="V26" s="1">
        <f t="shared" si="3"/>
        <v>740.30700000000002</v>
      </c>
      <c r="W26" s="1">
        <f t="shared" si="4"/>
        <v>1984.85</v>
      </c>
      <c r="X26" s="1">
        <f t="shared" si="5"/>
        <v>3229.393</v>
      </c>
    </row>
    <row r="27" spans="1:24" ht="15.5" thickTop="1" thickBot="1" x14ac:dyDescent="0.4">
      <c r="A27" s="5" t="str">
        <f t="shared" si="7"/>
        <v>2027Q4</v>
      </c>
      <c r="B27" s="2">
        <f t="shared" si="10"/>
        <v>122.82599999999999</v>
      </c>
      <c r="C27" s="3">
        <f t="shared" si="10"/>
        <v>139.46700000000001</v>
      </c>
      <c r="D27" s="2">
        <f t="shared" si="10"/>
        <v>156.10900000000001</v>
      </c>
      <c r="E27" s="2">
        <f t="shared" si="11"/>
        <v>740.30700000000002</v>
      </c>
      <c r="F27" s="3">
        <f t="shared" si="11"/>
        <v>1984.85</v>
      </c>
      <c r="G27" s="2">
        <f t="shared" si="11"/>
        <v>3229.393</v>
      </c>
      <c r="K27" s="14" t="s">
        <v>98</v>
      </c>
      <c r="L27" s="48">
        <v>131.40330670577043</v>
      </c>
      <c r="M27" s="48">
        <v>114.75059478393227</v>
      </c>
      <c r="N27" s="48">
        <v>148.05601862760861</v>
      </c>
      <c r="O27" s="1">
        <f t="shared" si="0"/>
        <v>114.751</v>
      </c>
      <c r="P27" s="1">
        <f t="shared" si="1"/>
        <v>131.40299999999999</v>
      </c>
      <c r="Q27" s="1">
        <f t="shared" si="2"/>
        <v>148.05600000000001</v>
      </c>
      <c r="R27" s="14" t="str">
        <f t="shared" si="6"/>
        <v>2028Q1</v>
      </c>
      <c r="S27" s="63">
        <v>2024.02526441944</v>
      </c>
      <c r="T27" s="63">
        <v>753.63562530898776</v>
      </c>
      <c r="U27" s="63">
        <v>3294.4149035298924</v>
      </c>
      <c r="V27" s="1">
        <f t="shared" si="3"/>
        <v>753.63599999999997</v>
      </c>
      <c r="W27" s="1">
        <f t="shared" si="4"/>
        <v>2024.0250000000001</v>
      </c>
      <c r="X27" s="1">
        <f t="shared" si="5"/>
        <v>3294.415</v>
      </c>
    </row>
    <row r="28" spans="1:24" ht="15.5" thickTop="1" thickBot="1" x14ac:dyDescent="0.4">
      <c r="A28" s="5" t="str">
        <f t="shared" si="7"/>
        <v>2028Q1</v>
      </c>
      <c r="B28" s="2">
        <f t="shared" si="10"/>
        <v>114.751</v>
      </c>
      <c r="C28" s="3">
        <f t="shared" si="10"/>
        <v>131.40299999999999</v>
      </c>
      <c r="D28" s="2">
        <f t="shared" si="10"/>
        <v>148.05600000000001</v>
      </c>
      <c r="E28" s="2">
        <f t="shared" si="11"/>
        <v>753.63599999999997</v>
      </c>
      <c r="F28" s="3">
        <f t="shared" si="11"/>
        <v>2024.0250000000001</v>
      </c>
      <c r="G28" s="2">
        <f t="shared" si="11"/>
        <v>3294.415</v>
      </c>
      <c r="K28" s="14" t="s">
        <v>99</v>
      </c>
      <c r="L28" s="48">
        <v>139.0306390323386</v>
      </c>
      <c r="M28" s="48">
        <v>122.36863249743557</v>
      </c>
      <c r="N28" s="48">
        <v>155.69264556724164</v>
      </c>
      <c r="O28" s="1">
        <f t="shared" si="0"/>
        <v>122.369</v>
      </c>
      <c r="P28" s="1">
        <f t="shared" si="1"/>
        <v>139.03100000000001</v>
      </c>
      <c r="Q28" s="1">
        <f t="shared" si="2"/>
        <v>155.69300000000001</v>
      </c>
      <c r="R28" s="14" t="str">
        <f t="shared" si="6"/>
        <v>2028Q2</v>
      </c>
      <c r="S28" s="63">
        <v>2030.5348121771951</v>
      </c>
      <c r="T28" s="63">
        <v>734.81363350371578</v>
      </c>
      <c r="U28" s="63">
        <v>3326.2559908506742</v>
      </c>
      <c r="V28" s="1">
        <f t="shared" si="3"/>
        <v>734.81399999999996</v>
      </c>
      <c r="W28" s="1">
        <f t="shared" si="4"/>
        <v>2030.5350000000001</v>
      </c>
      <c r="X28" s="1">
        <f t="shared" si="5"/>
        <v>3326.2559999999999</v>
      </c>
    </row>
    <row r="29" spans="1:24" ht="15.5" thickTop="1" thickBot="1" x14ac:dyDescent="0.4">
      <c r="A29" s="5" t="str">
        <f t="shared" si="7"/>
        <v>2028Q2</v>
      </c>
      <c r="B29" s="2">
        <f t="shared" si="10"/>
        <v>122.369</v>
      </c>
      <c r="C29" s="3">
        <f t="shared" si="10"/>
        <v>139.03100000000001</v>
      </c>
      <c r="D29" s="2">
        <f t="shared" si="10"/>
        <v>155.69300000000001</v>
      </c>
      <c r="E29" s="2">
        <f t="shared" si="11"/>
        <v>734.81399999999996</v>
      </c>
      <c r="F29" s="3">
        <f t="shared" si="11"/>
        <v>2030.5350000000001</v>
      </c>
      <c r="G29" s="2">
        <f t="shared" si="11"/>
        <v>3326.2559999999999</v>
      </c>
      <c r="K29" s="14" t="s">
        <v>100</v>
      </c>
      <c r="L29" s="48">
        <v>140.43730089006846</v>
      </c>
      <c r="M29" s="48">
        <v>123.7677303781946</v>
      </c>
      <c r="N29" s="48">
        <v>157.1068714019423</v>
      </c>
      <c r="O29" s="1">
        <f t="shared" si="0"/>
        <v>123.768</v>
      </c>
      <c r="P29" s="1">
        <f t="shared" si="1"/>
        <v>140.43700000000001</v>
      </c>
      <c r="Q29" s="1">
        <f t="shared" si="2"/>
        <v>157.107</v>
      </c>
      <c r="R29" s="14" t="str">
        <f t="shared" si="6"/>
        <v>2028Q3</v>
      </c>
      <c r="S29" s="63">
        <v>2024.3752300477329</v>
      </c>
      <c r="T29" s="63">
        <v>703.8083401982384</v>
      </c>
      <c r="U29" s="63">
        <v>3344.9421198972273</v>
      </c>
      <c r="V29" s="1">
        <f t="shared" si="3"/>
        <v>703.80799999999999</v>
      </c>
      <c r="W29" s="1">
        <f t="shared" si="4"/>
        <v>2024.375</v>
      </c>
      <c r="X29" s="1">
        <f t="shared" si="5"/>
        <v>3344.942</v>
      </c>
    </row>
    <row r="30" spans="1:24" ht="15.5" thickTop="1" thickBot="1" x14ac:dyDescent="0.4">
      <c r="A30" s="5" t="str">
        <f t="shared" si="7"/>
        <v>2028Q3</v>
      </c>
      <c r="B30" s="2">
        <f t="shared" si="10"/>
        <v>123.768</v>
      </c>
      <c r="C30" s="3">
        <f t="shared" si="10"/>
        <v>140.43700000000001</v>
      </c>
      <c r="D30" s="2">
        <f t="shared" si="10"/>
        <v>157.107</v>
      </c>
      <c r="E30" s="2">
        <f t="shared" si="11"/>
        <v>703.80799999999999</v>
      </c>
      <c r="F30" s="3">
        <f t="shared" si="11"/>
        <v>2024.375</v>
      </c>
      <c r="G30" s="2">
        <f t="shared" si="11"/>
        <v>3344.942</v>
      </c>
      <c r="K30" s="14" t="s">
        <v>101</v>
      </c>
      <c r="L30" s="48">
        <v>142.38469460695393</v>
      </c>
      <c r="M30" s="48">
        <v>125.70896793270985</v>
      </c>
      <c r="N30" s="48">
        <v>159.06042128119802</v>
      </c>
      <c r="O30" s="1">
        <f t="shared" si="0"/>
        <v>125.709</v>
      </c>
      <c r="P30" s="1">
        <f t="shared" si="1"/>
        <v>142.38499999999999</v>
      </c>
      <c r="Q30" s="1">
        <f t="shared" si="2"/>
        <v>159.06</v>
      </c>
      <c r="R30" s="14" t="str">
        <f t="shared" si="6"/>
        <v>2028Q4</v>
      </c>
      <c r="S30" s="63">
        <v>2051.9911683868872</v>
      </c>
      <c r="T30" s="63">
        <v>707.03747094204459</v>
      </c>
      <c r="U30" s="63">
        <v>3396.9448658317301</v>
      </c>
      <c r="V30" s="1">
        <f t="shared" si="3"/>
        <v>707.03700000000003</v>
      </c>
      <c r="W30" s="1">
        <f t="shared" si="4"/>
        <v>2051.991</v>
      </c>
      <c r="X30" s="1">
        <f t="shared" si="5"/>
        <v>3396.9450000000002</v>
      </c>
    </row>
    <row r="31" spans="1:24" ht="15.5" thickTop="1" thickBot="1" x14ac:dyDescent="0.4">
      <c r="A31" s="5" t="str">
        <f t="shared" si="7"/>
        <v>2028Q4</v>
      </c>
      <c r="B31" s="2">
        <f t="shared" si="10"/>
        <v>125.709</v>
      </c>
      <c r="C31" s="3">
        <f t="shared" si="10"/>
        <v>142.38499999999999</v>
      </c>
      <c r="D31" s="2">
        <f t="shared" si="10"/>
        <v>159.06</v>
      </c>
      <c r="E31" s="2">
        <f t="shared" si="11"/>
        <v>707.03700000000003</v>
      </c>
      <c r="F31" s="3">
        <f t="shared" si="11"/>
        <v>2051.991</v>
      </c>
      <c r="G31" s="2">
        <f t="shared" si="11"/>
        <v>3396.9450000000002</v>
      </c>
      <c r="K31" s="14" t="s">
        <v>102</v>
      </c>
      <c r="L31" s="48">
        <v>134.33761028696222</v>
      </c>
      <c r="M31" s="48">
        <v>117.65687285679398</v>
      </c>
      <c r="N31" s="48">
        <v>151.01834771713047</v>
      </c>
      <c r="O31" s="1">
        <f t="shared" si="0"/>
        <v>117.657</v>
      </c>
      <c r="P31" s="1">
        <f t="shared" si="1"/>
        <v>134.33799999999999</v>
      </c>
      <c r="Q31" s="1">
        <f t="shared" si="2"/>
        <v>151.018</v>
      </c>
      <c r="R31" s="14" t="str">
        <f t="shared" si="6"/>
        <v>2029Q1</v>
      </c>
      <c r="S31" s="63">
        <v>2091.1663899614518</v>
      </c>
      <c r="T31" s="63">
        <v>722.26026243687352</v>
      </c>
      <c r="U31" s="63">
        <v>3460.0725174860299</v>
      </c>
      <c r="V31" s="1">
        <f t="shared" si="3"/>
        <v>722.26</v>
      </c>
      <c r="W31" s="1">
        <f t="shared" si="4"/>
        <v>2091.1660000000002</v>
      </c>
      <c r="X31" s="1">
        <f t="shared" si="5"/>
        <v>3460.0729999999999</v>
      </c>
    </row>
    <row r="32" spans="1:24" ht="15.5" thickTop="1" thickBot="1" x14ac:dyDescent="0.4">
      <c r="A32" s="5" t="str">
        <f t="shared" si="7"/>
        <v>2029Q1</v>
      </c>
      <c r="B32" s="2">
        <f t="shared" si="10"/>
        <v>117.657</v>
      </c>
      <c r="C32" s="3">
        <f t="shared" si="10"/>
        <v>134.33799999999999</v>
      </c>
      <c r="D32" s="2">
        <f t="shared" si="10"/>
        <v>151.018</v>
      </c>
      <c r="E32" s="2">
        <f t="shared" si="11"/>
        <v>722.26</v>
      </c>
      <c r="F32" s="3">
        <f t="shared" si="11"/>
        <v>2091.1660000000002</v>
      </c>
      <c r="G32" s="2">
        <f t="shared" si="11"/>
        <v>3460.0729999999999</v>
      </c>
      <c r="K32" s="14" t="s">
        <v>103</v>
      </c>
      <c r="L32" s="48">
        <v>141.98018345561189</v>
      </c>
      <c r="M32" s="48">
        <v>125.29536730894468</v>
      </c>
      <c r="N32" s="48">
        <v>158.66499960227912</v>
      </c>
      <c r="O32" s="1">
        <f t="shared" si="0"/>
        <v>125.295</v>
      </c>
      <c r="P32" s="1">
        <f t="shared" si="1"/>
        <v>141.97999999999999</v>
      </c>
      <c r="Q32" s="1">
        <f t="shared" si="2"/>
        <v>158.66499999999999</v>
      </c>
      <c r="R32" s="14" t="str">
        <f t="shared" si="6"/>
        <v>2029Q2</v>
      </c>
      <c r="S32" s="63">
        <v>2097.6759377192034</v>
      </c>
      <c r="T32" s="63">
        <v>705.22934137228401</v>
      </c>
      <c r="U32" s="63">
        <v>3490.1225340661231</v>
      </c>
      <c r="V32" s="1">
        <f t="shared" si="3"/>
        <v>705.22900000000004</v>
      </c>
      <c r="W32" s="1">
        <f t="shared" si="4"/>
        <v>2097.6759999999999</v>
      </c>
      <c r="X32" s="1">
        <f t="shared" si="5"/>
        <v>3490.123</v>
      </c>
    </row>
    <row r="33" spans="1:24" ht="15.5" thickTop="1" thickBot="1" x14ac:dyDescent="0.4">
      <c r="A33" s="5" t="str">
        <f t="shared" si="7"/>
        <v>2029Q2</v>
      </c>
      <c r="B33" s="2">
        <f t="shared" si="10"/>
        <v>125.295</v>
      </c>
      <c r="C33" s="3">
        <f t="shared" si="10"/>
        <v>141.97999999999999</v>
      </c>
      <c r="D33" s="2">
        <f t="shared" si="10"/>
        <v>158.66499999999999</v>
      </c>
      <c r="E33" s="2">
        <f t="shared" si="11"/>
        <v>705.22900000000004</v>
      </c>
      <c r="F33" s="3">
        <f t="shared" si="11"/>
        <v>2097.6759999999999</v>
      </c>
      <c r="G33" s="2">
        <f t="shared" si="11"/>
        <v>3490.123</v>
      </c>
      <c r="K33" s="14" t="s">
        <v>107</v>
      </c>
      <c r="L33" s="48">
        <v>143.4005977059478</v>
      </c>
      <c r="M33" s="48">
        <v>126.71246134722537</v>
      </c>
      <c r="N33" s="48">
        <v>160.08873406467023</v>
      </c>
      <c r="O33" s="1">
        <f t="shared" si="0"/>
        <v>126.712</v>
      </c>
      <c r="P33" s="1">
        <f t="shared" si="1"/>
        <v>143.40100000000001</v>
      </c>
      <c r="Q33" s="1">
        <f t="shared" si="2"/>
        <v>160.089</v>
      </c>
      <c r="R33" s="14" t="str">
        <f t="shared" si="6"/>
        <v>2029Q3</v>
      </c>
      <c r="S33" s="63">
        <v>2091.5163555897425</v>
      </c>
      <c r="T33" s="63">
        <v>675.92069955589307</v>
      </c>
      <c r="U33" s="63">
        <v>3507.112011623592</v>
      </c>
      <c r="V33" s="1">
        <f t="shared" si="3"/>
        <v>675.92100000000005</v>
      </c>
      <c r="W33" s="1">
        <f t="shared" si="4"/>
        <v>2091.5160000000001</v>
      </c>
      <c r="X33" s="1">
        <f t="shared" si="5"/>
        <v>3507.1120000000001</v>
      </c>
    </row>
    <row r="34" spans="1:24" ht="15.5" thickTop="1" thickBot="1" x14ac:dyDescent="0.4">
      <c r="A34" s="5" t="str">
        <f t="shared" si="7"/>
        <v>2029Q3</v>
      </c>
      <c r="B34" s="2">
        <f t="shared" si="10"/>
        <v>126.712</v>
      </c>
      <c r="C34" s="3">
        <f t="shared" si="10"/>
        <v>143.40100000000001</v>
      </c>
      <c r="D34" s="2">
        <f t="shared" si="10"/>
        <v>160.089</v>
      </c>
      <c r="E34" s="2">
        <f t="shared" si="11"/>
        <v>675.92100000000005</v>
      </c>
      <c r="F34" s="3">
        <f t="shared" si="11"/>
        <v>2091.5160000000001</v>
      </c>
      <c r="G34" s="2">
        <f t="shared" si="11"/>
        <v>3507.1120000000001</v>
      </c>
      <c r="K34" s="14" t="s">
        <v>108</v>
      </c>
      <c r="L34" s="48">
        <v>145.36040073075591</v>
      </c>
      <c r="M34" s="48">
        <v>128.66956149650289</v>
      </c>
      <c r="N34" s="48">
        <v>162.05123996500893</v>
      </c>
      <c r="O34" s="1">
        <f t="shared" si="0"/>
        <v>128.66999999999999</v>
      </c>
      <c r="P34" s="1">
        <f t="shared" si="1"/>
        <v>145.36000000000001</v>
      </c>
      <c r="Q34" s="1">
        <f t="shared" si="2"/>
        <v>162.05099999999999</v>
      </c>
      <c r="R34" s="14" t="str">
        <f t="shared" si="6"/>
        <v>2029Q4</v>
      </c>
      <c r="S34" s="63">
        <v>2119.1322939288962</v>
      </c>
      <c r="T34" s="63">
        <v>680.76008928724309</v>
      </c>
      <c r="U34" s="63">
        <v>3557.5044985705495</v>
      </c>
      <c r="V34" s="1">
        <f t="shared" si="3"/>
        <v>680.76</v>
      </c>
      <c r="W34" s="1">
        <f t="shared" si="4"/>
        <v>2119.1320000000001</v>
      </c>
      <c r="X34" s="1">
        <f t="shared" si="5"/>
        <v>3557.5039999999999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128.66999999999999</v>
      </c>
      <c r="C35" s="3">
        <f t="shared" si="10"/>
        <v>145.36000000000001</v>
      </c>
      <c r="D35" s="2">
        <f t="shared" si="10"/>
        <v>162.05099999999999</v>
      </c>
      <c r="E35" s="2">
        <f t="shared" si="11"/>
        <v>680.76</v>
      </c>
      <c r="F35" s="3">
        <f t="shared" si="11"/>
        <v>2119.1320000000001</v>
      </c>
      <c r="G35" s="2">
        <f t="shared" si="11"/>
        <v>3557.5039999999999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131.86865624999999</v>
      </c>
      <c r="F38" s="1">
        <f>AVERAGE(F4:F35)</f>
        <v>1864.8634374999999</v>
      </c>
    </row>
    <row r="40" spans="1:24" ht="12.5" thickBot="1" x14ac:dyDescent="0.35"/>
    <row r="41" spans="1:24" ht="15.5" thickTop="1" thickBot="1" x14ac:dyDescent="0.4">
      <c r="A41" s="30" t="s">
        <v>59</v>
      </c>
      <c r="B41" s="31"/>
      <c r="C41" s="31"/>
      <c r="D41" s="31"/>
      <c r="E41" s="31"/>
      <c r="F41" s="31"/>
      <c r="G41" s="31"/>
      <c r="K41" s="30" t="s">
        <v>36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116.125</v>
      </c>
      <c r="D44" s="6"/>
      <c r="E44" s="6"/>
      <c r="F44" s="9">
        <f>ROUND(F4-((G4-F4)*(0.5/2)),3)</f>
        <v>1564.886</v>
      </c>
      <c r="G44" s="6"/>
      <c r="K44" s="7" t="str">
        <f>A4</f>
        <v>2022Q1</v>
      </c>
      <c r="L44" s="6"/>
      <c r="M44" s="9">
        <f>ROUND(C4-((D4-C4)*(1/2)),3)</f>
        <v>114.399</v>
      </c>
      <c r="N44" s="6"/>
      <c r="O44" s="6"/>
      <c r="P44" s="9">
        <f>ROUND(F4-((G4-F4)*(1/2)),3)</f>
        <v>1509.25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122.61199999999999</v>
      </c>
      <c r="D45" s="6"/>
      <c r="E45" s="6"/>
      <c r="F45" s="9">
        <f t="shared" ref="F45:F75" si="14">ROUND(F5-((G5-F5)*(0.5/2)),3)</f>
        <v>1541.24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120.23099999999999</v>
      </c>
      <c r="N45" s="6"/>
      <c r="O45" s="6"/>
      <c r="P45" s="9">
        <f t="shared" ref="P45:P75" si="17">ROUND(F5-((G5-F5)*(1/2)),3)</f>
        <v>1454.5719999999999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123.157</v>
      </c>
      <c r="D46" s="6"/>
      <c r="E46" s="6"/>
      <c r="F46" s="9">
        <f t="shared" si="14"/>
        <v>1514.4079999999999</v>
      </c>
      <c r="G46" s="6"/>
      <c r="K46" s="7" t="str">
        <f t="shared" si="15"/>
        <v>2022Q3</v>
      </c>
      <c r="L46" s="6"/>
      <c r="M46" s="9">
        <f t="shared" si="16"/>
        <v>120.354</v>
      </c>
      <c r="N46" s="6"/>
      <c r="O46" s="6"/>
      <c r="P46" s="9">
        <f t="shared" si="17"/>
        <v>1407.3610000000001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124.405</v>
      </c>
      <c r="D47" s="6"/>
      <c r="E47" s="6"/>
      <c r="F47" s="9">
        <f t="shared" si="14"/>
        <v>1524.4269999999999</v>
      </c>
      <c r="G47" s="6"/>
      <c r="K47" s="7" t="str">
        <f t="shared" si="15"/>
        <v>2022Q4</v>
      </c>
      <c r="L47" s="6"/>
      <c r="M47" s="9">
        <f t="shared" si="16"/>
        <v>121.301</v>
      </c>
      <c r="N47" s="6"/>
      <c r="O47" s="6"/>
      <c r="P47" s="9">
        <f t="shared" si="17"/>
        <v>1399.684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115.77500000000001</v>
      </c>
      <c r="D48" s="6"/>
      <c r="E48" s="6"/>
      <c r="F48" s="9">
        <f t="shared" si="14"/>
        <v>1548.2739999999999</v>
      </c>
      <c r="G48" s="6"/>
      <c r="K48" s="7" t="str">
        <f t="shared" si="15"/>
        <v>2023Q1</v>
      </c>
      <c r="L48" s="6"/>
      <c r="M48" s="9">
        <f t="shared" si="16"/>
        <v>112.446</v>
      </c>
      <c r="N48" s="6"/>
      <c r="O48" s="6"/>
      <c r="P48" s="9">
        <f t="shared" si="17"/>
        <v>1408.2370000000001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122.922</v>
      </c>
      <c r="D49" s="6"/>
      <c r="E49" s="6"/>
      <c r="F49" s="9">
        <f t="shared" si="14"/>
        <v>1540.9570000000001</v>
      </c>
      <c r="G49" s="6"/>
      <c r="K49" s="7" t="str">
        <f t="shared" si="15"/>
        <v>2023Q2</v>
      </c>
      <c r="L49" s="6"/>
      <c r="M49" s="9">
        <f t="shared" si="16"/>
        <v>119.42100000000001</v>
      </c>
      <c r="N49" s="6"/>
      <c r="O49" s="6"/>
      <c r="P49" s="9">
        <f t="shared" si="17"/>
        <v>1387.0820000000001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123.91500000000001</v>
      </c>
      <c r="D50" s="6"/>
      <c r="E50" s="6"/>
      <c r="F50" s="9">
        <f t="shared" si="14"/>
        <v>1522.12</v>
      </c>
      <c r="G50" s="6"/>
      <c r="K50" s="7" t="str">
        <f t="shared" si="15"/>
        <v>2023Q3</v>
      </c>
      <c r="L50" s="6"/>
      <c r="M50" s="9">
        <f t="shared" si="16"/>
        <v>120.279</v>
      </c>
      <c r="N50" s="6"/>
      <c r="O50" s="6"/>
      <c r="P50" s="9">
        <f t="shared" si="17"/>
        <v>1355.57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125.506</v>
      </c>
      <c r="D51" s="6"/>
      <c r="E51" s="6"/>
      <c r="F51" s="9">
        <f t="shared" si="14"/>
        <v>1537.9549999999999</v>
      </c>
      <c r="G51" s="6"/>
      <c r="K51" s="7" t="str">
        <f t="shared" si="15"/>
        <v>2023Q4</v>
      </c>
      <c r="L51" s="6"/>
      <c r="M51" s="9">
        <f t="shared" si="16"/>
        <v>121.764</v>
      </c>
      <c r="N51" s="6"/>
      <c r="O51" s="6"/>
      <c r="P51" s="9">
        <f t="shared" si="17"/>
        <v>1359.624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117.149</v>
      </c>
      <c r="D52" s="6"/>
      <c r="E52" s="6"/>
      <c r="F52" s="9">
        <f t="shared" si="14"/>
        <v>1566.0820000000001</v>
      </c>
      <c r="G52" s="6"/>
      <c r="K52" s="7" t="str">
        <f t="shared" si="15"/>
        <v>2024Q1</v>
      </c>
      <c r="L52" s="6"/>
      <c r="M52" s="9">
        <f t="shared" si="16"/>
        <v>113.32299999999999</v>
      </c>
      <c r="N52" s="6"/>
      <c r="O52" s="6"/>
      <c r="P52" s="9">
        <f t="shared" si="17"/>
        <v>1376.703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124.52</v>
      </c>
      <c r="D53" s="6"/>
      <c r="E53" s="6"/>
      <c r="F53" s="9">
        <f t="shared" si="14"/>
        <v>1562.152</v>
      </c>
      <c r="G53" s="6"/>
      <c r="K53" s="7" t="str">
        <f t="shared" si="15"/>
        <v>2024Q2</v>
      </c>
      <c r="L53" s="6"/>
      <c r="M53" s="9">
        <f t="shared" si="16"/>
        <v>120.626</v>
      </c>
      <c r="N53" s="6"/>
      <c r="O53" s="6"/>
      <c r="P53" s="9">
        <f t="shared" si="17"/>
        <v>1362.3340000000001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125.703</v>
      </c>
      <c r="D54" s="6"/>
      <c r="E54" s="6"/>
      <c r="F54" s="9">
        <f t="shared" si="14"/>
        <v>1546.0730000000001</v>
      </c>
      <c r="G54" s="6"/>
      <c r="K54" s="7" t="str">
        <f t="shared" si="15"/>
        <v>2024Q3</v>
      </c>
      <c r="L54" s="6"/>
      <c r="M54" s="9">
        <f t="shared" si="16"/>
        <v>121.756</v>
      </c>
      <c r="N54" s="6"/>
      <c r="O54" s="6"/>
      <c r="P54" s="9">
        <f t="shared" si="17"/>
        <v>1336.335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127.453</v>
      </c>
      <c r="D55" s="6"/>
      <c r="E55" s="6"/>
      <c r="F55" s="9">
        <f t="shared" si="14"/>
        <v>1564.2180000000001</v>
      </c>
      <c r="G55" s="6"/>
      <c r="K55" s="7" t="str">
        <f t="shared" si="15"/>
        <v>2024Q4</v>
      </c>
      <c r="L55" s="6"/>
      <c r="M55" s="9">
        <f t="shared" si="16"/>
        <v>123.462</v>
      </c>
      <c r="N55" s="6"/>
      <c r="O55" s="6"/>
      <c r="P55" s="9">
        <f t="shared" si="17"/>
        <v>1345.009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119.232</v>
      </c>
      <c r="D56" s="6"/>
      <c r="E56" s="6"/>
      <c r="F56" s="9">
        <f t="shared" si="14"/>
        <v>1594.3140000000001</v>
      </c>
      <c r="G56" s="6"/>
      <c r="K56" s="7" t="str">
        <f t="shared" si="15"/>
        <v>2025Q1</v>
      </c>
      <c r="L56" s="6"/>
      <c r="M56" s="9">
        <f t="shared" si="16"/>
        <v>115.206</v>
      </c>
      <c r="N56" s="6"/>
      <c r="O56" s="6"/>
      <c r="P56" s="9">
        <f t="shared" si="17"/>
        <v>1366.0260000000001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126.72199999999999</v>
      </c>
      <c r="D57" s="6"/>
      <c r="E57" s="6"/>
      <c r="F57" s="9">
        <f t="shared" si="14"/>
        <v>1592.0920000000001</v>
      </c>
      <c r="G57" s="6"/>
      <c r="K57" s="7" t="str">
        <f t="shared" si="15"/>
        <v>2025Q2</v>
      </c>
      <c r="L57" s="6"/>
      <c r="M57" s="9">
        <f t="shared" si="16"/>
        <v>122.66800000000001</v>
      </c>
      <c r="N57" s="6"/>
      <c r="O57" s="6"/>
      <c r="P57" s="9">
        <f t="shared" si="17"/>
        <v>1355.0719999999999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128.006</v>
      </c>
      <c r="D58" s="6"/>
      <c r="E58" s="6"/>
      <c r="F58" s="9">
        <f t="shared" si="14"/>
        <v>1577.5119999999999</v>
      </c>
      <c r="G58" s="6"/>
      <c r="K58" s="7" t="str">
        <f t="shared" si="15"/>
        <v>2025Q3</v>
      </c>
      <c r="L58" s="6"/>
      <c r="M58" s="9">
        <f t="shared" si="16"/>
        <v>123.929</v>
      </c>
      <c r="N58" s="6"/>
      <c r="O58" s="6"/>
      <c r="P58" s="9">
        <f t="shared" si="17"/>
        <v>1332.0719999999999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129.846</v>
      </c>
      <c r="D59" s="6"/>
      <c r="E59" s="6"/>
      <c r="F59" s="9">
        <f t="shared" si="14"/>
        <v>1596.9870000000001</v>
      </c>
      <c r="G59" s="6"/>
      <c r="K59" s="7" t="str">
        <f t="shared" si="15"/>
        <v>2025Q4</v>
      </c>
      <c r="L59" s="6"/>
      <c r="M59" s="9">
        <f t="shared" si="16"/>
        <v>125.75</v>
      </c>
      <c r="N59" s="6"/>
      <c r="O59" s="6"/>
      <c r="P59" s="9">
        <f t="shared" si="17"/>
        <v>1343.405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121.703</v>
      </c>
      <c r="D60" s="6"/>
      <c r="E60" s="6"/>
      <c r="F60" s="9">
        <f t="shared" si="14"/>
        <v>1628.2739999999999</v>
      </c>
      <c r="G60" s="6"/>
      <c r="K60" s="7" t="str">
        <f t="shared" si="15"/>
        <v>2026Q1</v>
      </c>
      <c r="L60" s="6"/>
      <c r="M60" s="9">
        <f t="shared" si="16"/>
        <v>117.592</v>
      </c>
      <c r="N60" s="6"/>
      <c r="O60" s="6"/>
      <c r="P60" s="9">
        <f t="shared" si="17"/>
        <v>1366.8040000000001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129.26</v>
      </c>
      <c r="D61" s="6"/>
      <c r="E61" s="6"/>
      <c r="F61" s="9">
        <f t="shared" si="14"/>
        <v>1627.127</v>
      </c>
      <c r="G61" s="6"/>
      <c r="K61" s="7" t="str">
        <f t="shared" si="15"/>
        <v>2026Q2</v>
      </c>
      <c r="L61" s="6"/>
      <c r="M61" s="9">
        <f t="shared" si="16"/>
        <v>125.13800000000001</v>
      </c>
      <c r="N61" s="6"/>
      <c r="O61" s="6"/>
      <c r="P61" s="9">
        <f t="shared" si="17"/>
        <v>1358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130.60400000000001</v>
      </c>
      <c r="D62" s="6"/>
      <c r="E62" s="6"/>
      <c r="F62" s="9">
        <f t="shared" si="14"/>
        <v>1613.5219999999999</v>
      </c>
      <c r="G62" s="6"/>
      <c r="K62" s="7" t="str">
        <f t="shared" si="15"/>
        <v>2026Q3</v>
      </c>
      <c r="L62" s="6"/>
      <c r="M62" s="9">
        <f t="shared" si="16"/>
        <v>126.47199999999999</v>
      </c>
      <c r="N62" s="6"/>
      <c r="O62" s="6"/>
      <c r="P62" s="9">
        <f t="shared" si="17"/>
        <v>1336.95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132.49799999999999</v>
      </c>
      <c r="D63" s="6"/>
      <c r="E63" s="6"/>
      <c r="F63" s="9">
        <f t="shared" si="14"/>
        <v>1633.8879999999999</v>
      </c>
      <c r="G63" s="6"/>
      <c r="K63" s="7" t="str">
        <f t="shared" si="15"/>
        <v>2026Q4</v>
      </c>
      <c r="L63" s="6"/>
      <c r="M63" s="9">
        <f t="shared" si="16"/>
        <v>128.357</v>
      </c>
      <c r="N63" s="6"/>
      <c r="O63" s="6"/>
      <c r="P63" s="9">
        <f t="shared" si="17"/>
        <v>1350.067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124.401</v>
      </c>
      <c r="D64" s="6"/>
      <c r="E64" s="6"/>
      <c r="F64" s="9">
        <f t="shared" si="14"/>
        <v>1665.9939999999999</v>
      </c>
      <c r="G64" s="6"/>
      <c r="K64" s="7" t="str">
        <f t="shared" si="15"/>
        <v>2027Q1</v>
      </c>
      <c r="L64" s="6"/>
      <c r="M64" s="9">
        <f t="shared" si="16"/>
        <v>120.254</v>
      </c>
      <c r="N64" s="6"/>
      <c r="O64" s="6"/>
      <c r="P64" s="9">
        <f t="shared" si="17"/>
        <v>1375.1030000000001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132.001</v>
      </c>
      <c r="D65" s="6"/>
      <c r="E65" s="6"/>
      <c r="F65" s="9">
        <f t="shared" si="14"/>
        <v>1665.6020000000001</v>
      </c>
      <c r="G65" s="6"/>
      <c r="K65" s="7" t="str">
        <f t="shared" si="15"/>
        <v>2027Q2</v>
      </c>
      <c r="L65" s="6"/>
      <c r="M65" s="9">
        <f t="shared" si="16"/>
        <v>127.848</v>
      </c>
      <c r="N65" s="6"/>
      <c r="O65" s="6"/>
      <c r="P65" s="9">
        <f t="shared" si="17"/>
        <v>1367.8109999999999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133.38200000000001</v>
      </c>
      <c r="D66" s="6"/>
      <c r="E66" s="6"/>
      <c r="F66" s="9">
        <f t="shared" si="14"/>
        <v>1652.6969999999999</v>
      </c>
      <c r="G66" s="6"/>
      <c r="K66" s="7" t="str">
        <f t="shared" si="15"/>
        <v>2027Q3</v>
      </c>
      <c r="L66" s="6"/>
      <c r="M66" s="9">
        <f t="shared" si="16"/>
        <v>129.226</v>
      </c>
      <c r="N66" s="6"/>
      <c r="O66" s="6"/>
      <c r="P66" s="9">
        <f t="shared" si="17"/>
        <v>1348.1610000000001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135.30699999999999</v>
      </c>
      <c r="D67" s="6"/>
      <c r="E67" s="6"/>
      <c r="F67" s="9">
        <f t="shared" si="14"/>
        <v>1673.7139999999999</v>
      </c>
      <c r="G67" s="6"/>
      <c r="K67" s="7" t="str">
        <f t="shared" si="15"/>
        <v>2027Q4</v>
      </c>
      <c r="L67" s="6"/>
      <c r="M67" s="9">
        <f t="shared" si="16"/>
        <v>131.14599999999999</v>
      </c>
      <c r="N67" s="6"/>
      <c r="O67" s="6"/>
      <c r="P67" s="9">
        <f t="shared" si="17"/>
        <v>1362.579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127.24</v>
      </c>
      <c r="D68" s="6"/>
      <c r="E68" s="6"/>
      <c r="F68" s="9">
        <f t="shared" si="14"/>
        <v>1706.4280000000001</v>
      </c>
      <c r="G68" s="6"/>
      <c r="K68" s="7" t="str">
        <f t="shared" si="15"/>
        <v>2028Q1</v>
      </c>
      <c r="L68" s="6"/>
      <c r="M68" s="9">
        <f t="shared" si="16"/>
        <v>123.077</v>
      </c>
      <c r="N68" s="6"/>
      <c r="O68" s="6"/>
      <c r="P68" s="9">
        <f t="shared" si="17"/>
        <v>1388.83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134.86600000000001</v>
      </c>
      <c r="D69" s="6"/>
      <c r="E69" s="6"/>
      <c r="F69" s="9">
        <f t="shared" si="14"/>
        <v>1706.605</v>
      </c>
      <c r="G69" s="6"/>
      <c r="K69" s="7" t="str">
        <f t="shared" si="15"/>
        <v>2028Q2</v>
      </c>
      <c r="L69" s="6"/>
      <c r="M69" s="9">
        <f t="shared" si="16"/>
        <v>130.69999999999999</v>
      </c>
      <c r="N69" s="6"/>
      <c r="O69" s="6"/>
      <c r="P69" s="9">
        <f t="shared" si="17"/>
        <v>1382.675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136.27000000000001</v>
      </c>
      <c r="D70" s="6"/>
      <c r="E70" s="6"/>
      <c r="F70" s="9">
        <f t="shared" si="14"/>
        <v>1694.2329999999999</v>
      </c>
      <c r="G70" s="6"/>
      <c r="K70" s="7" t="str">
        <f t="shared" si="15"/>
        <v>2028Q3</v>
      </c>
      <c r="L70" s="6"/>
      <c r="M70" s="9">
        <f t="shared" si="16"/>
        <v>132.102</v>
      </c>
      <c r="N70" s="6"/>
      <c r="O70" s="6"/>
      <c r="P70" s="9">
        <f t="shared" si="17"/>
        <v>1364.0920000000001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138.21600000000001</v>
      </c>
      <c r="D71" s="6"/>
      <c r="E71" s="6"/>
      <c r="F71" s="9">
        <f t="shared" si="14"/>
        <v>1715.7529999999999</v>
      </c>
      <c r="G71" s="6"/>
      <c r="K71" s="7" t="str">
        <f t="shared" si="15"/>
        <v>2028Q4</v>
      </c>
      <c r="L71" s="6"/>
      <c r="M71" s="9">
        <f t="shared" si="16"/>
        <v>134.048</v>
      </c>
      <c r="N71" s="6"/>
      <c r="O71" s="6"/>
      <c r="P71" s="9">
        <f t="shared" si="17"/>
        <v>1379.5139999999999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130.16800000000001</v>
      </c>
      <c r="D72" s="6"/>
      <c r="E72" s="6"/>
      <c r="F72" s="9">
        <f t="shared" si="14"/>
        <v>1748.9390000000001</v>
      </c>
      <c r="G72" s="6"/>
      <c r="K72" s="7" t="str">
        <f t="shared" si="15"/>
        <v>2029Q1</v>
      </c>
      <c r="L72" s="6"/>
      <c r="M72" s="9">
        <f t="shared" si="16"/>
        <v>125.998</v>
      </c>
      <c r="N72" s="6"/>
      <c r="O72" s="6"/>
      <c r="P72" s="9">
        <f t="shared" si="17"/>
        <v>1406.713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137.809</v>
      </c>
      <c r="D73" s="6"/>
      <c r="E73" s="6"/>
      <c r="F73" s="9">
        <f t="shared" si="14"/>
        <v>1749.5640000000001</v>
      </c>
      <c r="G73" s="6"/>
      <c r="K73" s="7" t="str">
        <f t="shared" si="15"/>
        <v>2029Q2</v>
      </c>
      <c r="L73" s="6"/>
      <c r="M73" s="9">
        <f t="shared" si="16"/>
        <v>133.63800000000001</v>
      </c>
      <c r="N73" s="6"/>
      <c r="O73" s="6"/>
      <c r="P73" s="9">
        <f t="shared" si="17"/>
        <v>1401.453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139.22900000000001</v>
      </c>
      <c r="D74" s="6"/>
      <c r="E74" s="6"/>
      <c r="F74" s="9">
        <f t="shared" si="14"/>
        <v>1737.617</v>
      </c>
      <c r="G74" s="6"/>
      <c r="K74" s="7" t="str">
        <f t="shared" si="15"/>
        <v>2029Q3</v>
      </c>
      <c r="L74" s="6"/>
      <c r="M74" s="9">
        <f t="shared" si="16"/>
        <v>135.05699999999999</v>
      </c>
      <c r="N74" s="6"/>
      <c r="O74" s="6"/>
      <c r="P74" s="9">
        <f t="shared" si="17"/>
        <v>1383.7180000000001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141.18700000000001</v>
      </c>
      <c r="D75" s="6"/>
      <c r="E75" s="6"/>
      <c r="F75" s="9">
        <f t="shared" si="14"/>
        <v>1759.539</v>
      </c>
      <c r="G75" s="6"/>
      <c r="K75" s="7" t="str">
        <f t="shared" si="15"/>
        <v>2029Q4</v>
      </c>
      <c r="L75" s="6"/>
      <c r="M75" s="9">
        <f t="shared" si="16"/>
        <v>137.01499999999999</v>
      </c>
      <c r="N75" s="6"/>
      <c r="O75" s="6"/>
      <c r="P75" s="9">
        <f t="shared" si="17"/>
        <v>1399.9459999999999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4" t="s">
        <v>44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64">
        <v>8.6516954294691573</v>
      </c>
      <c r="T3" s="64">
        <v>6.5770491695917945</v>
      </c>
      <c r="U3" s="64">
        <v>10.726341689346523</v>
      </c>
      <c r="V3" s="1">
        <f t="shared" ref="V3:V34" si="3">ROUND(T3,3)</f>
        <v>6.577</v>
      </c>
      <c r="W3" s="1">
        <f t="shared" ref="W3:W34" si="4">ROUND(S3,3)</f>
        <v>8.6519999999999992</v>
      </c>
      <c r="X3" s="1">
        <f t="shared" ref="X3:X34" si="5">ROUND(U3,3)</f>
        <v>10.726000000000001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6.577</v>
      </c>
      <c r="F4" s="3">
        <f>W3</f>
        <v>8.6519999999999992</v>
      </c>
      <c r="G4" s="2">
        <f>X3</f>
        <v>10.726000000000001</v>
      </c>
      <c r="K4" s="14" t="s">
        <v>68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64">
        <v>9.9353454247808575</v>
      </c>
      <c r="T4" s="64">
        <v>6.7272744353686011</v>
      </c>
      <c r="U4" s="64">
        <v>13.143416414193114</v>
      </c>
      <c r="V4" s="1">
        <f t="shared" si="3"/>
        <v>6.7270000000000003</v>
      </c>
      <c r="W4" s="1">
        <f t="shared" si="4"/>
        <v>9.9350000000000005</v>
      </c>
      <c r="X4" s="1">
        <f t="shared" si="5"/>
        <v>13.143000000000001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6.7270000000000003</v>
      </c>
      <c r="F5" s="3">
        <f t="shared" si="8"/>
        <v>9.9350000000000005</v>
      </c>
      <c r="G5" s="2">
        <f t="shared" si="8"/>
        <v>13.143000000000001</v>
      </c>
      <c r="I5" s="1">
        <f>SUM(F5:F8)</f>
        <v>39.501999999999995</v>
      </c>
      <c r="K5" s="14" t="s">
        <v>69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64">
        <v>9.7637470714465859</v>
      </c>
      <c r="T5" s="64">
        <v>5.6174315608543068</v>
      </c>
      <c r="U5" s="64">
        <v>13.910062582038865</v>
      </c>
      <c r="V5" s="1">
        <f t="shared" si="3"/>
        <v>5.617</v>
      </c>
      <c r="W5" s="1">
        <f t="shared" si="4"/>
        <v>9.7639999999999993</v>
      </c>
      <c r="X5" s="1">
        <f t="shared" si="5"/>
        <v>13.91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5.617</v>
      </c>
      <c r="F6" s="3">
        <f t="shared" si="8"/>
        <v>9.7639999999999993</v>
      </c>
      <c r="G6" s="2">
        <f t="shared" si="8"/>
        <v>13.91</v>
      </c>
      <c r="I6" s="1">
        <f>SUM(F9:F12)</f>
        <v>44.034999999999997</v>
      </c>
      <c r="K6" s="14" t="s">
        <v>70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64">
        <v>10.221710055359761</v>
      </c>
      <c r="T6" s="64">
        <v>5.2662815750752472</v>
      </c>
      <c r="U6" s="64">
        <v>15.177138535644275</v>
      </c>
      <c r="V6" s="1">
        <f t="shared" si="3"/>
        <v>5.266</v>
      </c>
      <c r="W6" s="1">
        <f t="shared" si="4"/>
        <v>10.222</v>
      </c>
      <c r="X6" s="1">
        <f t="shared" si="5"/>
        <v>15.177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5.266</v>
      </c>
      <c r="F7" s="3">
        <f t="shared" si="8"/>
        <v>10.222</v>
      </c>
      <c r="G7" s="2">
        <f t="shared" si="8"/>
        <v>15.177</v>
      </c>
      <c r="I7" s="1">
        <f>SUM(F13:F16)</f>
        <v>48.785000000000004</v>
      </c>
      <c r="K7" s="14" t="s">
        <v>71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64">
        <v>9.581135734449596</v>
      </c>
      <c r="T7" s="64">
        <v>3.9110156098525106</v>
      </c>
      <c r="U7" s="64">
        <v>15.251255859046683</v>
      </c>
      <c r="V7" s="1">
        <f t="shared" si="3"/>
        <v>3.911</v>
      </c>
      <c r="W7" s="1">
        <f t="shared" si="4"/>
        <v>9.5809999999999995</v>
      </c>
      <c r="X7" s="1">
        <f t="shared" si="5"/>
        <v>15.250999999999999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3.911</v>
      </c>
      <c r="F8" s="3">
        <f t="shared" si="8"/>
        <v>9.5809999999999995</v>
      </c>
      <c r="G8" s="2">
        <f t="shared" si="8"/>
        <v>15.250999999999999</v>
      </c>
      <c r="I8" s="1">
        <f>SUM(F17:F20)</f>
        <v>53.548000000000002</v>
      </c>
      <c r="K8" s="14" t="s">
        <v>72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64">
        <v>10.999927314034876</v>
      </c>
      <c r="T8" s="64">
        <v>4.6867291455335751</v>
      </c>
      <c r="U8" s="64">
        <v>17.313125482536179</v>
      </c>
      <c r="V8" s="1">
        <f t="shared" si="3"/>
        <v>4.6870000000000003</v>
      </c>
      <c r="W8" s="1">
        <f t="shared" si="4"/>
        <v>11</v>
      </c>
      <c r="X8" s="1">
        <f t="shared" si="5"/>
        <v>17.312999999999999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4.6870000000000003</v>
      </c>
      <c r="F9" s="3">
        <f t="shared" si="8"/>
        <v>11</v>
      </c>
      <c r="G9" s="2">
        <f t="shared" si="8"/>
        <v>17.312999999999999</v>
      </c>
      <c r="I9" s="1">
        <f>SUM(F21:F24)</f>
        <v>58.311999999999998</v>
      </c>
      <c r="K9" s="14" t="s">
        <v>73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64">
        <v>10.893621765657972</v>
      </c>
      <c r="T9" s="64">
        <v>3.9931006002146607</v>
      </c>
      <c r="U9" s="64">
        <v>17.794142931101284</v>
      </c>
      <c r="V9" s="1">
        <f t="shared" si="3"/>
        <v>3.9929999999999999</v>
      </c>
      <c r="W9" s="1">
        <f t="shared" si="4"/>
        <v>10.894</v>
      </c>
      <c r="X9" s="1">
        <f t="shared" si="5"/>
        <v>17.794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3.9929999999999999</v>
      </c>
      <c r="F10" s="3">
        <f t="shared" si="8"/>
        <v>10.894</v>
      </c>
      <c r="G10" s="2">
        <f t="shared" si="8"/>
        <v>17.794</v>
      </c>
      <c r="I10" s="1">
        <f>SUM(F25:F28)</f>
        <v>63.076000000000001</v>
      </c>
      <c r="K10" s="14" t="s">
        <v>74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64">
        <v>11.383130556896971</v>
      </c>
      <c r="T10" s="64">
        <v>3.9397227533082471</v>
      </c>
      <c r="U10" s="64">
        <v>18.826538360485692</v>
      </c>
      <c r="V10" s="1">
        <f t="shared" si="3"/>
        <v>3.94</v>
      </c>
      <c r="W10" s="1">
        <f t="shared" si="4"/>
        <v>11.382999999999999</v>
      </c>
      <c r="X10" s="1">
        <f t="shared" si="5"/>
        <v>18.827000000000002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3.94</v>
      </c>
      <c r="F11" s="3">
        <f t="shared" si="8"/>
        <v>11.382999999999999</v>
      </c>
      <c r="G11" s="2">
        <f t="shared" si="8"/>
        <v>18.827000000000002</v>
      </c>
      <c r="I11" s="1">
        <f>SUM(F29:F32)</f>
        <v>67.84</v>
      </c>
      <c r="K11" s="14" t="s">
        <v>75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64">
        <v>10.757797394036118</v>
      </c>
      <c r="T11" s="64">
        <v>2.8076891474305583</v>
      </c>
      <c r="U11" s="64">
        <v>18.707905640641673</v>
      </c>
      <c r="V11" s="1">
        <f t="shared" si="3"/>
        <v>2.8079999999999998</v>
      </c>
      <c r="W11" s="1">
        <f t="shared" si="4"/>
        <v>10.757999999999999</v>
      </c>
      <c r="X11" s="1">
        <f t="shared" si="5"/>
        <v>18.707999999999998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2.8079999999999998</v>
      </c>
      <c r="F12" s="3">
        <f t="shared" si="8"/>
        <v>10.757999999999999</v>
      </c>
      <c r="G12" s="2">
        <f t="shared" si="8"/>
        <v>18.707999999999998</v>
      </c>
      <c r="K12" s="14" t="s">
        <v>76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64">
        <v>12.183952643103199</v>
      </c>
      <c r="T12" s="64">
        <v>3.7571918196235652</v>
      </c>
      <c r="U12" s="64">
        <v>20.610713466582837</v>
      </c>
      <c r="V12" s="1">
        <f t="shared" si="3"/>
        <v>3.7570000000000001</v>
      </c>
      <c r="W12" s="1">
        <f t="shared" si="4"/>
        <v>12.183999999999999</v>
      </c>
      <c r="X12" s="1">
        <f t="shared" si="5"/>
        <v>20.611000000000001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3.7570000000000001</v>
      </c>
      <c r="F13" s="3">
        <f t="shared" si="8"/>
        <v>12.183999999999999</v>
      </c>
      <c r="G13" s="2">
        <f t="shared" si="8"/>
        <v>20.611000000000001</v>
      </c>
      <c r="K13" s="14" t="s">
        <v>77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64">
        <v>12.081204805240274</v>
      </c>
      <c r="T13" s="64">
        <v>3.2031780357073463</v>
      </c>
      <c r="U13" s="64">
        <v>20.959231574773202</v>
      </c>
      <c r="V13" s="1">
        <f t="shared" si="3"/>
        <v>3.2029999999999998</v>
      </c>
      <c r="W13" s="1">
        <f t="shared" si="4"/>
        <v>12.081</v>
      </c>
      <c r="X13" s="1">
        <f t="shared" si="5"/>
        <v>20.959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3.2029999999999998</v>
      </c>
      <c r="F14" s="3">
        <f t="shared" si="8"/>
        <v>12.081</v>
      </c>
      <c r="G14" s="2">
        <f t="shared" si="8"/>
        <v>20.959</v>
      </c>
      <c r="K14" s="14" t="s">
        <v>82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64">
        <v>12.572432481898094</v>
      </c>
      <c r="T14" s="64">
        <v>3.2649160133552253</v>
      </c>
      <c r="U14" s="64">
        <v>21.879948950440962</v>
      </c>
      <c r="V14" s="1">
        <f t="shared" si="3"/>
        <v>3.2650000000000001</v>
      </c>
      <c r="W14" s="1">
        <f t="shared" si="4"/>
        <v>12.571999999999999</v>
      </c>
      <c r="X14" s="1">
        <f t="shared" si="5"/>
        <v>21.88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3.2650000000000001</v>
      </c>
      <c r="F15" s="3">
        <f t="shared" si="8"/>
        <v>12.571999999999999</v>
      </c>
      <c r="G15" s="2">
        <f t="shared" si="8"/>
        <v>21.88</v>
      </c>
      <c r="K15" s="14" t="s">
        <v>79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64">
        <v>11.947929787697188</v>
      </c>
      <c r="T15" s="64">
        <v>2.2298505990966921</v>
      </c>
      <c r="U15" s="64">
        <v>21.666008976297682</v>
      </c>
      <c r="V15" s="1">
        <f t="shared" si="3"/>
        <v>2.23</v>
      </c>
      <c r="W15" s="1">
        <f t="shared" si="4"/>
        <v>11.948</v>
      </c>
      <c r="X15" s="1">
        <f t="shared" si="5"/>
        <v>21.666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2.23</v>
      </c>
      <c r="F16" s="3">
        <f t="shared" si="8"/>
        <v>11.948</v>
      </c>
      <c r="G16" s="2">
        <f t="shared" si="8"/>
        <v>21.666</v>
      </c>
      <c r="K16" s="14" t="s">
        <v>80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64">
        <v>13.374486272464804</v>
      </c>
      <c r="T16" s="64">
        <v>3.2624834989725118</v>
      </c>
      <c r="U16" s="64">
        <v>23.4864890459571</v>
      </c>
      <c r="V16" s="1">
        <f t="shared" si="3"/>
        <v>3.262</v>
      </c>
      <c r="W16" s="1">
        <f t="shared" si="4"/>
        <v>13.374000000000001</v>
      </c>
      <c r="X16" s="1">
        <f t="shared" si="5"/>
        <v>23.486000000000001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3.262</v>
      </c>
      <c r="F17" s="3">
        <f t="shared" si="8"/>
        <v>13.374000000000001</v>
      </c>
      <c r="G17" s="2">
        <f t="shared" si="8"/>
        <v>23.486000000000001</v>
      </c>
      <c r="K17" s="14" t="s">
        <v>81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64">
        <v>13.271932289102532</v>
      </c>
      <c r="T17" s="64">
        <v>2.7807788858950784</v>
      </c>
      <c r="U17" s="64">
        <v>23.763085692309986</v>
      </c>
      <c r="V17" s="1">
        <f t="shared" si="3"/>
        <v>2.7810000000000001</v>
      </c>
      <c r="W17" s="1">
        <f t="shared" si="4"/>
        <v>13.272</v>
      </c>
      <c r="X17" s="1">
        <f t="shared" si="5"/>
        <v>23.763000000000002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2.7810000000000001</v>
      </c>
      <c r="F18" s="3">
        <f t="shared" si="8"/>
        <v>13.272</v>
      </c>
      <c r="G18" s="2">
        <f t="shared" si="8"/>
        <v>23.763000000000002</v>
      </c>
      <c r="K18" s="14" t="s">
        <v>78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64">
        <v>13.763253625340926</v>
      </c>
      <c r="T18" s="64">
        <v>2.9061786067870403</v>
      </c>
      <c r="U18" s="64">
        <v>24.620328643894812</v>
      </c>
      <c r="V18" s="1">
        <f t="shared" si="3"/>
        <v>2.9060000000000001</v>
      </c>
      <c r="W18" s="1">
        <f t="shared" si="4"/>
        <v>13.763</v>
      </c>
      <c r="X18" s="1">
        <f t="shared" si="5"/>
        <v>24.62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2.9060000000000001</v>
      </c>
      <c r="F19" s="3">
        <f t="shared" si="8"/>
        <v>13.763</v>
      </c>
      <c r="G19" s="2">
        <f t="shared" si="8"/>
        <v>24.62</v>
      </c>
      <c r="K19" s="14" t="s">
        <v>90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64">
        <v>13.138796182176257</v>
      </c>
      <c r="T19" s="64">
        <v>1.9277349407967703</v>
      </c>
      <c r="U19" s="64">
        <v>24.34985742355574</v>
      </c>
      <c r="V19" s="1">
        <f t="shared" si="3"/>
        <v>1.9279999999999999</v>
      </c>
      <c r="W19" s="1">
        <f t="shared" si="4"/>
        <v>13.138999999999999</v>
      </c>
      <c r="X19" s="1">
        <f t="shared" si="5"/>
        <v>24.35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1.9279999999999999</v>
      </c>
      <c r="F20" s="3">
        <f t="shared" si="8"/>
        <v>13.138999999999999</v>
      </c>
      <c r="G20" s="2">
        <f t="shared" si="8"/>
        <v>24.35</v>
      </c>
      <c r="K20" s="14" t="s">
        <v>91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64">
        <v>14.565374529696918</v>
      </c>
      <c r="T20" s="64">
        <v>3.0111662615941333</v>
      </c>
      <c r="U20" s="64">
        <v>26.119582797799705</v>
      </c>
      <c r="V20" s="1">
        <f t="shared" si="3"/>
        <v>3.0110000000000001</v>
      </c>
      <c r="W20" s="1">
        <f t="shared" si="4"/>
        <v>14.565</v>
      </c>
      <c r="X20" s="1">
        <f t="shared" si="5"/>
        <v>26.12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3.0110000000000001</v>
      </c>
      <c r="F21" s="3">
        <f t="shared" si="9"/>
        <v>14.565</v>
      </c>
      <c r="G21" s="2">
        <f t="shared" si="9"/>
        <v>26.12</v>
      </c>
      <c r="K21" s="14" t="s">
        <v>92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64">
        <v>14.462831109186029</v>
      </c>
      <c r="T21" s="64">
        <v>2.5753767092380753</v>
      </c>
      <c r="U21" s="64">
        <v>26.350285509133982</v>
      </c>
      <c r="V21" s="1">
        <f t="shared" si="3"/>
        <v>2.5750000000000002</v>
      </c>
      <c r="W21" s="1">
        <f t="shared" si="4"/>
        <v>14.462999999999999</v>
      </c>
      <c r="X21" s="1">
        <f t="shared" si="5"/>
        <v>26.35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2.5750000000000002</v>
      </c>
      <c r="F22" s="3">
        <f t="shared" si="9"/>
        <v>14.462999999999999</v>
      </c>
      <c r="G22" s="2">
        <f t="shared" si="9"/>
        <v>26.35</v>
      </c>
      <c r="K22" s="14" t="s">
        <v>93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64">
        <v>14.954157548799515</v>
      </c>
      <c r="T22" s="64">
        <v>2.7425475074784536</v>
      </c>
      <c r="U22" s="64">
        <v>27.165767590120574</v>
      </c>
      <c r="V22" s="1">
        <f t="shared" si="3"/>
        <v>2.7429999999999999</v>
      </c>
      <c r="W22" s="1">
        <f t="shared" si="4"/>
        <v>14.954000000000001</v>
      </c>
      <c r="X22" s="1">
        <f t="shared" si="5"/>
        <v>27.166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2.7429999999999999</v>
      </c>
      <c r="F23" s="3">
        <f t="shared" si="9"/>
        <v>14.954000000000001</v>
      </c>
      <c r="G23" s="2">
        <f t="shared" si="9"/>
        <v>27.166</v>
      </c>
      <c r="K23" s="14" t="s">
        <v>94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64">
        <v>14.329702571298366</v>
      </c>
      <c r="T23" s="64">
        <v>1.8023217771852762</v>
      </c>
      <c r="U23" s="64">
        <v>26.857083365411455</v>
      </c>
      <c r="V23" s="1">
        <f t="shared" si="3"/>
        <v>1.802</v>
      </c>
      <c r="W23" s="1">
        <f t="shared" si="4"/>
        <v>14.33</v>
      </c>
      <c r="X23" s="1">
        <f t="shared" si="5"/>
        <v>26.856999999999999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1.802</v>
      </c>
      <c r="F24" s="3">
        <f t="shared" si="9"/>
        <v>14.33</v>
      </c>
      <c r="G24" s="2">
        <f t="shared" si="9"/>
        <v>26.856999999999999</v>
      </c>
      <c r="K24" s="14" t="s">
        <v>95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64">
        <v>15.756282110088822</v>
      </c>
      <c r="T24" s="64">
        <v>2.9208966340019016</v>
      </c>
      <c r="U24" s="64">
        <v>28.591667586175745</v>
      </c>
      <c r="V24" s="1">
        <f t="shared" si="3"/>
        <v>2.9209999999999998</v>
      </c>
      <c r="W24" s="1">
        <f t="shared" si="4"/>
        <v>15.756</v>
      </c>
      <c r="X24" s="1">
        <f t="shared" si="5"/>
        <v>28.591999999999999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2.9209999999999998</v>
      </c>
      <c r="F25" s="3">
        <f t="shared" si="9"/>
        <v>15.756</v>
      </c>
      <c r="G25" s="2">
        <f t="shared" si="9"/>
        <v>28.591999999999999</v>
      </c>
      <c r="K25" s="14" t="s">
        <v>96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64">
        <v>15.653739265132431</v>
      </c>
      <c r="T25" s="64">
        <v>2.5175689114209843</v>
      </c>
      <c r="U25" s="64">
        <v>28.789909618843879</v>
      </c>
      <c r="V25" s="1">
        <f t="shared" si="3"/>
        <v>2.5179999999999998</v>
      </c>
      <c r="W25" s="1">
        <f t="shared" si="4"/>
        <v>15.654</v>
      </c>
      <c r="X25" s="1">
        <f t="shared" si="5"/>
        <v>28.79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2.5179999999999998</v>
      </c>
      <c r="F26" s="3">
        <f t="shared" si="9"/>
        <v>15.654</v>
      </c>
      <c r="G26" s="2">
        <f t="shared" si="9"/>
        <v>28.79</v>
      </c>
      <c r="K26" s="14" t="s">
        <v>97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64">
        <v>16.145065982821443</v>
      </c>
      <c r="T26" s="64">
        <v>2.7148454694773441</v>
      </c>
      <c r="U26" s="64">
        <v>29.575286496165546</v>
      </c>
      <c r="V26" s="1">
        <f t="shared" si="3"/>
        <v>2.7149999999999999</v>
      </c>
      <c r="W26" s="1">
        <f t="shared" si="4"/>
        <v>16.145</v>
      </c>
      <c r="X26" s="1">
        <f t="shared" si="5"/>
        <v>29.574999999999999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2.7149999999999999</v>
      </c>
      <c r="F27" s="3">
        <f t="shared" si="9"/>
        <v>16.145</v>
      </c>
      <c r="G27" s="2">
        <f t="shared" si="9"/>
        <v>29.574999999999999</v>
      </c>
      <c r="K27" s="14" t="s">
        <v>98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64">
        <v>15.520611139670734</v>
      </c>
      <c r="T27" s="64">
        <v>1.8026420981141493</v>
      </c>
      <c r="U27" s="64">
        <v>29.23858018122732</v>
      </c>
      <c r="V27" s="1">
        <f t="shared" si="3"/>
        <v>1.8029999999999999</v>
      </c>
      <c r="W27" s="1">
        <f t="shared" si="4"/>
        <v>15.521000000000001</v>
      </c>
      <c r="X27" s="1">
        <f t="shared" si="5"/>
        <v>29.239000000000001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1.8029999999999999</v>
      </c>
      <c r="F28" s="3">
        <f t="shared" si="9"/>
        <v>15.521000000000001</v>
      </c>
      <c r="G28" s="2">
        <f t="shared" si="9"/>
        <v>29.239000000000001</v>
      </c>
      <c r="K28" s="14" t="s">
        <v>99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64">
        <v>16.94719074337176</v>
      </c>
      <c r="T28" s="64">
        <v>2.9473862351784943</v>
      </c>
      <c r="U28" s="64">
        <v>30.946995251565024</v>
      </c>
      <c r="V28" s="1">
        <f t="shared" si="3"/>
        <v>2.9470000000000001</v>
      </c>
      <c r="W28" s="1">
        <f t="shared" si="4"/>
        <v>16.946999999999999</v>
      </c>
      <c r="X28" s="1">
        <f t="shared" si="5"/>
        <v>30.946999999999999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2.9470000000000001</v>
      </c>
      <c r="F29" s="3">
        <f t="shared" si="9"/>
        <v>16.946999999999999</v>
      </c>
      <c r="G29" s="2">
        <f t="shared" si="9"/>
        <v>30.946999999999999</v>
      </c>
      <c r="K29" s="14" t="s">
        <v>100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64">
        <v>16.844647929776499</v>
      </c>
      <c r="T29" s="64">
        <v>2.5685708097666944</v>
      </c>
      <c r="U29" s="64">
        <v>31.120725049786305</v>
      </c>
      <c r="V29" s="1">
        <f t="shared" si="3"/>
        <v>2.569</v>
      </c>
      <c r="W29" s="1">
        <f t="shared" si="4"/>
        <v>16.844999999999999</v>
      </c>
      <c r="X29" s="1">
        <f t="shared" si="5"/>
        <v>31.120999999999999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2.569</v>
      </c>
      <c r="F30" s="3">
        <f t="shared" si="9"/>
        <v>16.844999999999999</v>
      </c>
      <c r="G30" s="2">
        <f t="shared" si="9"/>
        <v>31.120999999999999</v>
      </c>
      <c r="K30" s="14" t="s">
        <v>101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64">
        <v>17.335974662617449</v>
      </c>
      <c r="T30" s="64">
        <v>2.7888708402746416</v>
      </c>
      <c r="U30" s="64">
        <v>31.883078484960258</v>
      </c>
      <c r="V30" s="1">
        <f t="shared" si="3"/>
        <v>2.7890000000000001</v>
      </c>
      <c r="W30" s="1">
        <f t="shared" si="4"/>
        <v>17.335999999999999</v>
      </c>
      <c r="X30" s="1">
        <f t="shared" si="5"/>
        <v>31.882999999999999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2.7890000000000001</v>
      </c>
      <c r="F31" s="3">
        <f t="shared" si="9"/>
        <v>17.335999999999999</v>
      </c>
      <c r="G31" s="2">
        <f t="shared" si="9"/>
        <v>31.882999999999999</v>
      </c>
      <c r="K31" s="14" t="s">
        <v>102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64">
        <v>16.711519826787299</v>
      </c>
      <c r="T31" s="64">
        <v>1.8983472663356808</v>
      </c>
      <c r="U31" s="64">
        <v>31.524692387238915</v>
      </c>
      <c r="V31" s="1">
        <f t="shared" si="3"/>
        <v>1.8979999999999999</v>
      </c>
      <c r="W31" s="1">
        <f t="shared" si="4"/>
        <v>16.712</v>
      </c>
      <c r="X31" s="1">
        <f t="shared" si="5"/>
        <v>31.524999999999999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1.8979999999999999</v>
      </c>
      <c r="F32" s="3">
        <f t="shared" si="9"/>
        <v>16.712</v>
      </c>
      <c r="G32" s="2">
        <f t="shared" si="9"/>
        <v>31.524999999999999</v>
      </c>
      <c r="K32" s="14" t="s">
        <v>103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64">
        <v>18.138099434025207</v>
      </c>
      <c r="T32" s="64">
        <v>3.0635535703389456</v>
      </c>
      <c r="U32" s="64">
        <v>33.212645297711468</v>
      </c>
      <c r="V32" s="1">
        <f t="shared" si="3"/>
        <v>3.0640000000000001</v>
      </c>
      <c r="W32" s="1">
        <f t="shared" si="4"/>
        <v>18.138000000000002</v>
      </c>
      <c r="X32" s="1">
        <f t="shared" si="5"/>
        <v>33.213000000000001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3.0640000000000001</v>
      </c>
      <c r="F33" s="3">
        <f t="shared" si="9"/>
        <v>18.138000000000002</v>
      </c>
      <c r="G33" s="2">
        <f t="shared" si="9"/>
        <v>33.213000000000001</v>
      </c>
      <c r="K33" s="14" t="s">
        <v>107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64">
        <v>18.035556622138767</v>
      </c>
      <c r="T33" s="64">
        <v>2.7040927426366435</v>
      </c>
      <c r="U33" s="64">
        <v>33.367020501640894</v>
      </c>
      <c r="V33" s="1">
        <f t="shared" si="3"/>
        <v>2.7040000000000002</v>
      </c>
      <c r="W33" s="1">
        <f t="shared" si="4"/>
        <v>18.036000000000001</v>
      </c>
      <c r="X33" s="1">
        <f t="shared" si="5"/>
        <v>33.366999999999997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2.7040000000000002</v>
      </c>
      <c r="F34" s="3">
        <f t="shared" si="9"/>
        <v>18.036000000000001</v>
      </c>
      <c r="G34" s="2">
        <f t="shared" si="9"/>
        <v>33.366999999999997</v>
      </c>
      <c r="K34" s="14" t="s">
        <v>108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64">
        <v>18.526883355805325</v>
      </c>
      <c r="T34" s="64">
        <v>2.9427363986803097</v>
      </c>
      <c r="U34" s="64">
        <v>34.111030312930339</v>
      </c>
      <c r="V34" s="1">
        <f t="shared" si="3"/>
        <v>2.9430000000000001</v>
      </c>
      <c r="W34" s="1">
        <f t="shared" si="4"/>
        <v>18.527000000000001</v>
      </c>
      <c r="X34" s="1">
        <f t="shared" si="5"/>
        <v>34.110999999999997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2.9430000000000001</v>
      </c>
      <c r="F35" s="3">
        <f t="shared" si="9"/>
        <v>18.527000000000001</v>
      </c>
      <c r="G35" s="2">
        <f t="shared" si="9"/>
        <v>34.110999999999997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13.701593749999999</v>
      </c>
    </row>
    <row r="39" spans="1:24" x14ac:dyDescent="0.3">
      <c r="A39" s="35" t="s">
        <v>64</v>
      </c>
      <c r="B39" s="35"/>
      <c r="C39" s="35"/>
      <c r="D39" s="35"/>
      <c r="E39" s="35"/>
      <c r="F39" s="35"/>
      <c r="G39" s="35"/>
    </row>
    <row r="40" spans="1:24" ht="12.5" thickBot="1" x14ac:dyDescent="0.35"/>
    <row r="41" spans="1:24" ht="15.5" thickTop="1" thickBot="1" x14ac:dyDescent="0.4">
      <c r="A41" s="30" t="s">
        <v>60</v>
      </c>
      <c r="B41" s="31"/>
      <c r="C41" s="31"/>
      <c r="D41" s="31"/>
      <c r="E41" s="31"/>
      <c r="F41" s="31"/>
      <c r="G41" s="31"/>
      <c r="K41" s="30" t="s">
        <v>61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8.1340000000000003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7.6150000000000002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9.1329999999999991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8.3309999999999995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8.7279999999999998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7.6909999999999998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8.9830000000000005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7.7450000000000001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8.1639999999999997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6.7460000000000004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9.4220000000000006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7.8440000000000003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9.1690000000000005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7.444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9.5220000000000002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7.6609999999999996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8.7710000000000008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6.7830000000000004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10.077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7.9710000000000001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9.8620000000000001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7.6420000000000003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10.244999999999999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7.9180000000000001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9.5190000000000001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7.0890000000000004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10.846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8.3179999999999996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10.648999999999999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8.0269999999999992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11.048999999999999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8.3350000000000009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10.336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7.5339999999999998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11.676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8.7880000000000003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11.491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8.52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11.901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8.8480000000000008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11.198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8.0670000000000002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12.547000000000001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9.3379999999999992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12.37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9.0860000000000003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12.788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9.43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12.092000000000001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8.6620000000000008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13.446999999999999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9.9469999999999992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13.276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9.7070000000000007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13.699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10.063000000000001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13.009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9.3059999999999992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14.369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10.601000000000001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14.202999999999999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10.371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14.631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10.734999999999999</v>
      </c>
      <c r="Q75" s="6"/>
    </row>
    <row r="76" spans="1:17" ht="12.5" thickTop="1" x14ac:dyDescent="0.3"/>
  </sheetData>
  <mergeCells count="12">
    <mergeCell ref="B42:D42"/>
    <mergeCell ref="E42:G42"/>
    <mergeCell ref="A1:G1"/>
    <mergeCell ref="L1:Q1"/>
    <mergeCell ref="S1:X1"/>
    <mergeCell ref="B2:D2"/>
    <mergeCell ref="E2:G2"/>
    <mergeCell ref="A39:G39"/>
    <mergeCell ref="A41:G41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76"/>
  <sheetViews>
    <sheetView zoomScale="80" zoomScaleNormal="80" workbookViewId="0">
      <selection activeCell="K3" sqref="K3:K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4" t="s">
        <v>22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/>
      <c r="T3"/>
      <c r="U3"/>
      <c r="V3" s="1">
        <f t="shared" ref="V3:V34" si="3">ROUND(T3,3)</f>
        <v>0</v>
      </c>
      <c r="W3" s="1">
        <f t="shared" ref="W3:W34" si="4">ROUND(S3,3)</f>
        <v>0</v>
      </c>
      <c r="X3" s="1">
        <f t="shared" ref="X3:X34" si="5">ROUND(U3,3)</f>
        <v>0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0</v>
      </c>
      <c r="F4" s="3">
        <f>W3</f>
        <v>0</v>
      </c>
      <c r="G4" s="2">
        <f>X3</f>
        <v>0</v>
      </c>
      <c r="K4" s="14" t="s">
        <v>68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/>
      <c r="T4"/>
      <c r="U4"/>
      <c r="V4" s="1">
        <f t="shared" si="3"/>
        <v>0</v>
      </c>
      <c r="W4" s="1">
        <f t="shared" si="4"/>
        <v>0</v>
      </c>
      <c r="X4" s="1">
        <f t="shared" si="5"/>
        <v>0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0</v>
      </c>
      <c r="F5" s="3">
        <f t="shared" si="8"/>
        <v>0</v>
      </c>
      <c r="G5" s="2">
        <f t="shared" si="8"/>
        <v>0</v>
      </c>
      <c r="I5" s="1">
        <f>SUM(F5:F8)</f>
        <v>0</v>
      </c>
      <c r="K5" s="14" t="s">
        <v>69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/>
      <c r="T5"/>
      <c r="U5"/>
      <c r="V5" s="1">
        <f t="shared" si="3"/>
        <v>0</v>
      </c>
      <c r="W5" s="1">
        <f t="shared" si="4"/>
        <v>0</v>
      </c>
      <c r="X5" s="1">
        <f t="shared" si="5"/>
        <v>0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0</v>
      </c>
      <c r="F6" s="3">
        <f t="shared" si="8"/>
        <v>0</v>
      </c>
      <c r="G6" s="2">
        <f t="shared" si="8"/>
        <v>0</v>
      </c>
      <c r="I6" s="1">
        <f>SUM(F9:F12)</f>
        <v>0</v>
      </c>
      <c r="K6" s="14" t="s">
        <v>70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/>
      <c r="T6"/>
      <c r="U6"/>
      <c r="V6" s="1">
        <f t="shared" si="3"/>
        <v>0</v>
      </c>
      <c r="W6" s="1">
        <f t="shared" si="4"/>
        <v>0</v>
      </c>
      <c r="X6" s="1">
        <f t="shared" si="5"/>
        <v>0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0</v>
      </c>
      <c r="F7" s="3">
        <f t="shared" si="8"/>
        <v>0</v>
      </c>
      <c r="G7" s="2">
        <f t="shared" si="8"/>
        <v>0</v>
      </c>
      <c r="I7" s="1">
        <f>SUM(F13:F16)</f>
        <v>0</v>
      </c>
      <c r="K7" s="14" t="s">
        <v>71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/>
      <c r="T7"/>
      <c r="U7"/>
      <c r="V7" s="1">
        <f t="shared" si="3"/>
        <v>0</v>
      </c>
      <c r="W7" s="1">
        <f t="shared" si="4"/>
        <v>0</v>
      </c>
      <c r="X7" s="1">
        <f t="shared" si="5"/>
        <v>0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0</v>
      </c>
      <c r="F8" s="3">
        <f t="shared" si="8"/>
        <v>0</v>
      </c>
      <c r="G8" s="2">
        <f t="shared" si="8"/>
        <v>0</v>
      </c>
      <c r="I8" s="1">
        <f>SUM(F17:F20)</f>
        <v>0</v>
      </c>
      <c r="K8" s="14" t="s">
        <v>72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/>
      <c r="T8"/>
      <c r="U8"/>
      <c r="V8" s="1">
        <f t="shared" si="3"/>
        <v>0</v>
      </c>
      <c r="W8" s="1">
        <f t="shared" si="4"/>
        <v>0</v>
      </c>
      <c r="X8" s="1">
        <f t="shared" si="5"/>
        <v>0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0</v>
      </c>
      <c r="F9" s="3">
        <f t="shared" si="8"/>
        <v>0</v>
      </c>
      <c r="G9" s="2">
        <f t="shared" si="8"/>
        <v>0</v>
      </c>
      <c r="I9" s="1">
        <f>SUM(F21:F24)</f>
        <v>0</v>
      </c>
      <c r="K9" s="14" t="s">
        <v>73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/>
      <c r="T9"/>
      <c r="U9"/>
      <c r="V9" s="1">
        <f t="shared" si="3"/>
        <v>0</v>
      </c>
      <c r="W9" s="1">
        <f t="shared" si="4"/>
        <v>0</v>
      </c>
      <c r="X9" s="1">
        <f t="shared" si="5"/>
        <v>0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0</v>
      </c>
      <c r="F10" s="3">
        <f t="shared" si="8"/>
        <v>0</v>
      </c>
      <c r="G10" s="2">
        <f t="shared" si="8"/>
        <v>0</v>
      </c>
      <c r="I10" s="1">
        <f>SUM(F25:F28)</f>
        <v>0</v>
      </c>
      <c r="K10" s="14" t="s">
        <v>74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/>
      <c r="T10"/>
      <c r="U10"/>
      <c r="V10" s="1">
        <f t="shared" si="3"/>
        <v>0</v>
      </c>
      <c r="W10" s="1">
        <f t="shared" si="4"/>
        <v>0</v>
      </c>
      <c r="X10" s="1">
        <f t="shared" si="5"/>
        <v>0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0</v>
      </c>
      <c r="F11" s="3">
        <f t="shared" si="8"/>
        <v>0</v>
      </c>
      <c r="G11" s="2">
        <f t="shared" si="8"/>
        <v>0</v>
      </c>
      <c r="I11" s="1">
        <f>SUM(F29:F32)</f>
        <v>0</v>
      </c>
      <c r="K11" s="14" t="s">
        <v>75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/>
      <c r="T11"/>
      <c r="U11"/>
      <c r="V11" s="1">
        <f t="shared" si="3"/>
        <v>0</v>
      </c>
      <c r="W11" s="1">
        <f t="shared" si="4"/>
        <v>0</v>
      </c>
      <c r="X11" s="1">
        <f t="shared" si="5"/>
        <v>0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0</v>
      </c>
      <c r="F12" s="3">
        <f t="shared" si="8"/>
        <v>0</v>
      </c>
      <c r="G12" s="2">
        <f t="shared" si="8"/>
        <v>0</v>
      </c>
      <c r="K12" s="14" t="s">
        <v>76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/>
      <c r="T12"/>
      <c r="U12"/>
      <c r="V12" s="1">
        <f t="shared" si="3"/>
        <v>0</v>
      </c>
      <c r="W12" s="1">
        <f t="shared" si="4"/>
        <v>0</v>
      </c>
      <c r="X12" s="1">
        <f t="shared" si="5"/>
        <v>0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0</v>
      </c>
      <c r="F13" s="3">
        <f t="shared" si="8"/>
        <v>0</v>
      </c>
      <c r="G13" s="2">
        <f t="shared" si="8"/>
        <v>0</v>
      </c>
      <c r="K13" s="14" t="s">
        <v>77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/>
      <c r="T13"/>
      <c r="U13"/>
      <c r="V13" s="1">
        <f t="shared" si="3"/>
        <v>0</v>
      </c>
      <c r="W13" s="1">
        <f t="shared" si="4"/>
        <v>0</v>
      </c>
      <c r="X13" s="1">
        <f t="shared" si="5"/>
        <v>0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0</v>
      </c>
      <c r="F14" s="3">
        <f t="shared" si="8"/>
        <v>0</v>
      </c>
      <c r="G14" s="2">
        <f t="shared" si="8"/>
        <v>0</v>
      </c>
      <c r="K14" s="14" t="s">
        <v>82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/>
      <c r="T14"/>
      <c r="U14"/>
      <c r="V14" s="1">
        <f t="shared" si="3"/>
        <v>0</v>
      </c>
      <c r="W14" s="1">
        <f t="shared" si="4"/>
        <v>0</v>
      </c>
      <c r="X14" s="1">
        <f t="shared" si="5"/>
        <v>0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0</v>
      </c>
      <c r="F15" s="3">
        <f t="shared" si="8"/>
        <v>0</v>
      </c>
      <c r="G15" s="2">
        <f t="shared" si="8"/>
        <v>0</v>
      </c>
      <c r="K15" s="14" t="s">
        <v>79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/>
      <c r="T15"/>
      <c r="U15"/>
      <c r="V15" s="1">
        <f t="shared" si="3"/>
        <v>0</v>
      </c>
      <c r="W15" s="1">
        <f t="shared" si="4"/>
        <v>0</v>
      </c>
      <c r="X15" s="1">
        <f t="shared" si="5"/>
        <v>0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0</v>
      </c>
      <c r="F16" s="3">
        <f t="shared" si="8"/>
        <v>0</v>
      </c>
      <c r="G16" s="2">
        <f t="shared" si="8"/>
        <v>0</v>
      </c>
      <c r="K16" s="14" t="s">
        <v>80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/>
      <c r="T16"/>
      <c r="U16"/>
      <c r="V16" s="1">
        <f t="shared" si="3"/>
        <v>0</v>
      </c>
      <c r="W16" s="1">
        <f t="shared" si="4"/>
        <v>0</v>
      </c>
      <c r="X16" s="1">
        <f t="shared" si="5"/>
        <v>0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0</v>
      </c>
      <c r="F17" s="3">
        <f t="shared" si="8"/>
        <v>0</v>
      </c>
      <c r="G17" s="2">
        <f t="shared" si="8"/>
        <v>0</v>
      </c>
      <c r="K17" s="14" t="s">
        <v>81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/>
      <c r="T17"/>
      <c r="U17"/>
      <c r="V17" s="1">
        <f t="shared" si="3"/>
        <v>0</v>
      </c>
      <c r="W17" s="1">
        <f t="shared" si="4"/>
        <v>0</v>
      </c>
      <c r="X17" s="1">
        <f t="shared" si="5"/>
        <v>0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0</v>
      </c>
      <c r="F18" s="3">
        <f t="shared" si="8"/>
        <v>0</v>
      </c>
      <c r="G18" s="2">
        <f t="shared" si="8"/>
        <v>0</v>
      </c>
      <c r="K18" s="14" t="s">
        <v>78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/>
      <c r="T18"/>
      <c r="U18"/>
      <c r="V18" s="1">
        <f t="shared" si="3"/>
        <v>0</v>
      </c>
      <c r="W18" s="1">
        <f t="shared" si="4"/>
        <v>0</v>
      </c>
      <c r="X18" s="1">
        <f t="shared" si="5"/>
        <v>0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0</v>
      </c>
      <c r="F19" s="3">
        <f t="shared" si="8"/>
        <v>0</v>
      </c>
      <c r="G19" s="2">
        <f t="shared" si="8"/>
        <v>0</v>
      </c>
      <c r="K19" s="14" t="s">
        <v>90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/>
      <c r="T19"/>
      <c r="U19"/>
      <c r="V19" s="1">
        <f t="shared" si="3"/>
        <v>0</v>
      </c>
      <c r="W19" s="1">
        <f t="shared" si="4"/>
        <v>0</v>
      </c>
      <c r="X19" s="1">
        <f t="shared" si="5"/>
        <v>0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0</v>
      </c>
      <c r="F20" s="3">
        <f t="shared" si="8"/>
        <v>0</v>
      </c>
      <c r="G20" s="2">
        <f t="shared" si="8"/>
        <v>0</v>
      </c>
      <c r="K20" s="14" t="s">
        <v>91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/>
      <c r="T20"/>
      <c r="U20"/>
      <c r="V20" s="1">
        <f t="shared" si="3"/>
        <v>0</v>
      </c>
      <c r="W20" s="1">
        <f t="shared" si="4"/>
        <v>0</v>
      </c>
      <c r="X20" s="1">
        <f t="shared" si="5"/>
        <v>0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0</v>
      </c>
      <c r="F21" s="3">
        <f t="shared" si="9"/>
        <v>0</v>
      </c>
      <c r="G21" s="2">
        <f t="shared" si="9"/>
        <v>0</v>
      </c>
      <c r="K21" s="14" t="s">
        <v>92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/>
      <c r="T21"/>
      <c r="U21"/>
      <c r="V21" s="1">
        <f t="shared" si="3"/>
        <v>0</v>
      </c>
      <c r="W21" s="1">
        <f t="shared" si="4"/>
        <v>0</v>
      </c>
      <c r="X21" s="1">
        <f t="shared" si="5"/>
        <v>0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0</v>
      </c>
      <c r="F22" s="3">
        <f t="shared" si="9"/>
        <v>0</v>
      </c>
      <c r="G22" s="2">
        <f t="shared" si="9"/>
        <v>0</v>
      </c>
      <c r="K22" s="14" t="s">
        <v>93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/>
      <c r="T22"/>
      <c r="U22"/>
      <c r="V22" s="1">
        <f t="shared" si="3"/>
        <v>0</v>
      </c>
      <c r="W22" s="1">
        <f t="shared" si="4"/>
        <v>0</v>
      </c>
      <c r="X22" s="1">
        <f t="shared" si="5"/>
        <v>0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0</v>
      </c>
      <c r="F23" s="3">
        <f t="shared" si="9"/>
        <v>0</v>
      </c>
      <c r="G23" s="2">
        <f t="shared" si="9"/>
        <v>0</v>
      </c>
      <c r="K23" s="14" t="s">
        <v>94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/>
      <c r="T23"/>
      <c r="U23"/>
      <c r="V23" s="1">
        <f t="shared" si="3"/>
        <v>0</v>
      </c>
      <c r="W23" s="1">
        <f t="shared" si="4"/>
        <v>0</v>
      </c>
      <c r="X23" s="1">
        <f t="shared" si="5"/>
        <v>0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0</v>
      </c>
      <c r="F24" s="3">
        <f t="shared" si="9"/>
        <v>0</v>
      </c>
      <c r="G24" s="2">
        <f t="shared" si="9"/>
        <v>0</v>
      </c>
      <c r="K24" s="14" t="s">
        <v>95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/>
      <c r="T24"/>
      <c r="U24"/>
      <c r="V24" s="1">
        <f t="shared" si="3"/>
        <v>0</v>
      </c>
      <c r="W24" s="1">
        <f t="shared" si="4"/>
        <v>0</v>
      </c>
      <c r="X24" s="1">
        <f t="shared" si="5"/>
        <v>0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0</v>
      </c>
      <c r="F25" s="3">
        <f t="shared" si="9"/>
        <v>0</v>
      </c>
      <c r="G25" s="2">
        <f t="shared" si="9"/>
        <v>0</v>
      </c>
      <c r="K25" s="14" t="s">
        <v>96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/>
      <c r="T25"/>
      <c r="U25"/>
      <c r="V25" s="1">
        <f t="shared" si="3"/>
        <v>0</v>
      </c>
      <c r="W25" s="1">
        <f t="shared" si="4"/>
        <v>0</v>
      </c>
      <c r="X25" s="1">
        <f t="shared" si="5"/>
        <v>0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0</v>
      </c>
      <c r="F26" s="3">
        <f t="shared" si="9"/>
        <v>0</v>
      </c>
      <c r="G26" s="2">
        <f t="shared" si="9"/>
        <v>0</v>
      </c>
      <c r="K26" s="14" t="s">
        <v>97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/>
      <c r="T26"/>
      <c r="U26"/>
      <c r="V26" s="1">
        <f t="shared" si="3"/>
        <v>0</v>
      </c>
      <c r="W26" s="1">
        <f t="shared" si="4"/>
        <v>0</v>
      </c>
      <c r="X26" s="1">
        <f t="shared" si="5"/>
        <v>0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0</v>
      </c>
      <c r="F27" s="3">
        <f t="shared" si="9"/>
        <v>0</v>
      </c>
      <c r="G27" s="2">
        <f t="shared" si="9"/>
        <v>0</v>
      </c>
      <c r="K27" s="14" t="s">
        <v>98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/>
      <c r="T27"/>
      <c r="U27"/>
      <c r="V27" s="1">
        <f t="shared" si="3"/>
        <v>0</v>
      </c>
      <c r="W27" s="1">
        <f t="shared" si="4"/>
        <v>0</v>
      </c>
      <c r="X27" s="1">
        <f t="shared" si="5"/>
        <v>0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0</v>
      </c>
      <c r="F28" s="3">
        <f t="shared" si="9"/>
        <v>0</v>
      </c>
      <c r="G28" s="2">
        <f t="shared" si="9"/>
        <v>0</v>
      </c>
      <c r="K28" s="14" t="s">
        <v>99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/>
      <c r="T28"/>
      <c r="U28"/>
      <c r="V28" s="1">
        <f t="shared" si="3"/>
        <v>0</v>
      </c>
      <c r="W28" s="1">
        <f t="shared" si="4"/>
        <v>0</v>
      </c>
      <c r="X28" s="1">
        <f t="shared" si="5"/>
        <v>0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0</v>
      </c>
      <c r="F29" s="3">
        <f t="shared" si="9"/>
        <v>0</v>
      </c>
      <c r="G29" s="2">
        <f t="shared" si="9"/>
        <v>0</v>
      </c>
      <c r="K29" s="14" t="s">
        <v>100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/>
      <c r="T29"/>
      <c r="U29"/>
      <c r="V29" s="1">
        <f t="shared" si="3"/>
        <v>0</v>
      </c>
      <c r="W29" s="1">
        <f t="shared" si="4"/>
        <v>0</v>
      </c>
      <c r="X29" s="1">
        <f t="shared" si="5"/>
        <v>0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0</v>
      </c>
      <c r="F30" s="3">
        <f t="shared" si="9"/>
        <v>0</v>
      </c>
      <c r="G30" s="2">
        <f t="shared" si="9"/>
        <v>0</v>
      </c>
      <c r="K30" s="14" t="s">
        <v>101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/>
      <c r="T30"/>
      <c r="U30"/>
      <c r="V30" s="1">
        <f t="shared" si="3"/>
        <v>0</v>
      </c>
      <c r="W30" s="1">
        <f t="shared" si="4"/>
        <v>0</v>
      </c>
      <c r="X30" s="1">
        <f t="shared" si="5"/>
        <v>0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0</v>
      </c>
      <c r="F31" s="3">
        <f t="shared" si="9"/>
        <v>0</v>
      </c>
      <c r="G31" s="2">
        <f t="shared" si="9"/>
        <v>0</v>
      </c>
      <c r="K31" s="14" t="s">
        <v>102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/>
      <c r="T31"/>
      <c r="U31"/>
      <c r="V31" s="1">
        <f t="shared" si="3"/>
        <v>0</v>
      </c>
      <c r="W31" s="1">
        <f t="shared" si="4"/>
        <v>0</v>
      </c>
      <c r="X31" s="1">
        <f t="shared" si="5"/>
        <v>0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0</v>
      </c>
      <c r="F32" s="3">
        <f t="shared" si="9"/>
        <v>0</v>
      </c>
      <c r="G32" s="2">
        <f t="shared" si="9"/>
        <v>0</v>
      </c>
      <c r="K32" s="14" t="s">
        <v>103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/>
      <c r="T32"/>
      <c r="U32"/>
      <c r="V32" s="1">
        <f t="shared" si="3"/>
        <v>0</v>
      </c>
      <c r="W32" s="1">
        <f t="shared" si="4"/>
        <v>0</v>
      </c>
      <c r="X32" s="1">
        <f t="shared" si="5"/>
        <v>0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0</v>
      </c>
      <c r="F33" s="3">
        <f t="shared" si="9"/>
        <v>0</v>
      </c>
      <c r="G33" s="2">
        <f t="shared" si="9"/>
        <v>0</v>
      </c>
      <c r="K33" s="14" t="s">
        <v>107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/>
      <c r="T33"/>
      <c r="U33"/>
      <c r="V33" s="1">
        <f t="shared" si="3"/>
        <v>0</v>
      </c>
      <c r="W33" s="1">
        <f t="shared" si="4"/>
        <v>0</v>
      </c>
      <c r="X33" s="1">
        <f t="shared" si="5"/>
        <v>0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0</v>
      </c>
      <c r="F34" s="3">
        <f t="shared" si="9"/>
        <v>0</v>
      </c>
      <c r="G34" s="2">
        <f t="shared" si="9"/>
        <v>0</v>
      </c>
      <c r="K34" s="14" t="s">
        <v>108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/>
      <c r="T34"/>
      <c r="U34"/>
      <c r="V34" s="1">
        <f t="shared" si="3"/>
        <v>0</v>
      </c>
      <c r="W34" s="1">
        <f t="shared" si="4"/>
        <v>0</v>
      </c>
      <c r="X34" s="1">
        <f t="shared" si="5"/>
        <v>0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0</v>
      </c>
      <c r="F35" s="3">
        <f t="shared" si="9"/>
        <v>0</v>
      </c>
      <c r="G35" s="2">
        <f t="shared" si="9"/>
        <v>0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0</v>
      </c>
    </row>
    <row r="39" spans="1:24" x14ac:dyDescent="0.3">
      <c r="A39" s="35" t="s">
        <v>21</v>
      </c>
      <c r="B39" s="35"/>
      <c r="C39" s="35"/>
      <c r="D39" s="35"/>
      <c r="E39" s="35"/>
      <c r="F39" s="35"/>
      <c r="G39" s="35"/>
    </row>
    <row r="40" spans="1:24" ht="12.5" thickBot="1" x14ac:dyDescent="0.35"/>
    <row r="41" spans="1:24" ht="15.5" thickTop="1" thickBot="1" x14ac:dyDescent="0.4">
      <c r="A41" s="30" t="s">
        <v>62</v>
      </c>
      <c r="B41" s="31"/>
      <c r="C41" s="31"/>
      <c r="D41" s="31"/>
      <c r="E41" s="31"/>
      <c r="F41" s="31"/>
      <c r="G41" s="31"/>
      <c r="K41" s="30" t="s">
        <v>37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0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0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0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0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0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0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0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0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0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0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0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0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0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0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0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0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0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0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0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0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0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0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0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0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0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0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0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0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0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0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0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0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0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0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0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0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0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0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0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0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0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0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0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0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0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0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0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0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0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0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0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0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0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0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0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0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0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0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0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0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0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0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0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0</v>
      </c>
      <c r="Q75" s="6"/>
    </row>
    <row r="76" spans="1:17" ht="12.5" thickTop="1" x14ac:dyDescent="0.3"/>
  </sheetData>
  <mergeCells count="12">
    <mergeCell ref="S1:X1"/>
    <mergeCell ref="L1:Q1"/>
    <mergeCell ref="B42:D42"/>
    <mergeCell ref="E42:G42"/>
    <mergeCell ref="A39:G39"/>
    <mergeCell ref="A1:G1"/>
    <mergeCell ref="B2:D2"/>
    <mergeCell ref="E2:G2"/>
    <mergeCell ref="A41:G41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76"/>
  <sheetViews>
    <sheetView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54296875" style="1" customWidth="1"/>
    <col min="14" max="15" width="9.1796875" style="1"/>
    <col min="16" max="16" width="19.81640625" style="1" customWidth="1"/>
    <col min="17" max="16384" width="9.1796875" style="1"/>
  </cols>
  <sheetData>
    <row r="1" spans="1:30" ht="13" thickTop="1" thickBot="1" x14ac:dyDescent="0.35">
      <c r="A1" s="34" t="s">
        <v>17</v>
      </c>
      <c r="B1" s="34"/>
      <c r="C1" s="34"/>
      <c r="D1" s="34"/>
      <c r="E1" s="34"/>
      <c r="F1" s="34"/>
      <c r="G1" s="34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4"/>
      <c r="B2" s="34" t="s">
        <v>40</v>
      </c>
      <c r="C2" s="34"/>
      <c r="D2" s="34"/>
      <c r="E2" s="34" t="s">
        <v>2</v>
      </c>
      <c r="F2" s="34"/>
      <c r="G2" s="34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67">
        <v>1397.1076983591011</v>
      </c>
      <c r="T3" s="67">
        <v>1239.9073099266473</v>
      </c>
      <c r="U3" s="67">
        <v>1554.3080867915548</v>
      </c>
      <c r="V3" s="1">
        <f t="shared" ref="V3:V34" si="3">ROUND(T3,3)</f>
        <v>1239.9069999999999</v>
      </c>
      <c r="W3" s="1">
        <f t="shared" ref="W3:W34" si="4">ROUND(S3,3)</f>
        <v>1397.1079999999999</v>
      </c>
      <c r="X3" s="1">
        <f t="shared" ref="X3:X34" si="5">ROUND(U3,3)</f>
        <v>1554.308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1239.9069999999999</v>
      </c>
      <c r="F4" s="3">
        <f>W3</f>
        <v>1397.1079999999999</v>
      </c>
      <c r="G4" s="2">
        <f>X3</f>
        <v>1554.308</v>
      </c>
      <c r="K4" s="14" t="s">
        <v>68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67">
        <v>1417.9600524500308</v>
      </c>
      <c r="T4" s="67">
        <v>1225.3035602201994</v>
      </c>
      <c r="U4" s="67">
        <v>1610.6165446798623</v>
      </c>
      <c r="V4" s="1">
        <f t="shared" si="3"/>
        <v>1225.3040000000001</v>
      </c>
      <c r="W4" s="1">
        <f t="shared" si="4"/>
        <v>1417.96</v>
      </c>
      <c r="X4" s="1">
        <f t="shared" si="5"/>
        <v>1610.617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1225.3040000000001</v>
      </c>
      <c r="F5" s="3">
        <f t="shared" si="8"/>
        <v>1417.96</v>
      </c>
      <c r="G5" s="2">
        <f t="shared" si="8"/>
        <v>1610.617</v>
      </c>
      <c r="I5" s="1">
        <f>SUM(F5:F8)</f>
        <v>5678.143</v>
      </c>
      <c r="K5" s="14" t="s">
        <v>69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67">
        <v>1405.446626468909</v>
      </c>
      <c r="T5" s="67">
        <v>1179.8573217346309</v>
      </c>
      <c r="U5" s="67">
        <v>1631.0359312031871</v>
      </c>
      <c r="V5" s="1">
        <f t="shared" si="3"/>
        <v>1179.857</v>
      </c>
      <c r="W5" s="1">
        <f t="shared" si="4"/>
        <v>1405.4469999999999</v>
      </c>
      <c r="X5" s="1">
        <f t="shared" si="5"/>
        <v>1631.0360000000001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1179.857</v>
      </c>
      <c r="F6" s="3">
        <f t="shared" si="8"/>
        <v>1405.4469999999999</v>
      </c>
      <c r="G6" s="2">
        <f t="shared" si="8"/>
        <v>1631.0360000000001</v>
      </c>
      <c r="I6" s="1">
        <f>SUM(F9:F12)</f>
        <v>5926.6660000000002</v>
      </c>
      <c r="K6" s="14" t="s">
        <v>70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67">
        <v>1398.3689156631556</v>
      </c>
      <c r="T6" s="67">
        <v>1144.4367278800148</v>
      </c>
      <c r="U6" s="67">
        <v>1652.3011034462963</v>
      </c>
      <c r="V6" s="1">
        <f t="shared" si="3"/>
        <v>1144.4369999999999</v>
      </c>
      <c r="W6" s="1">
        <f t="shared" si="4"/>
        <v>1398.3689999999999</v>
      </c>
      <c r="X6" s="1">
        <f t="shared" si="5"/>
        <v>1652.3009999999999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1144.4369999999999</v>
      </c>
      <c r="F7" s="3">
        <f t="shared" si="8"/>
        <v>1398.3689999999999</v>
      </c>
      <c r="G7" s="2">
        <f t="shared" si="8"/>
        <v>1652.3009999999999</v>
      </c>
      <c r="I7" s="1">
        <f>SUM(F13:F16)</f>
        <v>6174.8690000000006</v>
      </c>
      <c r="K7" s="14" t="s">
        <v>71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67">
        <v>1456.3666337123022</v>
      </c>
      <c r="T7" s="67">
        <v>1176.9092747599525</v>
      </c>
      <c r="U7" s="67">
        <v>1735.823992664652</v>
      </c>
      <c r="V7" s="1">
        <f t="shared" si="3"/>
        <v>1176.9090000000001</v>
      </c>
      <c r="W7" s="1">
        <f t="shared" si="4"/>
        <v>1456.367</v>
      </c>
      <c r="X7" s="1">
        <f t="shared" si="5"/>
        <v>1735.8240000000001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1176.9090000000001</v>
      </c>
      <c r="F8" s="3">
        <f t="shared" si="8"/>
        <v>1456.367</v>
      </c>
      <c r="G8" s="2">
        <f t="shared" si="8"/>
        <v>1735.8240000000001</v>
      </c>
      <c r="I8" s="1">
        <f>SUM(F17:F20)</f>
        <v>6423.0689999999995</v>
      </c>
      <c r="K8" s="14" t="s">
        <v>72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67">
        <v>1480.3751620384969</v>
      </c>
      <c r="T8" s="67">
        <v>1177.5416114559061</v>
      </c>
      <c r="U8" s="67">
        <v>1783.2087126210877</v>
      </c>
      <c r="V8" s="1">
        <f t="shared" si="3"/>
        <v>1177.5419999999999</v>
      </c>
      <c r="W8" s="1">
        <f t="shared" si="4"/>
        <v>1480.375</v>
      </c>
      <c r="X8" s="1">
        <f t="shared" si="5"/>
        <v>1783.2090000000001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1177.5419999999999</v>
      </c>
      <c r="F9" s="3">
        <f t="shared" si="8"/>
        <v>1480.375</v>
      </c>
      <c r="G9" s="2">
        <f t="shared" si="8"/>
        <v>1783.2090000000001</v>
      </c>
      <c r="I9" s="1">
        <f>SUM(F21:F24)</f>
        <v>6671.2710000000006</v>
      </c>
      <c r="K9" s="14" t="s">
        <v>73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67">
        <v>1467.4493836340323</v>
      </c>
      <c r="T9" s="67">
        <v>1142.9184755917549</v>
      </c>
      <c r="U9" s="67">
        <v>1791.9802916763097</v>
      </c>
      <c r="V9" s="1">
        <f t="shared" si="3"/>
        <v>1142.9179999999999</v>
      </c>
      <c r="W9" s="1">
        <f t="shared" si="4"/>
        <v>1467.4490000000001</v>
      </c>
      <c r="X9" s="1">
        <f t="shared" si="5"/>
        <v>1791.98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1142.9179999999999</v>
      </c>
      <c r="F10" s="3">
        <f t="shared" si="8"/>
        <v>1467.4490000000001</v>
      </c>
      <c r="G10" s="2">
        <f t="shared" si="8"/>
        <v>1791.98</v>
      </c>
      <c r="I10" s="1">
        <f>SUM(F25:F28)</f>
        <v>6919.473</v>
      </c>
      <c r="K10" s="14" t="s">
        <v>74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67">
        <v>1460.4255464449939</v>
      </c>
      <c r="T10" s="67">
        <v>1115.5597638390907</v>
      </c>
      <c r="U10" s="67">
        <v>1805.291329050897</v>
      </c>
      <c r="V10" s="1">
        <f t="shared" si="3"/>
        <v>1115.56</v>
      </c>
      <c r="W10" s="1">
        <f t="shared" si="4"/>
        <v>1460.4259999999999</v>
      </c>
      <c r="X10" s="1">
        <f t="shared" si="5"/>
        <v>1805.2909999999999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1115.56</v>
      </c>
      <c r="F11" s="3">
        <f t="shared" si="8"/>
        <v>1460.4259999999999</v>
      </c>
      <c r="G11" s="2">
        <f t="shared" si="8"/>
        <v>1805.2909999999999</v>
      </c>
      <c r="I11" s="1">
        <f>SUM(F29:F32)</f>
        <v>7167.674</v>
      </c>
      <c r="K11" s="14" t="s">
        <v>75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67">
        <v>1518.4162259358257</v>
      </c>
      <c r="T11" s="67">
        <v>1154.3495937134062</v>
      </c>
      <c r="U11" s="67">
        <v>1882.4828581582451</v>
      </c>
      <c r="V11" s="1">
        <f t="shared" si="3"/>
        <v>1154.3499999999999</v>
      </c>
      <c r="W11" s="1">
        <f t="shared" si="4"/>
        <v>1518.4159999999999</v>
      </c>
      <c r="X11" s="1">
        <f t="shared" si="5"/>
        <v>1882.4829999999999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1154.3499999999999</v>
      </c>
      <c r="F12" s="3">
        <f t="shared" si="8"/>
        <v>1518.4159999999999</v>
      </c>
      <c r="G12" s="2">
        <f t="shared" si="8"/>
        <v>1882.4829999999999</v>
      </c>
      <c r="K12" s="14" t="s">
        <v>76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67">
        <v>1542.4256738457827</v>
      </c>
      <c r="T12" s="67">
        <v>1160.1213232617929</v>
      </c>
      <c r="U12" s="67">
        <v>1924.7300244297726</v>
      </c>
      <c r="V12" s="1">
        <f t="shared" si="3"/>
        <v>1160.1210000000001</v>
      </c>
      <c r="W12" s="1">
        <f t="shared" si="4"/>
        <v>1542.4259999999999</v>
      </c>
      <c r="X12" s="1">
        <f t="shared" si="5"/>
        <v>1924.73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1160.1210000000001</v>
      </c>
      <c r="F13" s="3">
        <f t="shared" si="8"/>
        <v>1542.4259999999999</v>
      </c>
      <c r="G13" s="2">
        <f t="shared" si="8"/>
        <v>1924.73</v>
      </c>
      <c r="K13" s="14" t="s">
        <v>77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67">
        <v>1529.4997752982069</v>
      </c>
      <c r="T13" s="67">
        <v>1129.7889793823208</v>
      </c>
      <c r="U13" s="67">
        <v>1929.2105712140931</v>
      </c>
      <c r="V13" s="1">
        <f t="shared" si="3"/>
        <v>1129.789</v>
      </c>
      <c r="W13" s="1">
        <f t="shared" si="4"/>
        <v>1529.5</v>
      </c>
      <c r="X13" s="1">
        <f t="shared" si="5"/>
        <v>1929.211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1129.789</v>
      </c>
      <c r="F14" s="3">
        <f t="shared" si="8"/>
        <v>1529.5</v>
      </c>
      <c r="G14" s="2">
        <f t="shared" si="8"/>
        <v>1929.211</v>
      </c>
      <c r="K14" s="14" t="s">
        <v>82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67">
        <v>1522.4759538057997</v>
      </c>
      <c r="T14" s="67">
        <v>1106.0857230696763</v>
      </c>
      <c r="U14" s="67">
        <v>1938.8661845419231</v>
      </c>
      <c r="V14" s="1">
        <f t="shared" si="3"/>
        <v>1106.086</v>
      </c>
      <c r="W14" s="1">
        <f t="shared" si="4"/>
        <v>1522.4760000000001</v>
      </c>
      <c r="X14" s="1">
        <f t="shared" si="5"/>
        <v>1938.866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1106.086</v>
      </c>
      <c r="F15" s="3">
        <f t="shared" si="8"/>
        <v>1522.4760000000001</v>
      </c>
      <c r="G15" s="2">
        <f t="shared" si="8"/>
        <v>1938.866</v>
      </c>
      <c r="K15" s="14" t="s">
        <v>79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67">
        <v>1580.4666312458753</v>
      </c>
      <c r="T15" s="67">
        <v>1148.039841910065</v>
      </c>
      <c r="U15" s="67">
        <v>2012.8934205816856</v>
      </c>
      <c r="V15" s="1">
        <f t="shared" si="3"/>
        <v>1148.04</v>
      </c>
      <c r="W15" s="1">
        <f t="shared" si="4"/>
        <v>1580.4670000000001</v>
      </c>
      <c r="X15" s="1">
        <f t="shared" si="5"/>
        <v>2012.893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1148.04</v>
      </c>
      <c r="F16" s="3">
        <f t="shared" si="8"/>
        <v>1580.4670000000001</v>
      </c>
      <c r="G16" s="2">
        <f t="shared" si="8"/>
        <v>2012.893</v>
      </c>
      <c r="K16" s="14" t="s">
        <v>80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67">
        <v>1604.4760794237625</v>
      </c>
      <c r="T16" s="67">
        <v>1156.5865483808859</v>
      </c>
      <c r="U16" s="67">
        <v>2052.3656104666393</v>
      </c>
      <c r="V16" s="1">
        <f t="shared" si="3"/>
        <v>1156.587</v>
      </c>
      <c r="W16" s="1">
        <f t="shared" si="4"/>
        <v>1604.4760000000001</v>
      </c>
      <c r="X16" s="1">
        <f t="shared" si="5"/>
        <v>2052.366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1156.587</v>
      </c>
      <c r="F17" s="3">
        <f t="shared" si="8"/>
        <v>1604.4760000000001</v>
      </c>
      <c r="G17" s="2">
        <f t="shared" si="8"/>
        <v>2052.366</v>
      </c>
      <c r="K17" s="14" t="s">
        <v>81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67">
        <v>1591.5501808411816</v>
      </c>
      <c r="T17" s="67">
        <v>1128.7142100044573</v>
      </c>
      <c r="U17" s="67">
        <v>2054.3861516779061</v>
      </c>
      <c r="V17" s="1">
        <f t="shared" si="3"/>
        <v>1128.7139999999999</v>
      </c>
      <c r="W17" s="1">
        <f t="shared" si="4"/>
        <v>1591.55</v>
      </c>
      <c r="X17" s="1">
        <f t="shared" si="5"/>
        <v>2054.386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1128.7139999999999</v>
      </c>
      <c r="F18" s="3">
        <f t="shared" si="8"/>
        <v>1591.55</v>
      </c>
      <c r="G18" s="2">
        <f t="shared" si="8"/>
        <v>2054.386</v>
      </c>
      <c r="K18" s="14" t="s">
        <v>78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67">
        <v>1584.5263593533477</v>
      </c>
      <c r="T18" s="67">
        <v>1107.2117463537729</v>
      </c>
      <c r="U18" s="67">
        <v>2061.8409723529226</v>
      </c>
      <c r="V18" s="1">
        <f t="shared" si="3"/>
        <v>1107.212</v>
      </c>
      <c r="W18" s="1">
        <f t="shared" si="4"/>
        <v>1584.5260000000001</v>
      </c>
      <c r="X18" s="1">
        <f t="shared" si="5"/>
        <v>2061.8409999999999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1107.212</v>
      </c>
      <c r="F19" s="3">
        <f t="shared" si="8"/>
        <v>1584.5260000000001</v>
      </c>
      <c r="G19" s="2">
        <f t="shared" si="8"/>
        <v>2061.8409999999999</v>
      </c>
      <c r="K19" s="14" t="s">
        <v>90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67">
        <v>1642.5170367928258</v>
      </c>
      <c r="T19" s="67">
        <v>1151.1502250671097</v>
      </c>
      <c r="U19" s="67">
        <v>2133.883848518542</v>
      </c>
      <c r="V19" s="1">
        <f t="shared" si="3"/>
        <v>1151.1500000000001</v>
      </c>
      <c r="W19" s="1">
        <f t="shared" si="4"/>
        <v>1642.5170000000001</v>
      </c>
      <c r="X19" s="1">
        <f t="shared" si="5"/>
        <v>2133.884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1151.1500000000001</v>
      </c>
      <c r="F20" s="3">
        <f t="shared" si="8"/>
        <v>1642.5170000000001</v>
      </c>
      <c r="G20" s="2">
        <f t="shared" si="8"/>
        <v>2133.884</v>
      </c>
      <c r="K20" s="14" t="s">
        <v>91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67">
        <v>1666.526484970791</v>
      </c>
      <c r="T20" s="67">
        <v>1161.498319867045</v>
      </c>
      <c r="U20" s="67">
        <v>2171.5546500745368</v>
      </c>
      <c r="V20" s="1">
        <f t="shared" si="3"/>
        <v>1161.498</v>
      </c>
      <c r="W20" s="1">
        <f t="shared" si="4"/>
        <v>1666.5260000000001</v>
      </c>
      <c r="X20" s="1">
        <f t="shared" si="5"/>
        <v>2171.5549999999998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1161.498</v>
      </c>
      <c r="F21" s="3">
        <f t="shared" si="9"/>
        <v>1666.5260000000001</v>
      </c>
      <c r="G21" s="2">
        <f t="shared" si="9"/>
        <v>2171.5549999999998</v>
      </c>
      <c r="K21" s="14" t="s">
        <v>92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67">
        <v>1653.6005863882001</v>
      </c>
      <c r="T21" s="67">
        <v>1135.2710083872746</v>
      </c>
      <c r="U21" s="67">
        <v>2171.9301643891258</v>
      </c>
      <c r="V21" s="1">
        <f t="shared" si="3"/>
        <v>1135.271</v>
      </c>
      <c r="W21" s="1">
        <f t="shared" si="4"/>
        <v>1653.6010000000001</v>
      </c>
      <c r="X21" s="1">
        <f t="shared" si="5"/>
        <v>2171.9299999999998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1135.271</v>
      </c>
      <c r="F22" s="3">
        <f t="shared" si="9"/>
        <v>1653.6010000000001</v>
      </c>
      <c r="G22" s="2">
        <f t="shared" si="9"/>
        <v>2171.9299999999998</v>
      </c>
      <c r="K22" s="14" t="s">
        <v>93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67">
        <v>1646.5767649003674</v>
      </c>
      <c r="T22" s="67">
        <v>1115.2786797229608</v>
      </c>
      <c r="U22" s="67">
        <v>2177.8748500777738</v>
      </c>
      <c r="V22" s="1">
        <f t="shared" si="3"/>
        <v>1115.279</v>
      </c>
      <c r="W22" s="1">
        <f t="shared" si="4"/>
        <v>1646.577</v>
      </c>
      <c r="X22" s="1">
        <f t="shared" si="5"/>
        <v>2177.875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1115.279</v>
      </c>
      <c r="F23" s="3">
        <f t="shared" si="9"/>
        <v>1646.577</v>
      </c>
      <c r="G23" s="2">
        <f t="shared" si="9"/>
        <v>2177.875</v>
      </c>
      <c r="K23" s="14" t="s">
        <v>94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67">
        <v>1704.5674423398455</v>
      </c>
      <c r="T23" s="67">
        <v>1160.6099447393985</v>
      </c>
      <c r="U23" s="67">
        <v>2248.5249399402924</v>
      </c>
      <c r="V23" s="1">
        <f t="shared" si="3"/>
        <v>1160.6099999999999</v>
      </c>
      <c r="W23" s="1">
        <f t="shared" si="4"/>
        <v>1704.567</v>
      </c>
      <c r="X23" s="1">
        <f t="shared" si="5"/>
        <v>2248.5250000000001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1160.6099999999999</v>
      </c>
      <c r="F24" s="3">
        <f t="shared" si="9"/>
        <v>1704.567</v>
      </c>
      <c r="G24" s="2">
        <f t="shared" si="9"/>
        <v>2248.5250000000001</v>
      </c>
      <c r="K24" s="14" t="s">
        <v>95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67">
        <v>1728.5768905178106</v>
      </c>
      <c r="T24" s="67">
        <v>1172.2479742476771</v>
      </c>
      <c r="U24" s="67">
        <v>2284.9058067879441</v>
      </c>
      <c r="V24" s="1">
        <f t="shared" si="3"/>
        <v>1172.248</v>
      </c>
      <c r="W24" s="1">
        <f t="shared" si="4"/>
        <v>1728.577</v>
      </c>
      <c r="X24" s="1">
        <f t="shared" si="5"/>
        <v>2284.9059999999999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1172.248</v>
      </c>
      <c r="F25" s="3">
        <f t="shared" si="9"/>
        <v>1728.577</v>
      </c>
      <c r="G25" s="2">
        <f t="shared" si="9"/>
        <v>2284.9059999999999</v>
      </c>
      <c r="K25" s="14" t="s">
        <v>96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67">
        <v>1715.6509919352197</v>
      </c>
      <c r="T25" s="67">
        <v>1147.2198466230873</v>
      </c>
      <c r="U25" s="67">
        <v>2284.0821372473524</v>
      </c>
      <c r="V25" s="1">
        <f t="shared" si="3"/>
        <v>1147.22</v>
      </c>
      <c r="W25" s="1">
        <f t="shared" si="4"/>
        <v>1715.6510000000001</v>
      </c>
      <c r="X25" s="1">
        <f t="shared" si="5"/>
        <v>2284.0819999999999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1147.22</v>
      </c>
      <c r="F26" s="3">
        <f t="shared" si="9"/>
        <v>1715.6510000000001</v>
      </c>
      <c r="G26" s="2">
        <f t="shared" si="9"/>
        <v>2284.0819999999999</v>
      </c>
      <c r="K26" s="14" t="s">
        <v>97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67">
        <v>1708.627170447387</v>
      </c>
      <c r="T26" s="67">
        <v>1128.346142975849</v>
      </c>
      <c r="U26" s="67">
        <v>2288.908197918925</v>
      </c>
      <c r="V26" s="1">
        <f t="shared" si="3"/>
        <v>1128.346</v>
      </c>
      <c r="W26" s="1">
        <f t="shared" si="4"/>
        <v>1708.627</v>
      </c>
      <c r="X26" s="1">
        <f t="shared" si="5"/>
        <v>2288.9079999999999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1128.346</v>
      </c>
      <c r="F27" s="3">
        <f t="shared" si="9"/>
        <v>1708.627</v>
      </c>
      <c r="G27" s="2">
        <f t="shared" si="9"/>
        <v>2288.9079999999999</v>
      </c>
      <c r="K27" s="14" t="s">
        <v>98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67">
        <v>1766.6178478868651</v>
      </c>
      <c r="T27" s="67">
        <v>1174.7241287733868</v>
      </c>
      <c r="U27" s="67">
        <v>2358.5115670003433</v>
      </c>
      <c r="V27" s="1">
        <f t="shared" si="3"/>
        <v>1174.7239999999999</v>
      </c>
      <c r="W27" s="1">
        <f t="shared" si="4"/>
        <v>1766.6179999999999</v>
      </c>
      <c r="X27" s="1">
        <f t="shared" si="5"/>
        <v>2358.5120000000002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1174.7239999999999</v>
      </c>
      <c r="F28" s="3">
        <f t="shared" si="9"/>
        <v>1766.6179999999999</v>
      </c>
      <c r="G28" s="2">
        <f t="shared" si="9"/>
        <v>2358.5120000000002</v>
      </c>
      <c r="K28" s="14" t="s">
        <v>99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67">
        <v>1790.6272960648303</v>
      </c>
      <c r="T28" s="67">
        <v>1187.3443785140794</v>
      </c>
      <c r="U28" s="67">
        <v>2393.9102136155811</v>
      </c>
      <c r="V28" s="1">
        <f t="shared" si="3"/>
        <v>1187.3440000000001</v>
      </c>
      <c r="W28" s="1">
        <f t="shared" si="4"/>
        <v>1790.627</v>
      </c>
      <c r="X28" s="1">
        <f t="shared" si="5"/>
        <v>2393.91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1187.3440000000001</v>
      </c>
      <c r="F29" s="3">
        <f t="shared" si="9"/>
        <v>1790.627</v>
      </c>
      <c r="G29" s="2">
        <f t="shared" si="9"/>
        <v>2393.91</v>
      </c>
      <c r="K29" s="14" t="s">
        <v>100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67">
        <v>1777.7013974822394</v>
      </c>
      <c r="T29" s="67">
        <v>1163.2403470558454</v>
      </c>
      <c r="U29" s="67">
        <v>2392.1624479086336</v>
      </c>
      <c r="V29" s="1">
        <f t="shared" si="3"/>
        <v>1163.24</v>
      </c>
      <c r="W29" s="1">
        <f t="shared" si="4"/>
        <v>1777.701</v>
      </c>
      <c r="X29" s="1">
        <f t="shared" si="5"/>
        <v>2392.1619999999998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1163.24</v>
      </c>
      <c r="F30" s="3">
        <f t="shared" si="9"/>
        <v>1777.701</v>
      </c>
      <c r="G30" s="2">
        <f t="shared" si="9"/>
        <v>2392.1619999999998</v>
      </c>
      <c r="K30" s="14" t="s">
        <v>101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67">
        <v>1770.6775759944067</v>
      </c>
      <c r="T30" s="67">
        <v>1145.2381413776977</v>
      </c>
      <c r="U30" s="67">
        <v>2396.1170106111153</v>
      </c>
      <c r="V30" s="1">
        <f t="shared" si="3"/>
        <v>1145.2380000000001</v>
      </c>
      <c r="W30" s="1">
        <f t="shared" si="4"/>
        <v>1770.6780000000001</v>
      </c>
      <c r="X30" s="1">
        <f t="shared" si="5"/>
        <v>2396.1170000000002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1145.2380000000001</v>
      </c>
      <c r="F31" s="3">
        <f t="shared" si="9"/>
        <v>1770.6780000000001</v>
      </c>
      <c r="G31" s="2">
        <f t="shared" si="9"/>
        <v>2396.1170000000002</v>
      </c>
      <c r="K31" s="14" t="s">
        <v>102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67">
        <v>1828.6682534338847</v>
      </c>
      <c r="T31" s="67">
        <v>1192.4398429897819</v>
      </c>
      <c r="U31" s="67">
        <v>2464.8966638779875</v>
      </c>
      <c r="V31" s="1">
        <f t="shared" si="3"/>
        <v>1192.44</v>
      </c>
      <c r="W31" s="1">
        <f t="shared" si="4"/>
        <v>1828.6679999999999</v>
      </c>
      <c r="X31" s="1">
        <f t="shared" si="5"/>
        <v>2464.8969999999999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1192.44</v>
      </c>
      <c r="F32" s="3">
        <f t="shared" si="9"/>
        <v>1828.6679999999999</v>
      </c>
      <c r="G32" s="2">
        <f t="shared" si="9"/>
        <v>2464.8969999999999</v>
      </c>
      <c r="K32" s="14" t="s">
        <v>103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67">
        <v>1852.6777016118499</v>
      </c>
      <c r="T32" s="67">
        <v>1205.8402458791202</v>
      </c>
      <c r="U32" s="67">
        <v>2499.5151573445796</v>
      </c>
      <c r="V32" s="1">
        <f t="shared" si="3"/>
        <v>1205.8399999999999</v>
      </c>
      <c r="W32" s="1">
        <f t="shared" si="4"/>
        <v>1852.6780000000001</v>
      </c>
      <c r="X32" s="1">
        <f t="shared" si="5"/>
        <v>2499.5149999999999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1205.8399999999999</v>
      </c>
      <c r="F33" s="3">
        <f t="shared" si="9"/>
        <v>1852.6780000000001</v>
      </c>
      <c r="G33" s="2">
        <f t="shared" si="9"/>
        <v>2499.5149999999999</v>
      </c>
      <c r="K33" s="14" t="s">
        <v>107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67">
        <v>1839.751803029259</v>
      </c>
      <c r="T33" s="67">
        <v>1182.4765197412348</v>
      </c>
      <c r="U33" s="67">
        <v>2497.0270863172832</v>
      </c>
      <c r="V33" s="1">
        <f t="shared" si="3"/>
        <v>1182.4770000000001</v>
      </c>
      <c r="W33" s="1">
        <f t="shared" si="4"/>
        <v>1839.752</v>
      </c>
      <c r="X33" s="1">
        <f t="shared" si="5"/>
        <v>2497.027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1182.4770000000001</v>
      </c>
      <c r="F34" s="3">
        <f t="shared" si="9"/>
        <v>1839.752</v>
      </c>
      <c r="G34" s="2">
        <f t="shared" si="9"/>
        <v>2497.027</v>
      </c>
      <c r="K34" s="14" t="s">
        <v>108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67">
        <v>1832.7279815414263</v>
      </c>
      <c r="T34" s="67">
        <v>1165.1780568886602</v>
      </c>
      <c r="U34" s="67">
        <v>2500.2779061941919</v>
      </c>
      <c r="V34" s="1">
        <f t="shared" si="3"/>
        <v>1165.1780000000001</v>
      </c>
      <c r="W34" s="1">
        <f t="shared" si="4"/>
        <v>1832.7280000000001</v>
      </c>
      <c r="X34" s="1">
        <f t="shared" si="5"/>
        <v>2500.2779999999998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1165.1780000000001</v>
      </c>
      <c r="F35" s="3">
        <f t="shared" si="9"/>
        <v>1832.7280000000001</v>
      </c>
      <c r="G35" s="2">
        <f t="shared" si="9"/>
        <v>2500.2779999999998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1621.3572187500001</v>
      </c>
    </row>
    <row r="40" spans="1:24" ht="12.5" thickBot="1" x14ac:dyDescent="0.35"/>
    <row r="41" spans="1:24" ht="15.5" thickTop="1" thickBot="1" x14ac:dyDescent="0.4">
      <c r="A41" s="30" t="s">
        <v>63</v>
      </c>
      <c r="B41" s="31"/>
      <c r="C41" s="31"/>
      <c r="D41" s="31"/>
      <c r="E41" s="31"/>
      <c r="F41" s="31"/>
      <c r="G41" s="31"/>
      <c r="K41" s="30" t="s">
        <v>38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1357.808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1318.508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1369.796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1321.6320000000001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1349.05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1292.653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1334.886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1271.403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1386.5029999999999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1316.6389999999999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1404.6669999999999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1328.9580000000001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1386.316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1305.184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1374.21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1287.9939999999999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1427.3989999999999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1336.383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1446.85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1351.2739999999999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1429.5719999999999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1329.645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1418.3789999999999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1314.2809999999999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1472.3610000000001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1364.2539999999999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1492.5039999999999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1380.5309999999999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1475.8409999999999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1360.1320000000001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1465.1969999999999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1345.8689999999999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1519.675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1396.8340000000001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1540.269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1414.0119999999999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1524.019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1394.4369999999999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1513.7529999999999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1380.9280000000001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1568.578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1432.588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1589.4949999999999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1450.413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1573.5429999999999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1431.4359999999999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1563.557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1418.4870000000001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1618.645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1470.671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1639.806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1488.9860000000001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1624.086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1470.471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1614.318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1457.9590000000001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1669.6110000000001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1510.5540000000001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1690.9690000000001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1529.26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1675.433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1511.115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1665.8409999999999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1498.953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76"/>
  <sheetViews>
    <sheetView topLeftCell="E1"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83</v>
      </c>
      <c r="B1" s="33"/>
      <c r="C1" s="33"/>
      <c r="D1" s="33"/>
      <c r="E1" s="33"/>
      <c r="F1" s="33"/>
      <c r="G1" s="33"/>
      <c r="L1" s="32" t="s">
        <v>1</v>
      </c>
      <c r="M1" s="32"/>
      <c r="N1" s="32"/>
      <c r="O1" s="32"/>
      <c r="P1" s="32"/>
      <c r="Q1" s="32"/>
      <c r="S1" s="32" t="s">
        <v>2</v>
      </c>
      <c r="T1" s="32"/>
      <c r="U1" s="32"/>
      <c r="V1" s="32"/>
      <c r="W1" s="32"/>
      <c r="X1" s="32"/>
    </row>
    <row r="2" spans="1:30" ht="15.5" thickTop="1" thickBot="1" x14ac:dyDescent="0.4">
      <c r="A2" s="2"/>
      <c r="B2" s="33" t="s">
        <v>40</v>
      </c>
      <c r="C2" s="33"/>
      <c r="D2" s="33"/>
      <c r="E2" s="33" t="s">
        <v>2</v>
      </c>
      <c r="F2" s="33"/>
      <c r="G2" s="33"/>
      <c r="L2" t="s">
        <v>41</v>
      </c>
      <c r="M2" t="s">
        <v>42</v>
      </c>
      <c r="N2" t="s">
        <v>43</v>
      </c>
      <c r="O2" t="s">
        <v>42</v>
      </c>
      <c r="P2" t="s">
        <v>41</v>
      </c>
      <c r="Q2" t="s">
        <v>43</v>
      </c>
      <c r="S2" t="s">
        <v>41</v>
      </c>
      <c r="T2" t="s">
        <v>42</v>
      </c>
      <c r="U2" t="s">
        <v>43</v>
      </c>
      <c r="V2" t="s">
        <v>42</v>
      </c>
      <c r="W2" t="s">
        <v>41</v>
      </c>
      <c r="X2" t="s">
        <v>43</v>
      </c>
    </row>
    <row r="3" spans="1:30" ht="15.5" thickTop="1" thickBot="1" x14ac:dyDescent="0.4">
      <c r="A3" s="23" t="s">
        <v>0</v>
      </c>
      <c r="B3" s="23" t="s">
        <v>19</v>
      </c>
      <c r="C3" s="24" t="s">
        <v>104</v>
      </c>
      <c r="D3" s="23" t="s">
        <v>20</v>
      </c>
      <c r="E3" s="23" t="s">
        <v>19</v>
      </c>
      <c r="F3" s="24" t="s">
        <v>104</v>
      </c>
      <c r="G3" s="23" t="s">
        <v>20</v>
      </c>
      <c r="K3" s="14" t="s">
        <v>67</v>
      </c>
      <c r="L3" s="39">
        <v>4277.1716897674769</v>
      </c>
      <c r="M3" s="39">
        <v>4048.1238774399053</v>
      </c>
      <c r="N3" s="39">
        <v>4506.2195020950485</v>
      </c>
      <c r="O3" s="1">
        <f t="shared" ref="O3:O34" si="0">ROUND(M3,3)</f>
        <v>4048.1239999999998</v>
      </c>
      <c r="P3" s="1">
        <f t="shared" ref="P3:P34" si="1">ROUND(L3,3)</f>
        <v>4277.1719999999996</v>
      </c>
      <c r="Q3" s="1">
        <f t="shared" ref="Q3:Q34" si="2">ROUND(N3,3)</f>
        <v>4506.22</v>
      </c>
      <c r="R3" s="14" t="str">
        <f t="shared" ref="R3:R34" si="3">K3</f>
        <v>2022Q1</v>
      </c>
      <c r="S3" s="52">
        <v>61786.749317413727</v>
      </c>
      <c r="T3" s="52">
        <v>55745.407153123058</v>
      </c>
      <c r="U3" s="52">
        <v>67828.091481704381</v>
      </c>
      <c r="V3" s="1">
        <f t="shared" ref="V3:V34" si="4">ROUND(T3,3)</f>
        <v>55745.406999999999</v>
      </c>
      <c r="W3" s="1">
        <f t="shared" ref="W3:W34" si="5">ROUND(S3,3)</f>
        <v>61786.749000000003</v>
      </c>
      <c r="X3" s="1">
        <f t="shared" ref="X3:X34" si="6">ROUND(U3,3)</f>
        <v>67828.091</v>
      </c>
    </row>
    <row r="4" spans="1:30" ht="15.5" thickTop="1" thickBot="1" x14ac:dyDescent="0.4">
      <c r="A4" s="5" t="str">
        <f>K3</f>
        <v>2022Q1</v>
      </c>
      <c r="B4" s="2">
        <f>O3</f>
        <v>4048.1239999999998</v>
      </c>
      <c r="C4" s="3">
        <f>P3</f>
        <v>4277.1719999999996</v>
      </c>
      <c r="D4" s="2">
        <f>Q3</f>
        <v>4506.22</v>
      </c>
      <c r="E4" s="2">
        <f>V3</f>
        <v>55745.406999999999</v>
      </c>
      <c r="F4" s="3">
        <f>W3</f>
        <v>61786.749000000003</v>
      </c>
      <c r="G4" s="2">
        <f>X3</f>
        <v>67828.091</v>
      </c>
      <c r="K4" s="14" t="s">
        <v>68</v>
      </c>
      <c r="L4" s="39">
        <v>4550.7890133117953</v>
      </c>
      <c r="M4" s="39">
        <v>4240.9797698534667</v>
      </c>
      <c r="N4" s="39">
        <v>4860.598256770124</v>
      </c>
      <c r="O4" s="1">
        <f t="shared" si="0"/>
        <v>4240.9799999999996</v>
      </c>
      <c r="P4" s="1">
        <f t="shared" si="1"/>
        <v>4550.7889999999998</v>
      </c>
      <c r="Q4" s="1">
        <f t="shared" si="2"/>
        <v>4860.598</v>
      </c>
      <c r="R4" s="14" t="str">
        <f t="shared" si="3"/>
        <v>2022Q2</v>
      </c>
      <c r="S4" s="52">
        <v>63082.169963866581</v>
      </c>
      <c r="T4" s="52">
        <v>53053.146590118464</v>
      </c>
      <c r="U4" s="52">
        <v>73111.193337614692</v>
      </c>
      <c r="V4" s="1">
        <f t="shared" si="4"/>
        <v>53053.146999999997</v>
      </c>
      <c r="W4" s="1">
        <f t="shared" si="5"/>
        <v>63082.17</v>
      </c>
      <c r="X4" s="1">
        <f t="shared" si="6"/>
        <v>73111.192999999999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4240.9799999999996</v>
      </c>
      <c r="C5" s="3">
        <f t="shared" si="8"/>
        <v>4550.7889999999998</v>
      </c>
      <c r="D5" s="2">
        <f t="shared" si="8"/>
        <v>4860.598</v>
      </c>
      <c r="E5" s="2">
        <f t="shared" ref="E5:G20" si="9">V4</f>
        <v>53053.146999999997</v>
      </c>
      <c r="F5" s="3">
        <f t="shared" si="9"/>
        <v>63082.17</v>
      </c>
      <c r="G5" s="2">
        <f t="shared" si="9"/>
        <v>73111.192999999999</v>
      </c>
      <c r="I5" s="1">
        <f>SUM(F5:F8)</f>
        <v>253645.77100000001</v>
      </c>
      <c r="K5" s="14" t="s">
        <v>69</v>
      </c>
      <c r="L5" s="39">
        <v>4515.3710779656803</v>
      </c>
      <c r="M5" s="39">
        <v>4149.0853214739864</v>
      </c>
      <c r="N5" s="39">
        <v>4881.6568344573743</v>
      </c>
      <c r="O5" s="1">
        <f t="shared" si="0"/>
        <v>4149.085</v>
      </c>
      <c r="P5" s="1">
        <f t="shared" si="1"/>
        <v>4515.3710000000001</v>
      </c>
      <c r="Q5" s="1">
        <f t="shared" si="2"/>
        <v>4881.6570000000002</v>
      </c>
      <c r="R5" s="14" t="str">
        <f t="shared" si="3"/>
        <v>2022Q3</v>
      </c>
      <c r="S5" s="52">
        <v>62899.263757586916</v>
      </c>
      <c r="T5" s="52">
        <v>50784.981014707781</v>
      </c>
      <c r="U5" s="52">
        <v>75013.546500466051</v>
      </c>
      <c r="V5" s="1">
        <f t="shared" si="4"/>
        <v>50784.981</v>
      </c>
      <c r="W5" s="1">
        <f t="shared" si="5"/>
        <v>62899.264000000003</v>
      </c>
      <c r="X5" s="1">
        <f t="shared" si="6"/>
        <v>75013.547000000006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4149.085</v>
      </c>
      <c r="C6" s="3">
        <f t="shared" si="8"/>
        <v>4515.3710000000001</v>
      </c>
      <c r="D6" s="2">
        <f t="shared" si="8"/>
        <v>4881.6570000000002</v>
      </c>
      <c r="E6" s="2">
        <f t="shared" si="9"/>
        <v>50784.981</v>
      </c>
      <c r="F6" s="3">
        <f t="shared" si="9"/>
        <v>62899.264000000003</v>
      </c>
      <c r="G6" s="2">
        <f t="shared" si="9"/>
        <v>75013.547000000006</v>
      </c>
      <c r="I6" s="1">
        <f>SUM(F9:F12)</f>
        <v>263051.45299999998</v>
      </c>
      <c r="K6" s="14" t="s">
        <v>70</v>
      </c>
      <c r="L6" s="39">
        <v>4517.986171082257</v>
      </c>
      <c r="M6" s="39">
        <v>4108.5139768758308</v>
      </c>
      <c r="N6" s="39">
        <v>4927.4583652886831</v>
      </c>
      <c r="O6" s="1">
        <f t="shared" si="0"/>
        <v>4108.5140000000001</v>
      </c>
      <c r="P6" s="1">
        <f t="shared" si="1"/>
        <v>4517.9859999999999</v>
      </c>
      <c r="Q6" s="1">
        <f t="shared" si="2"/>
        <v>4927.4579999999996</v>
      </c>
      <c r="R6" s="14" t="str">
        <f t="shared" si="3"/>
        <v>2022Q4</v>
      </c>
      <c r="S6" s="52">
        <v>63487.257758171952</v>
      </c>
      <c r="T6" s="52">
        <v>49217.758430707232</v>
      </c>
      <c r="U6" s="52">
        <v>77756.75708563668</v>
      </c>
      <c r="V6" s="1">
        <f t="shared" si="4"/>
        <v>49217.758000000002</v>
      </c>
      <c r="W6" s="1">
        <f t="shared" si="5"/>
        <v>63487.258000000002</v>
      </c>
      <c r="X6" s="1">
        <f t="shared" si="6"/>
        <v>77756.756999999998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4108.5140000000001</v>
      </c>
      <c r="C7" s="3">
        <f t="shared" si="8"/>
        <v>4517.9859999999999</v>
      </c>
      <c r="D7" s="2">
        <f t="shared" si="8"/>
        <v>4927.4579999999996</v>
      </c>
      <c r="E7" s="2">
        <f t="shared" si="9"/>
        <v>49217.758000000002</v>
      </c>
      <c r="F7" s="3">
        <f t="shared" si="9"/>
        <v>63487.258000000002</v>
      </c>
      <c r="G7" s="2">
        <f t="shared" si="9"/>
        <v>77756.756999999998</v>
      </c>
      <c r="I7" s="1">
        <f>SUM(F13:F16)</f>
        <v>272467.18300000002</v>
      </c>
      <c r="K7" s="14" t="s">
        <v>71</v>
      </c>
      <c r="L7" s="39">
        <v>4263.1347218814763</v>
      </c>
      <c r="M7" s="39">
        <v>3819.217664217902</v>
      </c>
      <c r="N7" s="39">
        <v>4707.0517795450505</v>
      </c>
      <c r="O7" s="1">
        <f t="shared" si="0"/>
        <v>3819.2179999999998</v>
      </c>
      <c r="P7" s="1">
        <f t="shared" si="1"/>
        <v>4263.1350000000002</v>
      </c>
      <c r="Q7" s="1">
        <f t="shared" si="2"/>
        <v>4707.0519999999997</v>
      </c>
      <c r="R7" s="14" t="str">
        <f t="shared" si="3"/>
        <v>2023Q1</v>
      </c>
      <c r="S7" s="52">
        <v>64177.07931097682</v>
      </c>
      <c r="T7" s="52">
        <v>48247.094704243194</v>
      </c>
      <c r="U7" s="52">
        <v>80107.063917710431</v>
      </c>
      <c r="V7" s="1">
        <f t="shared" si="4"/>
        <v>48247.095000000001</v>
      </c>
      <c r="W7" s="1">
        <f t="shared" si="5"/>
        <v>64177.078999999998</v>
      </c>
      <c r="X7" s="1">
        <f t="shared" si="6"/>
        <v>80107.063999999998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3819.2179999999998</v>
      </c>
      <c r="C8" s="3">
        <f t="shared" si="8"/>
        <v>4263.1350000000002</v>
      </c>
      <c r="D8" s="2">
        <f t="shared" si="8"/>
        <v>4707.0519999999997</v>
      </c>
      <c r="E8" s="2">
        <f t="shared" si="9"/>
        <v>48247.095000000001</v>
      </c>
      <c r="F8" s="3">
        <f t="shared" si="9"/>
        <v>64177.078999999998</v>
      </c>
      <c r="G8" s="2">
        <f t="shared" si="9"/>
        <v>80107.063999999998</v>
      </c>
      <c r="I8" s="1">
        <f>SUM(F17:F20)</f>
        <v>281884.36</v>
      </c>
      <c r="K8" s="14" t="s">
        <v>72</v>
      </c>
      <c r="L8" s="39">
        <v>4543.1866125499491</v>
      </c>
      <c r="M8" s="39">
        <v>4071.1130572721472</v>
      </c>
      <c r="N8" s="39">
        <v>5015.2601678277515</v>
      </c>
      <c r="O8" s="1">
        <f t="shared" si="0"/>
        <v>4071.1129999999998</v>
      </c>
      <c r="P8" s="1">
        <f t="shared" si="1"/>
        <v>4543.1869999999999</v>
      </c>
      <c r="Q8" s="1">
        <f t="shared" si="2"/>
        <v>5015.26</v>
      </c>
      <c r="R8" s="14" t="str">
        <f t="shared" si="3"/>
        <v>2023Q2</v>
      </c>
      <c r="S8" s="52">
        <v>65414.359596310169</v>
      </c>
      <c r="T8" s="52">
        <v>47864.461402329362</v>
      </c>
      <c r="U8" s="52">
        <v>82964.257790290969</v>
      </c>
      <c r="V8" s="1">
        <f t="shared" si="4"/>
        <v>47864.461000000003</v>
      </c>
      <c r="W8" s="1">
        <f t="shared" si="5"/>
        <v>65414.36</v>
      </c>
      <c r="X8" s="1">
        <f t="shared" si="6"/>
        <v>82964.258000000002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4071.1129999999998</v>
      </c>
      <c r="C9" s="3">
        <f t="shared" si="8"/>
        <v>4543.1869999999999</v>
      </c>
      <c r="D9" s="2">
        <f t="shared" si="8"/>
        <v>5015.26</v>
      </c>
      <c r="E9" s="2">
        <f t="shared" si="9"/>
        <v>47864.461000000003</v>
      </c>
      <c r="F9" s="3">
        <f t="shared" si="9"/>
        <v>65414.36</v>
      </c>
      <c r="G9" s="2">
        <f t="shared" si="9"/>
        <v>82964.258000000002</v>
      </c>
      <c r="I9" s="1">
        <f>SUM(F21:F24)</f>
        <v>291301.74599999998</v>
      </c>
      <c r="K9" s="14" t="s">
        <v>73</v>
      </c>
      <c r="L9" s="39">
        <v>4513.7959152607973</v>
      </c>
      <c r="M9" s="39">
        <v>4018.3339469696311</v>
      </c>
      <c r="N9" s="39">
        <v>5009.2578835519635</v>
      </c>
      <c r="O9" s="1">
        <f t="shared" si="0"/>
        <v>4018.3339999999998</v>
      </c>
      <c r="P9" s="1">
        <f t="shared" si="1"/>
        <v>4513.7960000000003</v>
      </c>
      <c r="Q9" s="1">
        <f t="shared" si="2"/>
        <v>5009.2579999999998</v>
      </c>
      <c r="R9" s="14" t="str">
        <f t="shared" si="3"/>
        <v>2023Q3</v>
      </c>
      <c r="S9" s="52">
        <v>65267.27630016581</v>
      </c>
      <c r="T9" s="52">
        <v>46301.642856511135</v>
      </c>
      <c r="U9" s="52">
        <v>84232.909743820477</v>
      </c>
      <c r="V9" s="1">
        <f t="shared" si="4"/>
        <v>46301.642999999996</v>
      </c>
      <c r="W9" s="1">
        <f t="shared" si="5"/>
        <v>65267.275999999998</v>
      </c>
      <c r="X9" s="1">
        <f t="shared" si="6"/>
        <v>84232.91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4018.3339999999998</v>
      </c>
      <c r="C10" s="3">
        <f t="shared" si="8"/>
        <v>4513.7960000000003</v>
      </c>
      <c r="D10" s="2">
        <f t="shared" si="8"/>
        <v>5009.2579999999998</v>
      </c>
      <c r="E10" s="2">
        <f t="shared" si="9"/>
        <v>46301.642999999996</v>
      </c>
      <c r="F10" s="3">
        <f t="shared" si="9"/>
        <v>65267.275999999998</v>
      </c>
      <c r="G10" s="2">
        <f t="shared" si="9"/>
        <v>84232.91</v>
      </c>
      <c r="I10" s="1">
        <f>SUM(F25:F28)</f>
        <v>300719.16200000001</v>
      </c>
      <c r="K10" s="14" t="s">
        <v>74</v>
      </c>
      <c r="L10" s="39">
        <v>4522.0567026244553</v>
      </c>
      <c r="M10" s="39">
        <v>4006.9476170351436</v>
      </c>
      <c r="N10" s="39">
        <v>5037.165788213767</v>
      </c>
      <c r="O10" s="1">
        <f t="shared" si="0"/>
        <v>4006.9479999999999</v>
      </c>
      <c r="P10" s="1">
        <f t="shared" si="1"/>
        <v>4522.0569999999998</v>
      </c>
      <c r="Q10" s="1">
        <f t="shared" si="2"/>
        <v>5037.1660000000002</v>
      </c>
      <c r="R10" s="14" t="str">
        <f t="shared" si="3"/>
        <v>2023Q4</v>
      </c>
      <c r="S10" s="52">
        <v>65833.198183105676</v>
      </c>
      <c r="T10" s="52">
        <v>45512.069297943766</v>
      </c>
      <c r="U10" s="52">
        <v>86154.327068267579</v>
      </c>
      <c r="V10" s="1">
        <f t="shared" si="4"/>
        <v>45512.069000000003</v>
      </c>
      <c r="W10" s="1">
        <f t="shared" si="5"/>
        <v>65833.198000000004</v>
      </c>
      <c r="X10" s="1">
        <f t="shared" si="6"/>
        <v>86154.327000000005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4006.9479999999999</v>
      </c>
      <c r="C11" s="3">
        <f t="shared" si="8"/>
        <v>4522.0569999999998</v>
      </c>
      <c r="D11" s="2">
        <f t="shared" si="8"/>
        <v>5037.1660000000002</v>
      </c>
      <c r="E11" s="2">
        <f t="shared" si="9"/>
        <v>45512.069000000003</v>
      </c>
      <c r="F11" s="3">
        <f t="shared" si="9"/>
        <v>65833.198000000004</v>
      </c>
      <c r="G11" s="2">
        <f t="shared" si="9"/>
        <v>86154.327000000005</v>
      </c>
      <c r="I11" s="1">
        <f>SUM(F29:F32)</f>
        <v>310136.58299999998</v>
      </c>
      <c r="K11" s="14" t="s">
        <v>75</v>
      </c>
      <c r="L11" s="39">
        <v>4272.4935568273731</v>
      </c>
      <c r="M11" s="39">
        <v>3740.7436210349997</v>
      </c>
      <c r="N11" s="39">
        <v>4804.2434926197466</v>
      </c>
      <c r="O11" s="1">
        <f t="shared" si="0"/>
        <v>3740.7440000000001</v>
      </c>
      <c r="P11" s="1">
        <f t="shared" si="1"/>
        <v>4272.4939999999997</v>
      </c>
      <c r="Q11" s="1">
        <f t="shared" si="2"/>
        <v>4804.2430000000004</v>
      </c>
      <c r="R11" s="14" t="str">
        <f t="shared" si="3"/>
        <v>2024Q1</v>
      </c>
      <c r="S11" s="52">
        <v>66536.619367417356</v>
      </c>
      <c r="T11" s="52">
        <v>44967.209984478039</v>
      </c>
      <c r="U11" s="52">
        <v>88106.02875035668</v>
      </c>
      <c r="V11" s="1">
        <f t="shared" si="4"/>
        <v>44967.21</v>
      </c>
      <c r="W11" s="1">
        <f t="shared" si="5"/>
        <v>66536.619000000006</v>
      </c>
      <c r="X11" s="1">
        <f t="shared" si="6"/>
        <v>88106.028999999995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3740.7440000000001</v>
      </c>
      <c r="C12" s="3">
        <f t="shared" si="8"/>
        <v>4272.4939999999997</v>
      </c>
      <c r="D12" s="2">
        <f t="shared" si="8"/>
        <v>4804.2430000000004</v>
      </c>
      <c r="E12" s="2">
        <f t="shared" si="9"/>
        <v>44967.21</v>
      </c>
      <c r="F12" s="3">
        <f t="shared" si="9"/>
        <v>66536.619000000006</v>
      </c>
      <c r="G12" s="2">
        <f t="shared" si="9"/>
        <v>88106.028999999995</v>
      </c>
      <c r="K12" s="14" t="s">
        <v>76</v>
      </c>
      <c r="L12" s="39">
        <v>4557.4989840611715</v>
      </c>
      <c r="M12" s="39">
        <v>4011.5659629584288</v>
      </c>
      <c r="N12" s="39">
        <v>5103.4320051639143</v>
      </c>
      <c r="O12" s="1">
        <f t="shared" si="0"/>
        <v>4011.5659999999998</v>
      </c>
      <c r="P12" s="1">
        <f t="shared" si="1"/>
        <v>4557.4989999999998</v>
      </c>
      <c r="Q12" s="1">
        <f t="shared" si="2"/>
        <v>5103.4319999999998</v>
      </c>
      <c r="R12" s="14" t="str">
        <f t="shared" si="3"/>
        <v>2024Q2</v>
      </c>
      <c r="S12" s="52">
        <v>67765.520303741476</v>
      </c>
      <c r="T12" s="52">
        <v>45003.222802886165</v>
      </c>
      <c r="U12" s="52">
        <v>90527.817804596794</v>
      </c>
      <c r="V12" s="1">
        <f t="shared" si="4"/>
        <v>45003.222999999998</v>
      </c>
      <c r="W12" s="1">
        <f t="shared" si="5"/>
        <v>67765.52</v>
      </c>
      <c r="X12" s="1">
        <f t="shared" si="6"/>
        <v>90527.817999999999</v>
      </c>
    </row>
    <row r="13" spans="1:30" ht="15.5" thickTop="1" thickBot="1" x14ac:dyDescent="0.4">
      <c r="A13" s="5" t="str">
        <f t="shared" si="7"/>
        <v>2024Q2</v>
      </c>
      <c r="B13" s="2">
        <f t="shared" si="8"/>
        <v>4011.5659999999998</v>
      </c>
      <c r="C13" s="3">
        <f t="shared" si="8"/>
        <v>4557.4989999999998</v>
      </c>
      <c r="D13" s="2">
        <f t="shared" si="8"/>
        <v>5103.4319999999998</v>
      </c>
      <c r="E13" s="2">
        <f t="shared" si="9"/>
        <v>45003.222999999998</v>
      </c>
      <c r="F13" s="3">
        <f t="shared" si="9"/>
        <v>67765.52</v>
      </c>
      <c r="G13" s="2">
        <f t="shared" si="9"/>
        <v>90527.817999999999</v>
      </c>
      <c r="K13" s="14" t="s">
        <v>77</v>
      </c>
      <c r="L13" s="39">
        <v>4532.7482483307394</v>
      </c>
      <c r="M13" s="39">
        <v>3974.667770380644</v>
      </c>
      <c r="N13" s="39">
        <v>5090.8287262808344</v>
      </c>
      <c r="O13" s="1">
        <f t="shared" si="0"/>
        <v>3974.6680000000001</v>
      </c>
      <c r="P13" s="1">
        <f t="shared" si="1"/>
        <v>4532.7479999999996</v>
      </c>
      <c r="Q13" s="1">
        <f t="shared" si="2"/>
        <v>5090.8289999999997</v>
      </c>
      <c r="R13" s="14" t="str">
        <f t="shared" si="3"/>
        <v>2024Q3</v>
      </c>
      <c r="S13" s="52">
        <v>67623.59990409053</v>
      </c>
      <c r="T13" s="52">
        <v>43735.526860395788</v>
      </c>
      <c r="U13" s="52">
        <v>91511.672947785279</v>
      </c>
      <c r="V13" s="1">
        <f t="shared" si="4"/>
        <v>43735.527000000002</v>
      </c>
      <c r="W13" s="1">
        <f t="shared" si="5"/>
        <v>67623.600000000006</v>
      </c>
      <c r="X13" s="1">
        <f t="shared" si="6"/>
        <v>91511.672999999995</v>
      </c>
    </row>
    <row r="14" spans="1:30" ht="15.5" thickTop="1" thickBot="1" x14ac:dyDescent="0.4">
      <c r="A14" s="5" t="str">
        <f t="shared" si="7"/>
        <v>2024Q3</v>
      </c>
      <c r="B14" s="2">
        <f t="shared" si="8"/>
        <v>3974.6680000000001</v>
      </c>
      <c r="C14" s="3">
        <f t="shared" si="8"/>
        <v>4532.7479999999996</v>
      </c>
      <c r="D14" s="2">
        <f t="shared" si="8"/>
        <v>5090.8289999999997</v>
      </c>
      <c r="E14" s="2">
        <f t="shared" si="9"/>
        <v>43735.527000000002</v>
      </c>
      <c r="F14" s="3">
        <f t="shared" si="9"/>
        <v>67623.600000000006</v>
      </c>
      <c r="G14" s="2">
        <f t="shared" si="9"/>
        <v>91511.672999999995</v>
      </c>
      <c r="K14" s="14" t="s">
        <v>82</v>
      </c>
      <c r="L14" s="39">
        <v>4545.3552725662721</v>
      </c>
      <c r="M14" s="39">
        <v>3976.8303360061786</v>
      </c>
      <c r="N14" s="39">
        <v>5113.880209126366</v>
      </c>
      <c r="O14" s="1">
        <f t="shared" si="0"/>
        <v>3976.83</v>
      </c>
      <c r="P14" s="1">
        <f t="shared" si="1"/>
        <v>4545.3549999999996</v>
      </c>
      <c r="Q14" s="1">
        <f t="shared" si="2"/>
        <v>5113.88</v>
      </c>
      <c r="R14" s="14" t="str">
        <f t="shared" si="3"/>
        <v>2024Q4</v>
      </c>
      <c r="S14" s="52">
        <v>68186.340692631275</v>
      </c>
      <c r="T14" s="52">
        <v>43218.710160267663</v>
      </c>
      <c r="U14" s="52">
        <v>93153.971224994879</v>
      </c>
      <c r="V14" s="1">
        <f t="shared" si="4"/>
        <v>43218.71</v>
      </c>
      <c r="W14" s="1">
        <f t="shared" si="5"/>
        <v>68186.341</v>
      </c>
      <c r="X14" s="1">
        <f t="shared" si="6"/>
        <v>93153.971000000005</v>
      </c>
    </row>
    <row r="15" spans="1:30" ht="15.5" thickTop="1" thickBot="1" x14ac:dyDescent="0.4">
      <c r="A15" s="5" t="str">
        <f t="shared" si="7"/>
        <v>2024Q4</v>
      </c>
      <c r="B15" s="2">
        <f t="shared" si="8"/>
        <v>3976.83</v>
      </c>
      <c r="C15" s="3">
        <f t="shared" si="8"/>
        <v>4545.3549999999996</v>
      </c>
      <c r="D15" s="2">
        <f t="shared" si="8"/>
        <v>5113.88</v>
      </c>
      <c r="E15" s="2">
        <f t="shared" si="9"/>
        <v>43218.71</v>
      </c>
      <c r="F15" s="3">
        <f t="shared" si="9"/>
        <v>68186.341</v>
      </c>
      <c r="G15" s="2">
        <f t="shared" si="9"/>
        <v>93153.971000000005</v>
      </c>
      <c r="K15" s="14" t="s">
        <v>79</v>
      </c>
      <c r="L15" s="39">
        <v>4299.8632326840543</v>
      </c>
      <c r="M15" s="39">
        <v>3722.3298668259085</v>
      </c>
      <c r="N15" s="39">
        <v>4877.3965985422001</v>
      </c>
      <c r="O15" s="1">
        <f t="shared" si="0"/>
        <v>3722.33</v>
      </c>
      <c r="P15" s="1">
        <f t="shared" si="1"/>
        <v>4299.8630000000003</v>
      </c>
      <c r="Q15" s="1">
        <f t="shared" si="2"/>
        <v>4877.3969999999999</v>
      </c>
      <c r="R15" s="14" t="str">
        <f t="shared" si="3"/>
        <v>2025Q1</v>
      </c>
      <c r="S15" s="52">
        <v>68891.72189329988</v>
      </c>
      <c r="T15" s="52">
        <v>42891.979319198879</v>
      </c>
      <c r="U15" s="52">
        <v>94891.464467400889</v>
      </c>
      <c r="V15" s="1">
        <f t="shared" si="4"/>
        <v>42891.978999999999</v>
      </c>
      <c r="W15" s="1">
        <f t="shared" si="5"/>
        <v>68891.721999999994</v>
      </c>
      <c r="X15" s="1">
        <f t="shared" si="6"/>
        <v>94891.464000000007</v>
      </c>
    </row>
    <row r="16" spans="1:30" ht="15.5" thickTop="1" thickBot="1" x14ac:dyDescent="0.4">
      <c r="A16" s="5" t="str">
        <f t="shared" si="7"/>
        <v>2025Q1</v>
      </c>
      <c r="B16" s="2">
        <f t="shared" si="8"/>
        <v>3722.33</v>
      </c>
      <c r="C16" s="3">
        <f t="shared" si="8"/>
        <v>4299.8630000000003</v>
      </c>
      <c r="D16" s="2">
        <f t="shared" si="8"/>
        <v>4877.3969999999999</v>
      </c>
      <c r="E16" s="2">
        <f t="shared" si="9"/>
        <v>42891.978999999999</v>
      </c>
      <c r="F16" s="3">
        <f t="shared" si="9"/>
        <v>68891.721999999994</v>
      </c>
      <c r="G16" s="2">
        <f t="shared" si="9"/>
        <v>94891.464000000007</v>
      </c>
      <c r="K16" s="14" t="s">
        <v>80</v>
      </c>
      <c r="L16" s="39">
        <v>4588.682051561851</v>
      </c>
      <c r="M16" s="39">
        <v>4003.3588614604278</v>
      </c>
      <c r="N16" s="39">
        <v>5174.0052416632752</v>
      </c>
      <c r="O16" s="1">
        <f t="shared" si="0"/>
        <v>4003.3589999999999</v>
      </c>
      <c r="P16" s="1">
        <f t="shared" si="1"/>
        <v>4588.6819999999998</v>
      </c>
      <c r="Q16" s="1">
        <f t="shared" si="2"/>
        <v>5174.0050000000001</v>
      </c>
      <c r="R16" s="14" t="str">
        <f t="shared" si="3"/>
        <v>2025Q2</v>
      </c>
      <c r="S16" s="52">
        <v>70119.415174761438</v>
      </c>
      <c r="T16" s="52">
        <v>43125.416420740636</v>
      </c>
      <c r="U16" s="52">
        <v>97113.413928782247</v>
      </c>
      <c r="V16" s="1">
        <f t="shared" si="4"/>
        <v>43125.415999999997</v>
      </c>
      <c r="W16" s="1">
        <f t="shared" si="5"/>
        <v>70119.414999999994</v>
      </c>
      <c r="X16" s="1">
        <f t="shared" si="6"/>
        <v>97113.414000000004</v>
      </c>
    </row>
    <row r="17" spans="1:24" ht="15.5" thickTop="1" thickBot="1" x14ac:dyDescent="0.4">
      <c r="A17" s="5" t="str">
        <f t="shared" si="7"/>
        <v>2025Q2</v>
      </c>
      <c r="B17" s="2">
        <f t="shared" si="8"/>
        <v>4003.3589999999999</v>
      </c>
      <c r="C17" s="3">
        <f t="shared" si="8"/>
        <v>4588.6819999999998</v>
      </c>
      <c r="D17" s="2">
        <f t="shared" si="8"/>
        <v>5174.0050000000001</v>
      </c>
      <c r="E17" s="2">
        <f t="shared" si="9"/>
        <v>43125.415999999997</v>
      </c>
      <c r="F17" s="3">
        <f t="shared" si="9"/>
        <v>70119.414999999994</v>
      </c>
      <c r="G17" s="2">
        <f t="shared" si="9"/>
        <v>97113.414000000004</v>
      </c>
      <c r="K17" s="14" t="s">
        <v>81</v>
      </c>
      <c r="L17" s="39">
        <v>4567.5033073577069</v>
      </c>
      <c r="M17" s="39">
        <v>3975.4297254222006</v>
      </c>
      <c r="N17" s="39">
        <v>5159.5768892932128</v>
      </c>
      <c r="O17" s="1">
        <f t="shared" si="0"/>
        <v>3975.43</v>
      </c>
      <c r="P17" s="1">
        <f t="shared" si="1"/>
        <v>4567.5029999999997</v>
      </c>
      <c r="Q17" s="1">
        <f t="shared" si="2"/>
        <v>5159.5770000000002</v>
      </c>
      <c r="R17" s="14" t="str">
        <f t="shared" si="3"/>
        <v>2025Q3</v>
      </c>
      <c r="S17" s="52">
        <v>69978.238865975829</v>
      </c>
      <c r="T17" s="52">
        <v>42026.266685950824</v>
      </c>
      <c r="U17" s="52">
        <v>97930.211046000841</v>
      </c>
      <c r="V17" s="1">
        <f t="shared" si="4"/>
        <v>42026.267</v>
      </c>
      <c r="W17" s="1">
        <f t="shared" si="5"/>
        <v>69978.239000000001</v>
      </c>
      <c r="X17" s="1">
        <f t="shared" si="6"/>
        <v>97930.210999999996</v>
      </c>
    </row>
    <row r="18" spans="1:24" ht="15.5" thickTop="1" thickBot="1" x14ac:dyDescent="0.4">
      <c r="A18" s="5" t="str">
        <f t="shared" si="7"/>
        <v>2025Q3</v>
      </c>
      <c r="B18" s="2">
        <f t="shared" si="8"/>
        <v>3975.43</v>
      </c>
      <c r="C18" s="3">
        <f t="shared" si="8"/>
        <v>4567.5029999999997</v>
      </c>
      <c r="D18" s="2">
        <f t="shared" si="8"/>
        <v>5159.5770000000002</v>
      </c>
      <c r="E18" s="2">
        <f t="shared" si="9"/>
        <v>42026.267</v>
      </c>
      <c r="F18" s="3">
        <f t="shared" si="9"/>
        <v>69978.239000000001</v>
      </c>
      <c r="G18" s="2">
        <f t="shared" si="9"/>
        <v>97930.210999999996</v>
      </c>
      <c r="K18" s="14" t="s">
        <v>78</v>
      </c>
      <c r="L18" s="39">
        <v>4583.4562044159175</v>
      </c>
      <c r="M18" s="39">
        <v>3985.5225868943153</v>
      </c>
      <c r="N18" s="39">
        <v>5181.3898219375196</v>
      </c>
      <c r="O18" s="1">
        <f t="shared" si="0"/>
        <v>3985.5230000000001</v>
      </c>
      <c r="P18" s="1">
        <f t="shared" si="1"/>
        <v>4583.4560000000001</v>
      </c>
      <c r="Q18" s="1">
        <f t="shared" si="2"/>
        <v>5181.3900000000003</v>
      </c>
      <c r="R18" s="14" t="str">
        <f t="shared" si="3"/>
        <v>2025Q4</v>
      </c>
      <c r="S18" s="52">
        <v>70540.521186428508</v>
      </c>
      <c r="T18" s="52">
        <v>41661.776072053523</v>
      </c>
      <c r="U18" s="52">
        <v>99419.266300803487</v>
      </c>
      <c r="V18" s="1">
        <f t="shared" si="4"/>
        <v>41661.775999999998</v>
      </c>
      <c r="W18" s="1">
        <f t="shared" si="5"/>
        <v>70540.520999999993</v>
      </c>
      <c r="X18" s="1">
        <f t="shared" si="6"/>
        <v>99419.266000000003</v>
      </c>
    </row>
    <row r="19" spans="1:24" ht="15.5" thickTop="1" thickBot="1" x14ac:dyDescent="0.4">
      <c r="A19" s="5" t="str">
        <f t="shared" si="7"/>
        <v>2025Q4</v>
      </c>
      <c r="B19" s="2">
        <f t="shared" si="8"/>
        <v>3985.5230000000001</v>
      </c>
      <c r="C19" s="3">
        <f t="shared" si="8"/>
        <v>4583.4560000000001</v>
      </c>
      <c r="D19" s="2">
        <f t="shared" si="8"/>
        <v>5181.3900000000003</v>
      </c>
      <c r="E19" s="2">
        <f t="shared" si="9"/>
        <v>41661.775999999998</v>
      </c>
      <c r="F19" s="3">
        <f t="shared" si="9"/>
        <v>70540.520999999993</v>
      </c>
      <c r="G19" s="2">
        <f t="shared" si="9"/>
        <v>99419.266000000003</v>
      </c>
      <c r="K19" s="14" t="s">
        <v>90</v>
      </c>
      <c r="L19" s="39">
        <v>4341.0982327035526</v>
      </c>
      <c r="M19" s="39">
        <v>3738.0699151509516</v>
      </c>
      <c r="N19" s="39">
        <v>4944.1265502561537</v>
      </c>
      <c r="O19" s="1">
        <f t="shared" si="0"/>
        <v>3738.07</v>
      </c>
      <c r="P19" s="1">
        <f t="shared" si="1"/>
        <v>4341.098</v>
      </c>
      <c r="Q19" s="1">
        <f t="shared" si="2"/>
        <v>4944.1270000000004</v>
      </c>
      <c r="R19" s="14" t="str">
        <f t="shared" si="3"/>
        <v>2026Q1</v>
      </c>
      <c r="S19" s="52">
        <v>71246.184870053912</v>
      </c>
      <c r="T19" s="52">
        <v>41469.83298620805</v>
      </c>
      <c r="U19" s="52">
        <v>101022.53675389978</v>
      </c>
      <c r="V19" s="1">
        <f t="shared" si="4"/>
        <v>41469.832999999999</v>
      </c>
      <c r="W19" s="1">
        <f t="shared" si="5"/>
        <v>71246.184999999998</v>
      </c>
      <c r="X19" s="1">
        <f t="shared" si="6"/>
        <v>101022.537</v>
      </c>
    </row>
    <row r="20" spans="1:24" ht="15.5" thickTop="1" thickBot="1" x14ac:dyDescent="0.4">
      <c r="A20" s="5" t="str">
        <f t="shared" si="7"/>
        <v>2026Q1</v>
      </c>
      <c r="B20" s="2">
        <f t="shared" si="8"/>
        <v>3738.07</v>
      </c>
      <c r="C20" s="3">
        <f t="shared" si="8"/>
        <v>4341.098</v>
      </c>
      <c r="D20" s="2">
        <f t="shared" si="8"/>
        <v>4944.1270000000004</v>
      </c>
      <c r="E20" s="2">
        <f t="shared" si="9"/>
        <v>41469.832999999999</v>
      </c>
      <c r="F20" s="3">
        <f t="shared" si="9"/>
        <v>71246.184999999998</v>
      </c>
      <c r="G20" s="2">
        <f t="shared" si="9"/>
        <v>101022.537</v>
      </c>
      <c r="K20" s="14" t="s">
        <v>91</v>
      </c>
      <c r="L20" s="39">
        <v>4632.8527230231066</v>
      </c>
      <c r="M20" s="39">
        <v>4025.3895025073812</v>
      </c>
      <c r="N20" s="39">
        <v>5240.3159435388325</v>
      </c>
      <c r="O20" s="1">
        <f t="shared" si="0"/>
        <v>4025.39</v>
      </c>
      <c r="P20" s="1">
        <f t="shared" si="1"/>
        <v>4632.8530000000001</v>
      </c>
      <c r="Q20" s="1">
        <f t="shared" si="2"/>
        <v>5240.3159999999998</v>
      </c>
      <c r="R20" s="14" t="str">
        <f t="shared" si="3"/>
        <v>2026Q2</v>
      </c>
      <c r="S20" s="52">
        <v>72473.704100969815</v>
      </c>
      <c r="T20" s="52">
        <v>41825.822599502761</v>
      </c>
      <c r="U20" s="52">
        <v>103121.58560243688</v>
      </c>
      <c r="V20" s="1">
        <f t="shared" si="4"/>
        <v>41825.822999999997</v>
      </c>
      <c r="W20" s="1">
        <f t="shared" si="5"/>
        <v>72473.703999999998</v>
      </c>
      <c r="X20" s="1">
        <f t="shared" si="6"/>
        <v>103121.586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4025.39</v>
      </c>
      <c r="C21" s="3">
        <f t="shared" si="10"/>
        <v>4632.8530000000001</v>
      </c>
      <c r="D21" s="2">
        <f t="shared" si="10"/>
        <v>5240.3159999999998</v>
      </c>
      <c r="E21" s="2">
        <f t="shared" ref="E21:G35" si="11">V20</f>
        <v>41825.822999999997</v>
      </c>
      <c r="F21" s="3">
        <f t="shared" si="11"/>
        <v>72473.703999999998</v>
      </c>
      <c r="G21" s="2">
        <f t="shared" si="11"/>
        <v>103121.586</v>
      </c>
      <c r="K21" s="14" t="s">
        <v>92</v>
      </c>
      <c r="L21" s="39">
        <v>4614.4238126920254</v>
      </c>
      <c r="M21" s="39">
        <v>4003.0959026225073</v>
      </c>
      <c r="N21" s="39">
        <v>5225.7517227615435</v>
      </c>
      <c r="O21" s="1">
        <f t="shared" si="0"/>
        <v>4003.096</v>
      </c>
      <c r="P21" s="1">
        <f t="shared" si="1"/>
        <v>4614.424</v>
      </c>
      <c r="Q21" s="1">
        <f t="shared" si="2"/>
        <v>5225.7520000000004</v>
      </c>
      <c r="R21" s="14" t="str">
        <f t="shared" si="3"/>
        <v>2026Q3</v>
      </c>
      <c r="S21" s="52">
        <v>72332.635032609542</v>
      </c>
      <c r="T21" s="52">
        <v>40837.451707124121</v>
      </c>
      <c r="U21" s="52">
        <v>103827.81835809497</v>
      </c>
      <c r="V21" s="1">
        <f t="shared" si="4"/>
        <v>40837.451999999997</v>
      </c>
      <c r="W21" s="1">
        <f t="shared" si="5"/>
        <v>72332.634999999995</v>
      </c>
      <c r="X21" s="1">
        <f t="shared" si="6"/>
        <v>103827.818</v>
      </c>
    </row>
    <row r="22" spans="1:24" ht="15.5" thickTop="1" thickBot="1" x14ac:dyDescent="0.4">
      <c r="A22" s="5" t="str">
        <f t="shared" si="7"/>
        <v>2026Q3</v>
      </c>
      <c r="B22" s="2">
        <f t="shared" si="10"/>
        <v>4003.096</v>
      </c>
      <c r="C22" s="3">
        <f t="shared" si="10"/>
        <v>4614.424</v>
      </c>
      <c r="D22" s="2">
        <f t="shared" si="10"/>
        <v>5225.7520000000004</v>
      </c>
      <c r="E22" s="2">
        <f t="shared" si="11"/>
        <v>40837.451999999997</v>
      </c>
      <c r="F22" s="3">
        <f t="shared" si="11"/>
        <v>72332.634999999995</v>
      </c>
      <c r="G22" s="2">
        <f t="shared" si="11"/>
        <v>103827.818</v>
      </c>
      <c r="K22" s="14" t="s">
        <v>93</v>
      </c>
      <c r="L22" s="39">
        <v>4632.9524701782893</v>
      </c>
      <c r="M22" s="39">
        <v>4018.2536901985022</v>
      </c>
      <c r="N22" s="39">
        <v>5247.6512501580764</v>
      </c>
      <c r="O22" s="1">
        <f t="shared" si="0"/>
        <v>4018.2539999999999</v>
      </c>
      <c r="P22" s="1">
        <f t="shared" si="1"/>
        <v>4632.9520000000002</v>
      </c>
      <c r="Q22" s="1">
        <f t="shared" si="2"/>
        <v>5247.6509999999998</v>
      </c>
      <c r="R22" s="14" t="str">
        <f t="shared" si="3"/>
        <v>2026Q4</v>
      </c>
      <c r="S22" s="52">
        <v>72894.851277378388</v>
      </c>
      <c r="T22" s="52">
        <v>40574.498970304056</v>
      </c>
      <c r="U22" s="52">
        <v>105215.20358445271</v>
      </c>
      <c r="V22" s="1">
        <f t="shared" si="4"/>
        <v>40574.499000000003</v>
      </c>
      <c r="W22" s="1">
        <f t="shared" si="5"/>
        <v>72894.850999999995</v>
      </c>
      <c r="X22" s="1">
        <f t="shared" si="6"/>
        <v>105215.204</v>
      </c>
    </row>
    <row r="23" spans="1:24" ht="15.5" thickTop="1" thickBot="1" x14ac:dyDescent="0.4">
      <c r="A23" s="5" t="str">
        <f t="shared" si="7"/>
        <v>2026Q4</v>
      </c>
      <c r="B23" s="2">
        <f t="shared" si="10"/>
        <v>4018.2539999999999</v>
      </c>
      <c r="C23" s="3">
        <f t="shared" si="10"/>
        <v>4632.9520000000002</v>
      </c>
      <c r="D23" s="2">
        <f t="shared" si="10"/>
        <v>5247.6509999999998</v>
      </c>
      <c r="E23" s="2">
        <f t="shared" si="11"/>
        <v>40574.499000000003</v>
      </c>
      <c r="F23" s="3">
        <f t="shared" si="11"/>
        <v>72894.850999999995</v>
      </c>
      <c r="G23" s="2">
        <f t="shared" si="11"/>
        <v>105215.204</v>
      </c>
      <c r="K23" s="14" t="s">
        <v>94</v>
      </c>
      <c r="L23" s="39">
        <v>4393.0072048652883</v>
      </c>
      <c r="M23" s="39">
        <v>3775.365972889932</v>
      </c>
      <c r="N23" s="39">
        <v>5010.6484368406454</v>
      </c>
      <c r="O23" s="1">
        <f t="shared" si="0"/>
        <v>3775.366</v>
      </c>
      <c r="P23" s="1">
        <f t="shared" si="1"/>
        <v>4393.0069999999996</v>
      </c>
      <c r="Q23" s="1">
        <f t="shared" si="2"/>
        <v>5010.6480000000001</v>
      </c>
      <c r="R23" s="14" t="str">
        <f t="shared" si="3"/>
        <v>2027Q1</v>
      </c>
      <c r="S23" s="52">
        <v>73600.55567322571</v>
      </c>
      <c r="T23" s="52">
        <v>40475.627033566976</v>
      </c>
      <c r="U23" s="52">
        <v>106725.48431288445</v>
      </c>
      <c r="V23" s="1">
        <f t="shared" si="4"/>
        <v>40475.627</v>
      </c>
      <c r="W23" s="1">
        <f t="shared" si="5"/>
        <v>73600.555999999997</v>
      </c>
      <c r="X23" s="1">
        <f t="shared" si="6"/>
        <v>106725.484</v>
      </c>
    </row>
    <row r="24" spans="1:24" ht="15.5" thickTop="1" thickBot="1" x14ac:dyDescent="0.4">
      <c r="A24" s="5" t="str">
        <f t="shared" si="7"/>
        <v>2027Q1</v>
      </c>
      <c r="B24" s="2">
        <f t="shared" si="10"/>
        <v>3775.366</v>
      </c>
      <c r="C24" s="3">
        <f t="shared" si="10"/>
        <v>4393.0069999999996</v>
      </c>
      <c r="D24" s="2">
        <f t="shared" si="10"/>
        <v>5010.6480000000001</v>
      </c>
      <c r="E24" s="2">
        <f t="shared" si="11"/>
        <v>40475.627</v>
      </c>
      <c r="F24" s="3">
        <f t="shared" si="11"/>
        <v>73600.555999999997</v>
      </c>
      <c r="G24" s="2">
        <f t="shared" si="11"/>
        <v>106725.484</v>
      </c>
      <c r="K24" s="14" t="s">
        <v>95</v>
      </c>
      <c r="L24" s="39">
        <v>4687.021669406874</v>
      </c>
      <c r="M24" s="39">
        <v>4066.8102251494597</v>
      </c>
      <c r="N24" s="39">
        <v>5307.2331136642888</v>
      </c>
      <c r="O24" s="1">
        <f t="shared" si="0"/>
        <v>4066.81</v>
      </c>
      <c r="P24" s="1">
        <f t="shared" si="1"/>
        <v>4687.0219999999999</v>
      </c>
      <c r="Q24" s="1">
        <f t="shared" si="2"/>
        <v>5307.2330000000002</v>
      </c>
      <c r="R24" s="14" t="str">
        <f t="shared" si="3"/>
        <v>2027Q2</v>
      </c>
      <c r="S24" s="52">
        <v>74828.049819497523</v>
      </c>
      <c r="T24" s="52">
        <v>40917.603143083208</v>
      </c>
      <c r="U24" s="52">
        <v>108738.49649591185</v>
      </c>
      <c r="V24" s="1">
        <f t="shared" si="4"/>
        <v>40917.603000000003</v>
      </c>
      <c r="W24" s="1">
        <f t="shared" si="5"/>
        <v>74828.05</v>
      </c>
      <c r="X24" s="1">
        <f t="shared" si="6"/>
        <v>108738.496</v>
      </c>
    </row>
    <row r="25" spans="1:24" ht="15.5" thickTop="1" thickBot="1" x14ac:dyDescent="0.4">
      <c r="A25" s="5" t="str">
        <f t="shared" si="7"/>
        <v>2027Q2</v>
      </c>
      <c r="B25" s="2">
        <f t="shared" si="10"/>
        <v>4066.81</v>
      </c>
      <c r="C25" s="3">
        <f t="shared" si="10"/>
        <v>4687.0219999999999</v>
      </c>
      <c r="D25" s="2">
        <f t="shared" si="10"/>
        <v>5307.2330000000002</v>
      </c>
      <c r="E25" s="2">
        <f t="shared" si="11"/>
        <v>40917.603000000003</v>
      </c>
      <c r="F25" s="3">
        <f t="shared" si="11"/>
        <v>74828.05</v>
      </c>
      <c r="G25" s="2">
        <f t="shared" si="11"/>
        <v>108738.496</v>
      </c>
      <c r="K25" s="14" t="s">
        <v>96</v>
      </c>
      <c r="L25" s="39">
        <v>4670.7096695650243</v>
      </c>
      <c r="M25" s="39">
        <v>4048.2518598101801</v>
      </c>
      <c r="N25" s="39">
        <v>5293.167479319869</v>
      </c>
      <c r="O25" s="1">
        <f t="shared" si="0"/>
        <v>4048.252</v>
      </c>
      <c r="P25" s="1">
        <f t="shared" si="1"/>
        <v>4670.71</v>
      </c>
      <c r="Q25" s="1">
        <f t="shared" si="2"/>
        <v>5293.1670000000004</v>
      </c>
      <c r="R25" s="14" t="str">
        <f t="shared" si="3"/>
        <v>2027Q3</v>
      </c>
      <c r="S25" s="52">
        <v>74686.996206922762</v>
      </c>
      <c r="T25" s="52">
        <v>40008.83595845494</v>
      </c>
      <c r="U25" s="52">
        <v>109365.15645539059</v>
      </c>
      <c r="V25" s="1">
        <f t="shared" si="4"/>
        <v>40008.836000000003</v>
      </c>
      <c r="W25" s="1">
        <f t="shared" si="5"/>
        <v>74686.995999999999</v>
      </c>
      <c r="X25" s="1">
        <f t="shared" si="6"/>
        <v>109365.156</v>
      </c>
    </row>
    <row r="26" spans="1:24" ht="15.5" thickTop="1" thickBot="1" x14ac:dyDescent="0.4">
      <c r="A26" s="5" t="str">
        <f t="shared" si="7"/>
        <v>2027Q3</v>
      </c>
      <c r="B26" s="2">
        <f t="shared" si="10"/>
        <v>4048.252</v>
      </c>
      <c r="C26" s="3">
        <f t="shared" si="10"/>
        <v>4670.71</v>
      </c>
      <c r="D26" s="2">
        <f t="shared" si="10"/>
        <v>5293.1670000000004</v>
      </c>
      <c r="E26" s="2">
        <f t="shared" si="11"/>
        <v>40008.836000000003</v>
      </c>
      <c r="F26" s="3">
        <f t="shared" si="11"/>
        <v>74686.995999999999</v>
      </c>
      <c r="G26" s="2">
        <f t="shared" si="11"/>
        <v>109365.156</v>
      </c>
      <c r="K26" s="14" t="s">
        <v>97</v>
      </c>
      <c r="L26" s="39">
        <v>4691.2212302082044</v>
      </c>
      <c r="M26" s="39">
        <v>4066.7991134787717</v>
      </c>
      <c r="N26" s="39">
        <v>5315.643346937637</v>
      </c>
      <c r="O26" s="1">
        <f t="shared" si="0"/>
        <v>4066.799</v>
      </c>
      <c r="P26" s="1">
        <f t="shared" si="1"/>
        <v>4691.2209999999995</v>
      </c>
      <c r="Q26" s="1">
        <f t="shared" si="2"/>
        <v>5315.643</v>
      </c>
      <c r="R26" s="14" t="str">
        <f t="shared" si="3"/>
        <v>2027Q4</v>
      </c>
      <c r="S26" s="52">
        <v>75249.202928682018</v>
      </c>
      <c r="T26" s="52">
        <v>39819.951236553454</v>
      </c>
      <c r="U26" s="52">
        <v>110678.45462081057</v>
      </c>
      <c r="V26" s="1">
        <f t="shared" si="4"/>
        <v>39819.951000000001</v>
      </c>
      <c r="W26" s="1">
        <f t="shared" si="5"/>
        <v>75249.202999999994</v>
      </c>
      <c r="X26" s="1">
        <f t="shared" si="6"/>
        <v>110678.455</v>
      </c>
    </row>
    <row r="27" spans="1:24" ht="15.5" thickTop="1" thickBot="1" x14ac:dyDescent="0.4">
      <c r="A27" s="5" t="str">
        <f t="shared" si="7"/>
        <v>2027Q4</v>
      </c>
      <c r="B27" s="2">
        <f t="shared" si="10"/>
        <v>4066.799</v>
      </c>
      <c r="C27" s="3">
        <f t="shared" si="10"/>
        <v>4691.2209999999995</v>
      </c>
      <c r="D27" s="2">
        <f t="shared" si="10"/>
        <v>5315.643</v>
      </c>
      <c r="E27" s="2">
        <f t="shared" si="11"/>
        <v>39819.951000000001</v>
      </c>
      <c r="F27" s="3">
        <f t="shared" si="11"/>
        <v>75249.202999999994</v>
      </c>
      <c r="G27" s="2">
        <f t="shared" si="11"/>
        <v>110678.455</v>
      </c>
      <c r="K27" s="14" t="s">
        <v>98</v>
      </c>
      <c r="L27" s="39">
        <v>4453.1333438206284</v>
      </c>
      <c r="M27" s="39">
        <v>3826.9928180080142</v>
      </c>
      <c r="N27" s="39">
        <v>5079.2738696332435</v>
      </c>
      <c r="O27" s="1">
        <f t="shared" si="0"/>
        <v>3826.9929999999999</v>
      </c>
      <c r="P27" s="1">
        <f t="shared" si="1"/>
        <v>4453.1329999999998</v>
      </c>
      <c r="Q27" s="1">
        <f t="shared" si="2"/>
        <v>5079.2740000000003</v>
      </c>
      <c r="R27" s="14" t="str">
        <f t="shared" si="3"/>
        <v>2028Q1</v>
      </c>
      <c r="S27" s="52">
        <v>75954.913192086926</v>
      </c>
      <c r="T27" s="52">
        <v>39790.171548411636</v>
      </c>
      <c r="U27" s="52">
        <v>112119.65483576222</v>
      </c>
      <c r="V27" s="1">
        <f t="shared" si="4"/>
        <v>39790.171999999999</v>
      </c>
      <c r="W27" s="1">
        <f t="shared" si="5"/>
        <v>75954.913</v>
      </c>
      <c r="X27" s="1">
        <f t="shared" si="6"/>
        <v>112119.655</v>
      </c>
    </row>
    <row r="28" spans="1:24" ht="15.5" thickTop="1" thickBot="1" x14ac:dyDescent="0.4">
      <c r="A28" s="5" t="str">
        <f t="shared" si="7"/>
        <v>2028Q1</v>
      </c>
      <c r="B28" s="2">
        <f t="shared" si="10"/>
        <v>3826.9929999999999</v>
      </c>
      <c r="C28" s="3">
        <f t="shared" si="10"/>
        <v>4453.1329999999998</v>
      </c>
      <c r="D28" s="2">
        <f t="shared" si="10"/>
        <v>5079.2740000000003</v>
      </c>
      <c r="E28" s="2">
        <f t="shared" si="11"/>
        <v>39790.171999999999</v>
      </c>
      <c r="F28" s="3">
        <f t="shared" si="11"/>
        <v>75954.913</v>
      </c>
      <c r="G28" s="2">
        <f t="shared" si="11"/>
        <v>112119.655</v>
      </c>
      <c r="K28" s="14" t="s">
        <v>99</v>
      </c>
      <c r="L28" s="39">
        <v>4748.8876091490456</v>
      </c>
      <c r="M28" s="39">
        <v>4121.2432247812185</v>
      </c>
      <c r="N28" s="39">
        <v>5376.5319935168727</v>
      </c>
      <c r="O28" s="1">
        <f t="shared" si="0"/>
        <v>4121.2430000000004</v>
      </c>
      <c r="P28" s="1">
        <f t="shared" si="1"/>
        <v>4748.8879999999999</v>
      </c>
      <c r="Q28" s="1">
        <f t="shared" si="2"/>
        <v>5376.5320000000002</v>
      </c>
      <c r="R28" s="14" t="str">
        <f t="shared" si="3"/>
        <v>2028Q2</v>
      </c>
      <c r="S28" s="52">
        <v>77182.403723090727</v>
      </c>
      <c r="T28" s="52">
        <v>40296.831255389683</v>
      </c>
      <c r="U28" s="52">
        <v>114067.97619079179</v>
      </c>
      <c r="V28" s="1">
        <f t="shared" si="4"/>
        <v>40296.830999999998</v>
      </c>
      <c r="W28" s="1">
        <f t="shared" si="5"/>
        <v>77182.403999999995</v>
      </c>
      <c r="X28" s="1">
        <f t="shared" si="6"/>
        <v>114067.976</v>
      </c>
    </row>
    <row r="29" spans="1:24" ht="15.5" thickTop="1" thickBot="1" x14ac:dyDescent="0.4">
      <c r="A29" s="5" t="str">
        <f t="shared" si="7"/>
        <v>2028Q2</v>
      </c>
      <c r="B29" s="2">
        <f t="shared" si="10"/>
        <v>4121.2430000000004</v>
      </c>
      <c r="C29" s="3">
        <f t="shared" si="10"/>
        <v>4748.8879999999999</v>
      </c>
      <c r="D29" s="2">
        <f t="shared" si="10"/>
        <v>5376.5320000000002</v>
      </c>
      <c r="E29" s="2">
        <f t="shared" si="11"/>
        <v>40296.830999999998</v>
      </c>
      <c r="F29" s="3">
        <f t="shared" si="11"/>
        <v>77182.403999999995</v>
      </c>
      <c r="G29" s="2">
        <f t="shared" si="11"/>
        <v>114067.976</v>
      </c>
      <c r="K29" s="14" t="s">
        <v>100</v>
      </c>
      <c r="L29" s="39">
        <v>4734.2052750347575</v>
      </c>
      <c r="M29" s="39">
        <v>4105.2443655074076</v>
      </c>
      <c r="N29" s="39">
        <v>5363.1661845621074</v>
      </c>
      <c r="O29" s="1">
        <f t="shared" si="0"/>
        <v>4105.2439999999997</v>
      </c>
      <c r="P29" s="1">
        <f t="shared" si="1"/>
        <v>4734.2049999999999</v>
      </c>
      <c r="Q29" s="1">
        <f t="shared" si="2"/>
        <v>5363.1660000000002</v>
      </c>
      <c r="R29" s="14" t="str">
        <f t="shared" si="3"/>
        <v>2028Q3</v>
      </c>
      <c r="S29" s="52">
        <v>77041.352338046359</v>
      </c>
      <c r="T29" s="52">
        <v>39448.770396840686</v>
      </c>
      <c r="U29" s="52">
        <v>114633.93427925203</v>
      </c>
      <c r="V29" s="1">
        <f t="shared" si="4"/>
        <v>39448.769999999997</v>
      </c>
      <c r="W29" s="1">
        <f t="shared" si="5"/>
        <v>77041.351999999999</v>
      </c>
      <c r="X29" s="1">
        <f t="shared" si="6"/>
        <v>114633.93399999999</v>
      </c>
    </row>
    <row r="30" spans="1:24" ht="15.5" thickTop="1" thickBot="1" x14ac:dyDescent="0.4">
      <c r="A30" s="5" t="str">
        <f t="shared" si="7"/>
        <v>2028Q3</v>
      </c>
      <c r="B30" s="2">
        <f t="shared" si="10"/>
        <v>4105.2439999999997</v>
      </c>
      <c r="C30" s="3">
        <f t="shared" si="10"/>
        <v>4734.2049999999999</v>
      </c>
      <c r="D30" s="2">
        <f t="shared" si="10"/>
        <v>5363.1660000000002</v>
      </c>
      <c r="E30" s="2">
        <f t="shared" si="11"/>
        <v>39448.769999999997</v>
      </c>
      <c r="F30" s="3">
        <f t="shared" si="11"/>
        <v>77041.351999999999</v>
      </c>
      <c r="G30" s="2">
        <f t="shared" si="11"/>
        <v>114633.93399999999</v>
      </c>
      <c r="K30" s="14" t="s">
        <v>101</v>
      </c>
      <c r="L30" s="39">
        <v>4756.243338254375</v>
      </c>
      <c r="M30" s="39">
        <v>4126.1295740158921</v>
      </c>
      <c r="N30" s="39">
        <v>5386.3571024928588</v>
      </c>
      <c r="O30" s="1">
        <f t="shared" si="0"/>
        <v>4126.13</v>
      </c>
      <c r="P30" s="1">
        <f t="shared" si="1"/>
        <v>4756.2430000000004</v>
      </c>
      <c r="Q30" s="1">
        <f t="shared" si="2"/>
        <v>5386.357</v>
      </c>
      <c r="R30" s="14" t="str">
        <f t="shared" si="3"/>
        <v>2028Q4</v>
      </c>
      <c r="S30" s="52">
        <v>77603.557687323249</v>
      </c>
      <c r="T30" s="52">
        <v>39317.018607492275</v>
      </c>
      <c r="U30" s="52">
        <v>115890.09676715422</v>
      </c>
      <c r="V30" s="1">
        <f t="shared" si="4"/>
        <v>39317.019</v>
      </c>
      <c r="W30" s="1">
        <f t="shared" si="5"/>
        <v>77603.558000000005</v>
      </c>
      <c r="X30" s="1">
        <f t="shared" si="6"/>
        <v>115890.09699999999</v>
      </c>
    </row>
    <row r="31" spans="1:24" ht="15.5" thickTop="1" thickBot="1" x14ac:dyDescent="0.4">
      <c r="A31" s="5" t="str">
        <f t="shared" si="7"/>
        <v>2028Q4</v>
      </c>
      <c r="B31" s="2">
        <f t="shared" si="10"/>
        <v>4126.13</v>
      </c>
      <c r="C31" s="3">
        <f t="shared" si="10"/>
        <v>4756.2430000000004</v>
      </c>
      <c r="D31" s="2">
        <f t="shared" si="10"/>
        <v>5386.357</v>
      </c>
      <c r="E31" s="2">
        <f t="shared" si="11"/>
        <v>39317.019</v>
      </c>
      <c r="F31" s="3">
        <f t="shared" si="11"/>
        <v>77603.558000000005</v>
      </c>
      <c r="G31" s="2">
        <f t="shared" si="11"/>
        <v>115890.09699999999</v>
      </c>
      <c r="K31" s="14" t="s">
        <v>102</v>
      </c>
      <c r="L31" s="39">
        <v>4519.5853218557559</v>
      </c>
      <c r="M31" s="39">
        <v>3888.4617764281775</v>
      </c>
      <c r="N31" s="39">
        <v>5150.7088672833343</v>
      </c>
      <c r="O31" s="1">
        <f t="shared" si="0"/>
        <v>3888.462</v>
      </c>
      <c r="P31" s="1">
        <f t="shared" si="1"/>
        <v>4519.585</v>
      </c>
      <c r="Q31" s="1">
        <f t="shared" si="2"/>
        <v>5150.7089999999998</v>
      </c>
      <c r="R31" s="14" t="str">
        <f t="shared" si="3"/>
        <v>2029Q1</v>
      </c>
      <c r="S31" s="52">
        <v>78309.268796376709</v>
      </c>
      <c r="T31" s="52">
        <v>39341.129596902138</v>
      </c>
      <c r="U31" s="52">
        <v>117277.40799585129</v>
      </c>
      <c r="V31" s="1">
        <f t="shared" si="4"/>
        <v>39341.129999999997</v>
      </c>
      <c r="W31" s="1">
        <f t="shared" si="5"/>
        <v>78309.269</v>
      </c>
      <c r="X31" s="1">
        <f t="shared" si="6"/>
        <v>117277.408</v>
      </c>
    </row>
    <row r="32" spans="1:24" ht="15.5" thickTop="1" thickBot="1" x14ac:dyDescent="0.4">
      <c r="A32" s="5" t="str">
        <f t="shared" si="7"/>
        <v>2029Q1</v>
      </c>
      <c r="B32" s="2">
        <f t="shared" si="10"/>
        <v>3888.462</v>
      </c>
      <c r="C32" s="3">
        <f t="shared" si="10"/>
        <v>4519.585</v>
      </c>
      <c r="D32" s="2">
        <f t="shared" si="10"/>
        <v>5150.7089999999998</v>
      </c>
      <c r="E32" s="2">
        <f t="shared" si="11"/>
        <v>39341.129999999997</v>
      </c>
      <c r="F32" s="3">
        <f t="shared" si="11"/>
        <v>78309.269</v>
      </c>
      <c r="G32" s="2">
        <f t="shared" si="11"/>
        <v>117277.408</v>
      </c>
      <c r="K32" s="14" t="s">
        <v>103</v>
      </c>
      <c r="L32" s="39">
        <v>4816.678941743332</v>
      </c>
      <c r="M32" s="39">
        <v>4184.6707422977252</v>
      </c>
      <c r="N32" s="39">
        <v>5448.6871411889388</v>
      </c>
      <c r="O32" s="1">
        <f t="shared" si="0"/>
        <v>4184.6710000000003</v>
      </c>
      <c r="P32" s="1">
        <f t="shared" si="1"/>
        <v>4816.6790000000001</v>
      </c>
      <c r="Q32" s="1">
        <f t="shared" si="2"/>
        <v>5448.6869999999999</v>
      </c>
      <c r="R32" s="14" t="str">
        <f t="shared" si="3"/>
        <v>2029Q2</v>
      </c>
      <c r="S32" s="52">
        <v>79536.758806338112</v>
      </c>
      <c r="T32" s="52">
        <v>39898.737823440475</v>
      </c>
      <c r="U32" s="52">
        <v>119174.77978923576</v>
      </c>
      <c r="V32" s="1">
        <f t="shared" si="4"/>
        <v>39898.737999999998</v>
      </c>
      <c r="W32" s="1">
        <f t="shared" si="5"/>
        <v>79536.759000000005</v>
      </c>
      <c r="X32" s="1">
        <f t="shared" si="6"/>
        <v>119174.78</v>
      </c>
    </row>
    <row r="33" spans="1:24" ht="15.5" thickTop="1" thickBot="1" x14ac:dyDescent="0.4">
      <c r="A33" s="5" t="str">
        <f t="shared" si="7"/>
        <v>2029Q2</v>
      </c>
      <c r="B33" s="2">
        <f t="shared" si="10"/>
        <v>4184.6710000000003</v>
      </c>
      <c r="C33" s="3">
        <f t="shared" si="10"/>
        <v>4816.6790000000001</v>
      </c>
      <c r="D33" s="2">
        <f t="shared" si="10"/>
        <v>5448.6869999999999</v>
      </c>
      <c r="E33" s="2">
        <f t="shared" si="11"/>
        <v>39898.737999999998</v>
      </c>
      <c r="F33" s="3">
        <f t="shared" si="11"/>
        <v>79536.759000000005</v>
      </c>
      <c r="G33" s="2">
        <f t="shared" si="11"/>
        <v>119174.78</v>
      </c>
      <c r="K33" s="14" t="s">
        <v>107</v>
      </c>
      <c r="L33" s="39">
        <v>4803.2511766800717</v>
      </c>
      <c r="M33" s="39">
        <v>4170.4677997345516</v>
      </c>
      <c r="N33" s="39">
        <v>5436.0345536255918</v>
      </c>
      <c r="O33" s="1">
        <f t="shared" si="0"/>
        <v>4170.4679999999998</v>
      </c>
      <c r="P33" s="1">
        <f t="shared" si="1"/>
        <v>4803.2510000000002</v>
      </c>
      <c r="Q33" s="1">
        <f t="shared" si="2"/>
        <v>5436.0349999999999</v>
      </c>
      <c r="R33" s="14" t="str">
        <f t="shared" si="3"/>
        <v>2029Q3</v>
      </c>
      <c r="S33" s="52">
        <v>79395.707742331564</v>
      </c>
      <c r="T33" s="52">
        <v>39098.939639546901</v>
      </c>
      <c r="U33" s="52">
        <v>119692.47584511623</v>
      </c>
      <c r="V33" s="1">
        <f t="shared" si="4"/>
        <v>39098.94</v>
      </c>
      <c r="W33" s="1">
        <f t="shared" si="5"/>
        <v>79395.707999999999</v>
      </c>
      <c r="X33" s="1">
        <f t="shared" si="6"/>
        <v>119692.476</v>
      </c>
    </row>
    <row r="34" spans="1:24" ht="15.5" thickTop="1" thickBot="1" x14ac:dyDescent="0.4">
      <c r="A34" s="5" t="str">
        <f t="shared" si="7"/>
        <v>2029Q3</v>
      </c>
      <c r="B34" s="2">
        <f t="shared" si="10"/>
        <v>4170.4679999999998</v>
      </c>
      <c r="C34" s="3">
        <f t="shared" si="10"/>
        <v>4803.2510000000002</v>
      </c>
      <c r="D34" s="2">
        <f t="shared" si="10"/>
        <v>5436.0349999999999</v>
      </c>
      <c r="E34" s="2">
        <f t="shared" si="11"/>
        <v>39098.94</v>
      </c>
      <c r="F34" s="3">
        <f t="shared" si="11"/>
        <v>79395.707999999999</v>
      </c>
      <c r="G34" s="2">
        <f t="shared" si="11"/>
        <v>119692.476</v>
      </c>
      <c r="K34" s="14" t="s">
        <v>108</v>
      </c>
      <c r="L34" s="39">
        <v>4826.4643906415404</v>
      </c>
      <c r="M34" s="39">
        <v>4193.0016536276544</v>
      </c>
      <c r="N34" s="39">
        <v>5459.9271276554264</v>
      </c>
      <c r="O34" s="1">
        <f t="shared" si="0"/>
        <v>4193.0020000000004</v>
      </c>
      <c r="P34" s="1">
        <f t="shared" si="1"/>
        <v>4826.4639999999999</v>
      </c>
      <c r="Q34" s="1">
        <f t="shared" si="2"/>
        <v>5459.9269999999997</v>
      </c>
      <c r="R34" s="14" t="str">
        <f t="shared" si="3"/>
        <v>2029Q4</v>
      </c>
      <c r="S34" s="52">
        <v>79957.91289380251</v>
      </c>
      <c r="T34" s="52">
        <v>39012.994459471694</v>
      </c>
      <c r="U34" s="52">
        <v>120902.83132813331</v>
      </c>
      <c r="V34" s="1">
        <f t="shared" si="4"/>
        <v>39012.993999999999</v>
      </c>
      <c r="W34" s="1">
        <f t="shared" si="5"/>
        <v>79957.913</v>
      </c>
      <c r="X34" s="1">
        <f t="shared" si="6"/>
        <v>120902.83100000001</v>
      </c>
    </row>
    <row r="35" spans="1:24" ht="13" thickTop="1" thickBot="1" x14ac:dyDescent="0.35">
      <c r="A35" s="5" t="str">
        <f t="shared" si="7"/>
        <v>2029Q4</v>
      </c>
      <c r="B35" s="2">
        <f t="shared" si="10"/>
        <v>4193.0020000000004</v>
      </c>
      <c r="C35" s="3">
        <f t="shared" si="10"/>
        <v>4826.4639999999999</v>
      </c>
      <c r="D35" s="2">
        <f t="shared" si="10"/>
        <v>5459.9269999999997</v>
      </c>
      <c r="E35" s="2">
        <f t="shared" si="11"/>
        <v>39012.993999999999</v>
      </c>
      <c r="F35" s="3">
        <f t="shared" si="11"/>
        <v>79957.913</v>
      </c>
      <c r="G35" s="2">
        <f t="shared" si="11"/>
        <v>120902.83100000001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4561.6508750000012</v>
      </c>
      <c r="F38" s="1">
        <f>AVERAGE(F4:F35)</f>
        <v>71058.855843750018</v>
      </c>
    </row>
    <row r="40" spans="1:24" ht="12.5" thickBot="1" x14ac:dyDescent="0.35"/>
    <row r="41" spans="1:24" ht="15.5" thickTop="1" thickBot="1" x14ac:dyDescent="0.4">
      <c r="A41" s="30" t="s">
        <v>84</v>
      </c>
      <c r="B41" s="31"/>
      <c r="C41" s="31"/>
      <c r="D41" s="31"/>
      <c r="E41" s="31"/>
      <c r="F41" s="31"/>
      <c r="G41" s="31"/>
      <c r="K41" s="30" t="s">
        <v>85</v>
      </c>
      <c r="L41" s="31"/>
      <c r="M41" s="31"/>
      <c r="N41" s="31"/>
      <c r="O41" s="31"/>
      <c r="P41" s="31"/>
      <c r="Q41" s="31"/>
    </row>
    <row r="42" spans="1:24" ht="15.5" thickTop="1" thickBot="1" x14ac:dyDescent="0.4">
      <c r="A42" s="6"/>
      <c r="B42" s="31" t="s">
        <v>40</v>
      </c>
      <c r="C42" s="31"/>
      <c r="D42" s="31"/>
      <c r="E42" s="31" t="s">
        <v>2</v>
      </c>
      <c r="F42" s="31"/>
      <c r="G42" s="31"/>
      <c r="K42" s="6"/>
      <c r="L42" s="31" t="s">
        <v>40</v>
      </c>
      <c r="M42" s="31"/>
      <c r="N42" s="31"/>
      <c r="O42" s="31" t="s">
        <v>2</v>
      </c>
      <c r="P42" s="31"/>
      <c r="Q42" s="31"/>
    </row>
    <row r="43" spans="1:24" ht="44.5" thickTop="1" thickBot="1" x14ac:dyDescent="0.4">
      <c r="A43" s="10" t="s">
        <v>0</v>
      </c>
      <c r="B43" s="10" t="s">
        <v>19</v>
      </c>
      <c r="C43" s="11" t="s">
        <v>105</v>
      </c>
      <c r="D43" s="10" t="s">
        <v>20</v>
      </c>
      <c r="E43" s="10" t="s">
        <v>19</v>
      </c>
      <c r="F43" s="11" t="str">
        <f>C43</f>
        <v>Forecast Minus Half A Standard Deviation (billions)</v>
      </c>
      <c r="G43" s="10" t="s">
        <v>20</v>
      </c>
      <c r="K43" s="10" t="s">
        <v>0</v>
      </c>
      <c r="L43" s="10" t="s">
        <v>19</v>
      </c>
      <c r="M43" s="11" t="s">
        <v>106</v>
      </c>
      <c r="N43" s="10" t="s">
        <v>20</v>
      </c>
      <c r="O43" s="10" t="s">
        <v>19</v>
      </c>
      <c r="P43" s="11" t="str">
        <f>M43</f>
        <v>Forecast Minus One Standard Deviation (billions)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4219.91</v>
      </c>
      <c r="D44" s="6"/>
      <c r="E44" s="6"/>
      <c r="F44" s="9">
        <f>ROUND(F4-((G4-F4)*(0.5/2)),3)</f>
        <v>60276.413999999997</v>
      </c>
      <c r="G44" s="6"/>
      <c r="K44" s="7" t="str">
        <f>A4</f>
        <v>2022Q1</v>
      </c>
      <c r="L44" s="6"/>
      <c r="M44" s="9">
        <f>ROUND(C4-((D4-C4)*(1/2)),3)</f>
        <v>4162.6480000000001</v>
      </c>
      <c r="N44" s="6"/>
      <c r="O44" s="6"/>
      <c r="P44" s="9">
        <f>ROUND(F4-((G4-F4)*(1/2)),3)</f>
        <v>58766.078000000001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4473.3370000000004</v>
      </c>
      <c r="D45" s="6"/>
      <c r="E45" s="6"/>
      <c r="F45" s="9">
        <f t="shared" ref="F45:F75" si="14">ROUND(F5-((G5-F5)*(0.5/2)),3)</f>
        <v>60574.913999999997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4395.8850000000002</v>
      </c>
      <c r="N45" s="6"/>
      <c r="O45" s="6"/>
      <c r="P45" s="9">
        <f t="shared" ref="P45:P75" si="17">ROUND(F5-((G5-F5)*(1/2)),3)</f>
        <v>58067.659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4423.8</v>
      </c>
      <c r="D46" s="6"/>
      <c r="E46" s="6"/>
      <c r="F46" s="9">
        <f t="shared" si="14"/>
        <v>59870.692999999999</v>
      </c>
      <c r="G46" s="6"/>
      <c r="K46" s="7" t="str">
        <f t="shared" si="15"/>
        <v>2022Q3</v>
      </c>
      <c r="L46" s="6"/>
      <c r="M46" s="9">
        <f t="shared" si="16"/>
        <v>4332.2280000000001</v>
      </c>
      <c r="N46" s="6"/>
      <c r="O46" s="6"/>
      <c r="P46" s="9">
        <f t="shared" si="17"/>
        <v>56842.123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4415.6180000000004</v>
      </c>
      <c r="D47" s="6"/>
      <c r="E47" s="6"/>
      <c r="F47" s="9">
        <f t="shared" si="14"/>
        <v>59919.883000000002</v>
      </c>
      <c r="G47" s="6"/>
      <c r="K47" s="7" t="str">
        <f t="shared" si="15"/>
        <v>2022Q4</v>
      </c>
      <c r="L47" s="6"/>
      <c r="M47" s="9">
        <f t="shared" si="16"/>
        <v>4313.25</v>
      </c>
      <c r="N47" s="6"/>
      <c r="O47" s="6"/>
      <c r="P47" s="9">
        <f t="shared" si="17"/>
        <v>56352.508999999998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4152.1559999999999</v>
      </c>
      <c r="D48" s="6"/>
      <c r="E48" s="6"/>
      <c r="F48" s="9">
        <f t="shared" si="14"/>
        <v>60194.582999999999</v>
      </c>
      <c r="G48" s="6"/>
      <c r="K48" s="7" t="str">
        <f t="shared" si="15"/>
        <v>2023Q1</v>
      </c>
      <c r="L48" s="6"/>
      <c r="M48" s="9">
        <f t="shared" si="16"/>
        <v>4041.1770000000001</v>
      </c>
      <c r="N48" s="6"/>
      <c r="O48" s="6"/>
      <c r="P48" s="9">
        <f t="shared" si="17"/>
        <v>56212.087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4425.1689999999999</v>
      </c>
      <c r="D49" s="6"/>
      <c r="E49" s="6"/>
      <c r="F49" s="9">
        <f t="shared" si="14"/>
        <v>61026.885999999999</v>
      </c>
      <c r="G49" s="6"/>
      <c r="K49" s="7" t="str">
        <f t="shared" si="15"/>
        <v>2023Q2</v>
      </c>
      <c r="L49" s="6"/>
      <c r="M49" s="9">
        <f t="shared" si="16"/>
        <v>4307.1509999999998</v>
      </c>
      <c r="N49" s="6"/>
      <c r="O49" s="6"/>
      <c r="P49" s="9">
        <f t="shared" si="17"/>
        <v>56639.411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4389.9309999999996</v>
      </c>
      <c r="D50" s="6"/>
      <c r="E50" s="6"/>
      <c r="F50" s="9">
        <f t="shared" si="14"/>
        <v>60525.868000000002</v>
      </c>
      <c r="G50" s="6"/>
      <c r="K50" s="7" t="str">
        <f t="shared" si="15"/>
        <v>2023Q3</v>
      </c>
      <c r="L50" s="6"/>
      <c r="M50" s="9">
        <f t="shared" si="16"/>
        <v>4266.0649999999996</v>
      </c>
      <c r="N50" s="6"/>
      <c r="O50" s="6"/>
      <c r="P50" s="9">
        <f t="shared" si="17"/>
        <v>55784.459000000003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4393.28</v>
      </c>
      <c r="D51" s="6"/>
      <c r="E51" s="6"/>
      <c r="F51" s="9">
        <f t="shared" si="14"/>
        <v>60752.915999999997</v>
      </c>
      <c r="G51" s="6"/>
      <c r="K51" s="7" t="str">
        <f t="shared" si="15"/>
        <v>2023Q4</v>
      </c>
      <c r="L51" s="6"/>
      <c r="M51" s="9">
        <f t="shared" si="16"/>
        <v>4264.5029999999997</v>
      </c>
      <c r="N51" s="6"/>
      <c r="O51" s="6"/>
      <c r="P51" s="9">
        <f t="shared" si="17"/>
        <v>55672.633999999998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4139.5569999999998</v>
      </c>
      <c r="D52" s="6"/>
      <c r="E52" s="6"/>
      <c r="F52" s="9">
        <f t="shared" si="14"/>
        <v>61144.267</v>
      </c>
      <c r="G52" s="6"/>
      <c r="K52" s="7" t="str">
        <f t="shared" si="15"/>
        <v>2024Q1</v>
      </c>
      <c r="L52" s="6"/>
      <c r="M52" s="9">
        <f t="shared" si="16"/>
        <v>4006.62</v>
      </c>
      <c r="N52" s="6"/>
      <c r="O52" s="6"/>
      <c r="P52" s="9">
        <f t="shared" si="17"/>
        <v>55751.913999999997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4421.0159999999996</v>
      </c>
      <c r="D53" s="6"/>
      <c r="E53" s="6"/>
      <c r="F53" s="9">
        <f t="shared" si="14"/>
        <v>62074.946000000004</v>
      </c>
      <c r="G53" s="6"/>
      <c r="K53" s="7" t="str">
        <f t="shared" si="15"/>
        <v>2024Q2</v>
      </c>
      <c r="L53" s="6"/>
      <c r="M53" s="9">
        <f t="shared" si="16"/>
        <v>4284.5330000000004</v>
      </c>
      <c r="N53" s="6"/>
      <c r="O53" s="6"/>
      <c r="P53" s="9">
        <f t="shared" si="17"/>
        <v>56384.370999999999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4393.2280000000001</v>
      </c>
      <c r="D54" s="6"/>
      <c r="E54" s="6"/>
      <c r="F54" s="9">
        <f t="shared" si="14"/>
        <v>61651.582000000002</v>
      </c>
      <c r="G54" s="6"/>
      <c r="K54" s="7" t="str">
        <f t="shared" si="15"/>
        <v>2024Q3</v>
      </c>
      <c r="L54" s="6"/>
      <c r="M54" s="9">
        <f t="shared" si="16"/>
        <v>4253.7079999999996</v>
      </c>
      <c r="N54" s="6"/>
      <c r="O54" s="6"/>
      <c r="P54" s="9">
        <f t="shared" si="17"/>
        <v>55679.563999999998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4403.2240000000002</v>
      </c>
      <c r="D55" s="6"/>
      <c r="E55" s="6"/>
      <c r="F55" s="9">
        <f t="shared" si="14"/>
        <v>61944.434000000001</v>
      </c>
      <c r="G55" s="6"/>
      <c r="K55" s="7" t="str">
        <f t="shared" si="15"/>
        <v>2024Q4</v>
      </c>
      <c r="L55" s="6"/>
      <c r="M55" s="9">
        <f t="shared" si="16"/>
        <v>4261.0929999999998</v>
      </c>
      <c r="N55" s="6"/>
      <c r="O55" s="6"/>
      <c r="P55" s="9">
        <f t="shared" si="17"/>
        <v>55702.525999999998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4155.4799999999996</v>
      </c>
      <c r="D56" s="6"/>
      <c r="E56" s="6"/>
      <c r="F56" s="9">
        <f t="shared" si="14"/>
        <v>62391.786999999997</v>
      </c>
      <c r="G56" s="6"/>
      <c r="K56" s="7" t="str">
        <f t="shared" si="15"/>
        <v>2025Q1</v>
      </c>
      <c r="L56" s="6"/>
      <c r="M56" s="9">
        <f t="shared" si="16"/>
        <v>4011.096</v>
      </c>
      <c r="N56" s="6"/>
      <c r="O56" s="6"/>
      <c r="P56" s="9">
        <f t="shared" si="17"/>
        <v>55891.851000000002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4442.3509999999997</v>
      </c>
      <c r="D57" s="6"/>
      <c r="E57" s="6"/>
      <c r="F57" s="9">
        <f t="shared" si="14"/>
        <v>63370.915000000001</v>
      </c>
      <c r="G57" s="6"/>
      <c r="K57" s="7" t="str">
        <f t="shared" si="15"/>
        <v>2025Q2</v>
      </c>
      <c r="L57" s="6"/>
      <c r="M57" s="9">
        <f t="shared" si="16"/>
        <v>4296.0209999999997</v>
      </c>
      <c r="N57" s="6"/>
      <c r="O57" s="6"/>
      <c r="P57" s="9">
        <f t="shared" si="17"/>
        <v>56622.415999999997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4419.4849999999997</v>
      </c>
      <c r="D58" s="6"/>
      <c r="E58" s="6"/>
      <c r="F58" s="9">
        <f t="shared" si="14"/>
        <v>62990.245999999999</v>
      </c>
      <c r="G58" s="6"/>
      <c r="K58" s="7" t="str">
        <f t="shared" si="15"/>
        <v>2025Q3</v>
      </c>
      <c r="L58" s="6"/>
      <c r="M58" s="9">
        <f t="shared" si="16"/>
        <v>4271.4660000000003</v>
      </c>
      <c r="N58" s="6"/>
      <c r="O58" s="6"/>
      <c r="P58" s="9">
        <f t="shared" si="17"/>
        <v>56002.252999999997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4433.973</v>
      </c>
      <c r="D59" s="6"/>
      <c r="E59" s="6"/>
      <c r="F59" s="9">
        <f t="shared" si="14"/>
        <v>63320.834999999999</v>
      </c>
      <c r="G59" s="6"/>
      <c r="K59" s="7" t="str">
        <f t="shared" si="15"/>
        <v>2025Q4</v>
      </c>
      <c r="L59" s="6"/>
      <c r="M59" s="9">
        <f t="shared" si="16"/>
        <v>4284.4889999999996</v>
      </c>
      <c r="N59" s="6"/>
      <c r="O59" s="6"/>
      <c r="P59" s="9">
        <f t="shared" si="17"/>
        <v>56101.148999999998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4190.3410000000003</v>
      </c>
      <c r="D60" s="6"/>
      <c r="E60" s="6"/>
      <c r="F60" s="9">
        <f t="shared" si="14"/>
        <v>63802.097000000002</v>
      </c>
      <c r="G60" s="6"/>
      <c r="K60" s="7" t="str">
        <f t="shared" si="15"/>
        <v>2026Q1</v>
      </c>
      <c r="L60" s="6"/>
      <c r="M60" s="9">
        <f t="shared" si="16"/>
        <v>4039.5839999999998</v>
      </c>
      <c r="N60" s="6"/>
      <c r="O60" s="6"/>
      <c r="P60" s="9">
        <f t="shared" si="17"/>
        <v>56358.008999999998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4480.9870000000001</v>
      </c>
      <c r="D61" s="6"/>
      <c r="E61" s="6"/>
      <c r="F61" s="9">
        <f t="shared" si="14"/>
        <v>64811.733999999997</v>
      </c>
      <c r="G61" s="6"/>
      <c r="K61" s="7" t="str">
        <f t="shared" si="15"/>
        <v>2026Q2</v>
      </c>
      <c r="L61" s="6"/>
      <c r="M61" s="9">
        <f t="shared" si="16"/>
        <v>4329.1220000000003</v>
      </c>
      <c r="N61" s="6"/>
      <c r="O61" s="6"/>
      <c r="P61" s="9">
        <f t="shared" si="17"/>
        <v>57149.762999999999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4461.5919999999996</v>
      </c>
      <c r="D62" s="6"/>
      <c r="E62" s="6"/>
      <c r="F62" s="9">
        <f t="shared" si="14"/>
        <v>64458.839</v>
      </c>
      <c r="G62" s="6"/>
      <c r="K62" s="7" t="str">
        <f t="shared" si="15"/>
        <v>2026Q3</v>
      </c>
      <c r="L62" s="6"/>
      <c r="M62" s="9">
        <f t="shared" si="16"/>
        <v>4308.76</v>
      </c>
      <c r="N62" s="6"/>
      <c r="O62" s="6"/>
      <c r="P62" s="9">
        <f t="shared" si="17"/>
        <v>56585.044000000002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4479.277</v>
      </c>
      <c r="D63" s="6"/>
      <c r="E63" s="6"/>
      <c r="F63" s="9">
        <f t="shared" si="14"/>
        <v>64814.762999999999</v>
      </c>
      <c r="G63" s="6"/>
      <c r="K63" s="7" t="str">
        <f t="shared" si="15"/>
        <v>2026Q4</v>
      </c>
      <c r="L63" s="6"/>
      <c r="M63" s="9">
        <f t="shared" si="16"/>
        <v>4325.6030000000001</v>
      </c>
      <c r="N63" s="6"/>
      <c r="O63" s="6"/>
      <c r="P63" s="9">
        <f t="shared" si="17"/>
        <v>56734.675000000003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4238.5969999999998</v>
      </c>
      <c r="D64" s="6"/>
      <c r="E64" s="6"/>
      <c r="F64" s="9">
        <f t="shared" si="14"/>
        <v>65319.324000000001</v>
      </c>
      <c r="G64" s="6"/>
      <c r="K64" s="7" t="str">
        <f t="shared" si="15"/>
        <v>2027Q1</v>
      </c>
      <c r="L64" s="6"/>
      <c r="M64" s="9">
        <f t="shared" si="16"/>
        <v>4084.1869999999999</v>
      </c>
      <c r="N64" s="6"/>
      <c r="O64" s="6"/>
      <c r="P64" s="9">
        <f t="shared" si="17"/>
        <v>57038.091999999997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4531.9690000000001</v>
      </c>
      <c r="D65" s="6"/>
      <c r="E65" s="6"/>
      <c r="F65" s="9">
        <f t="shared" si="14"/>
        <v>66350.438999999998</v>
      </c>
      <c r="G65" s="6"/>
      <c r="K65" s="7" t="str">
        <f t="shared" si="15"/>
        <v>2027Q2</v>
      </c>
      <c r="L65" s="6"/>
      <c r="M65" s="9">
        <f t="shared" si="16"/>
        <v>4376.9170000000004</v>
      </c>
      <c r="N65" s="6"/>
      <c r="O65" s="6"/>
      <c r="P65" s="9">
        <f t="shared" si="17"/>
        <v>57872.826999999997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4515.0959999999995</v>
      </c>
      <c r="D66" s="6"/>
      <c r="E66" s="6"/>
      <c r="F66" s="9">
        <f t="shared" si="14"/>
        <v>66017.456000000006</v>
      </c>
      <c r="G66" s="6"/>
      <c r="K66" s="7" t="str">
        <f t="shared" si="15"/>
        <v>2027Q3</v>
      </c>
      <c r="L66" s="6"/>
      <c r="M66" s="9">
        <f t="shared" si="16"/>
        <v>4359.482</v>
      </c>
      <c r="N66" s="6"/>
      <c r="O66" s="6"/>
      <c r="P66" s="9">
        <f t="shared" si="17"/>
        <v>57347.915999999997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4535.116</v>
      </c>
      <c r="D67" s="6"/>
      <c r="E67" s="6"/>
      <c r="F67" s="9">
        <f t="shared" si="14"/>
        <v>66391.89</v>
      </c>
      <c r="G67" s="6"/>
      <c r="K67" s="7" t="str">
        <f t="shared" si="15"/>
        <v>2027Q4</v>
      </c>
      <c r="L67" s="6"/>
      <c r="M67" s="9">
        <f t="shared" si="16"/>
        <v>4379.01</v>
      </c>
      <c r="N67" s="6"/>
      <c r="O67" s="6"/>
      <c r="P67" s="9">
        <f t="shared" si="17"/>
        <v>57534.576999999997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4296.598</v>
      </c>
      <c r="D68" s="6"/>
      <c r="E68" s="6"/>
      <c r="F68" s="9">
        <f t="shared" si="14"/>
        <v>66913.728000000003</v>
      </c>
      <c r="G68" s="6"/>
      <c r="K68" s="7" t="str">
        <f t="shared" si="15"/>
        <v>2028Q1</v>
      </c>
      <c r="L68" s="6"/>
      <c r="M68" s="9">
        <f t="shared" si="16"/>
        <v>4140.0630000000001</v>
      </c>
      <c r="N68" s="6"/>
      <c r="O68" s="6"/>
      <c r="P68" s="9">
        <f t="shared" si="17"/>
        <v>57872.542000000001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4591.9769999999999</v>
      </c>
      <c r="D69" s="6"/>
      <c r="E69" s="6"/>
      <c r="F69" s="9">
        <f t="shared" si="14"/>
        <v>67961.010999999999</v>
      </c>
      <c r="G69" s="6"/>
      <c r="K69" s="7" t="str">
        <f t="shared" si="15"/>
        <v>2028Q2</v>
      </c>
      <c r="L69" s="6"/>
      <c r="M69" s="9">
        <f t="shared" si="16"/>
        <v>4435.0659999999998</v>
      </c>
      <c r="N69" s="6"/>
      <c r="O69" s="6"/>
      <c r="P69" s="9">
        <f t="shared" si="17"/>
        <v>58739.618000000002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4576.9650000000001</v>
      </c>
      <c r="D70" s="6"/>
      <c r="E70" s="6"/>
      <c r="F70" s="9">
        <f t="shared" si="14"/>
        <v>67643.206999999995</v>
      </c>
      <c r="G70" s="6"/>
      <c r="K70" s="7" t="str">
        <f t="shared" si="15"/>
        <v>2028Q3</v>
      </c>
      <c r="L70" s="6"/>
      <c r="M70" s="9">
        <f t="shared" si="16"/>
        <v>4419.7250000000004</v>
      </c>
      <c r="N70" s="6"/>
      <c r="O70" s="6"/>
      <c r="P70" s="9">
        <f t="shared" si="17"/>
        <v>58245.061000000002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4598.7150000000001</v>
      </c>
      <c r="D71" s="6"/>
      <c r="E71" s="6"/>
      <c r="F71" s="9">
        <f t="shared" si="14"/>
        <v>68031.922999999995</v>
      </c>
      <c r="G71" s="6"/>
      <c r="K71" s="7" t="str">
        <f t="shared" si="15"/>
        <v>2028Q4</v>
      </c>
      <c r="L71" s="6"/>
      <c r="M71" s="9">
        <f t="shared" si="16"/>
        <v>4441.1859999999997</v>
      </c>
      <c r="N71" s="6"/>
      <c r="O71" s="6"/>
      <c r="P71" s="9">
        <f t="shared" si="17"/>
        <v>58460.288999999997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4361.8040000000001</v>
      </c>
      <c r="D72" s="6"/>
      <c r="E72" s="6"/>
      <c r="F72" s="9">
        <f t="shared" si="14"/>
        <v>68567.233999999997</v>
      </c>
      <c r="G72" s="6"/>
      <c r="K72" s="7" t="str">
        <f t="shared" si="15"/>
        <v>2029Q1</v>
      </c>
      <c r="L72" s="6"/>
      <c r="M72" s="9">
        <f t="shared" si="16"/>
        <v>4204.0230000000001</v>
      </c>
      <c r="N72" s="6"/>
      <c r="O72" s="6"/>
      <c r="P72" s="9">
        <f t="shared" si="17"/>
        <v>58825.2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4658.6769999999997</v>
      </c>
      <c r="D73" s="6"/>
      <c r="E73" s="6"/>
      <c r="F73" s="9">
        <f t="shared" si="14"/>
        <v>69627.254000000001</v>
      </c>
      <c r="G73" s="6"/>
      <c r="K73" s="7" t="str">
        <f t="shared" si="15"/>
        <v>2029Q2</v>
      </c>
      <c r="L73" s="6"/>
      <c r="M73" s="9">
        <f t="shared" si="16"/>
        <v>4500.6750000000002</v>
      </c>
      <c r="N73" s="6"/>
      <c r="O73" s="6"/>
      <c r="P73" s="9">
        <f t="shared" si="17"/>
        <v>59717.749000000003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4645.0550000000003</v>
      </c>
      <c r="D74" s="6"/>
      <c r="E74" s="6"/>
      <c r="F74" s="9">
        <f t="shared" si="14"/>
        <v>69321.516000000003</v>
      </c>
      <c r="G74" s="6"/>
      <c r="K74" s="7" t="str">
        <f t="shared" si="15"/>
        <v>2029Q3</v>
      </c>
      <c r="L74" s="6"/>
      <c r="M74" s="9">
        <f t="shared" si="16"/>
        <v>4486.8590000000004</v>
      </c>
      <c r="N74" s="6"/>
      <c r="O74" s="6"/>
      <c r="P74" s="9">
        <f t="shared" si="17"/>
        <v>59247.324000000001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4668.098</v>
      </c>
      <c r="D75" s="6"/>
      <c r="E75" s="6"/>
      <c r="F75" s="9">
        <f t="shared" si="14"/>
        <v>69721.683999999994</v>
      </c>
      <c r="G75" s="6"/>
      <c r="K75" s="7" t="str">
        <f t="shared" si="15"/>
        <v>2029Q4</v>
      </c>
      <c r="L75" s="6"/>
      <c r="M75" s="9">
        <f t="shared" si="16"/>
        <v>4509.7330000000002</v>
      </c>
      <c r="N75" s="6"/>
      <c r="O75" s="6"/>
      <c r="P75" s="9">
        <f t="shared" si="17"/>
        <v>59485.453999999998</v>
      </c>
      <c r="Q75" s="6"/>
    </row>
    <row r="76" spans="1:17" ht="12.5" thickTop="1" x14ac:dyDescent="0.3"/>
  </sheetData>
  <mergeCells count="11">
    <mergeCell ref="B42:D42"/>
    <mergeCell ref="E42:G42"/>
    <mergeCell ref="L42:N42"/>
    <mergeCell ref="O42:Q42"/>
    <mergeCell ref="A1:G1"/>
    <mergeCell ref="L1:Q1"/>
    <mergeCell ref="S1:X1"/>
    <mergeCell ref="B2:D2"/>
    <mergeCell ref="E2:G2"/>
    <mergeCell ref="A41:G41"/>
    <mergeCell ref="K41:Q4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74"/>
  <sheetViews>
    <sheetView zoomScale="85" zoomScaleNormal="85" workbookViewId="0">
      <selection activeCell="P4" sqref="P4"/>
    </sheetView>
  </sheetViews>
  <sheetFormatPr defaultRowHeight="14.5" x14ac:dyDescent="0.35"/>
  <cols>
    <col min="1" max="1" width="8.1796875" bestFit="1" customWidth="1"/>
    <col min="2" max="2" width="11.453125" bestFit="1" customWidth="1"/>
    <col min="3" max="3" width="17.1796875" bestFit="1" customWidth="1"/>
    <col min="4" max="5" width="11.453125" bestFit="1" customWidth="1"/>
    <col min="6" max="6" width="17.1796875" bestFit="1" customWidth="1"/>
    <col min="7" max="7" width="11.453125" bestFit="1" customWidth="1"/>
    <col min="11" max="11" width="7.453125" bestFit="1" customWidth="1"/>
    <col min="12" max="12" width="12.54296875" bestFit="1" customWidth="1"/>
    <col min="13" max="13" width="16" bestFit="1" customWidth="1"/>
    <col min="14" max="15" width="12.54296875" bestFit="1" customWidth="1"/>
    <col min="16" max="16" width="16" bestFit="1" customWidth="1"/>
    <col min="17" max="17" width="12.54296875" bestFit="1" customWidth="1"/>
  </cols>
  <sheetData>
    <row r="1" spans="1:40" s="1" customFormat="1" ht="15.5" thickTop="1" thickBot="1" x14ac:dyDescent="0.4">
      <c r="A1" s="36" t="s">
        <v>45</v>
      </c>
      <c r="B1" s="37"/>
      <c r="C1" s="37"/>
      <c r="D1" s="37"/>
      <c r="E1" s="37"/>
      <c r="F1" s="37"/>
      <c r="G1" s="37"/>
      <c r="K1" s="38" t="s">
        <v>86</v>
      </c>
      <c r="L1" s="38"/>
      <c r="M1" s="38"/>
      <c r="N1" s="38"/>
      <c r="O1" s="38"/>
      <c r="P1" s="38"/>
      <c r="Q1" s="38"/>
    </row>
    <row r="2" spans="1:40" s="1" customFormat="1" ht="15.5" thickTop="1" thickBot="1" x14ac:dyDescent="0.4">
      <c r="A2" s="2"/>
      <c r="B2" s="33" t="s">
        <v>1</v>
      </c>
      <c r="C2" s="33"/>
      <c r="D2" s="33"/>
      <c r="E2" s="33" t="s">
        <v>2</v>
      </c>
      <c r="F2" s="33"/>
      <c r="G2" s="33"/>
      <c r="H2" s="15"/>
      <c r="K2" s="22"/>
      <c r="L2" s="38" t="s">
        <v>1</v>
      </c>
      <c r="M2" s="38"/>
      <c r="N2" s="38"/>
      <c r="O2" s="38" t="s">
        <v>2</v>
      </c>
      <c r="P2" s="38"/>
      <c r="Q2" s="38"/>
    </row>
    <row r="3" spans="1:40" s="1" customFormat="1" ht="30" thickTop="1" thickBot="1" x14ac:dyDescent="0.4">
      <c r="A3" s="23" t="s">
        <v>0</v>
      </c>
      <c r="B3" s="23" t="s">
        <v>19</v>
      </c>
      <c r="C3" s="24" t="s">
        <v>87</v>
      </c>
      <c r="D3" s="23" t="s">
        <v>20</v>
      </c>
      <c r="E3" s="23" t="s">
        <v>19</v>
      </c>
      <c r="F3" s="24" t="s">
        <v>87</v>
      </c>
      <c r="G3" s="23" t="s">
        <v>20</v>
      </c>
      <c r="H3" s="15"/>
      <c r="K3" s="25" t="s">
        <v>0</v>
      </c>
      <c r="L3" s="26" t="s">
        <v>19</v>
      </c>
      <c r="M3" s="27" t="s">
        <v>88</v>
      </c>
      <c r="N3" s="26" t="s">
        <v>20</v>
      </c>
      <c r="O3" s="26" t="s">
        <v>19</v>
      </c>
      <c r="P3" s="27" t="s">
        <v>88</v>
      </c>
      <c r="Q3" s="26" t="s">
        <v>20</v>
      </c>
    </row>
    <row r="4" spans="1:40" s="1" customFormat="1" ht="15.5" thickTop="1" thickBot="1" x14ac:dyDescent="0.4">
      <c r="A4" s="5" t="str">
        <f>SBOSCA!A4</f>
        <v>2022Q1</v>
      </c>
      <c r="B4" s="2">
        <f>SUM(SBOSCA!B4,MCBTCA!B4,ICICCA!B4,HKBCCA!B4,CUCXCA!B4,BOFMCA!B4,BOFACA!B4,BNPACA!B4,BNDCCA!B4,BLCMCA!B4,BCANCA!B4,ATBRCA!B4,CCDQCA!B4,CIBCCA!B4,NOSCCA!B4,TDOMCA!B4,ROYCCA!B4)</f>
        <v>3972.1799999999994</v>
      </c>
      <c r="C4" s="3">
        <f>SUM(SBOSCA!C4,MCBTCA!C4,ICICCA!C4,HKBCCA!C4,CUCXCA!C4,BOFMCA!C4,BOFACA!C4,BNPACA!C4,BNDCCA!C4,BLCMCA!C4,BCANCA!C4,ATBRCA!C4,CCDQCA!C4,CIBCCA!C4,NOSCCA!C4,TDOMCA!C4,ROYCCA!C4)</f>
        <v>4262.6190000000006</v>
      </c>
      <c r="D4" s="2">
        <f>SUM(SBOSCA!D4,MCBTCA!D4,ICICCA!D4,HKBCCA!D4,CUCXCA!D4,BOFMCA!D4,BOFACA!D4,BNPACA!D4,BNDCCA!D4,BLCMCA!D4,BCANCA!D4,ATBRCA!D4,CCDQCA!D4,CIBCCA!D4,NOSCCA!D4,TDOMCA!D4,ROYCCA!D4)</f>
        <v>4553.0590000000002</v>
      </c>
      <c r="E4" s="2">
        <f>SUM(SBOSCA!E4,MCBTCA!E4,ICICCA!E4,HKBCCA!E4,CUCXCA!E4,BOFMCA!E4,BOFACA!E4,BNPACA!E4,BNDCCA!E4,BLCMCA!E4,BCANCA!E4,ATBRCA!E4,CCDQCA!E4,CIBCCA!E4,NOSCCA!E4,TDOMCA!E4,ROYCCA!E4)</f>
        <v>52632.966</v>
      </c>
      <c r="F4" s="3">
        <f>SUM(SBOSCA!F4,MCBTCA!F4,ICICCA!F4,HKBCCA!F4,CUCXCA!F4,BOFMCA!F4,BOFACA!F4,BNPACA!F4,BNDCCA!F4,BLCMCA!F4,BCANCA!F4,ATBRCA!F4,CCDQCA!F4,CIBCCA!F4,NOSCCA!F4,TDOMCA!F4,ROYCCA!F4)</f>
        <v>59974.103999999992</v>
      </c>
      <c r="G4" s="2">
        <f>SUM(SBOSCA!G4,MCBTCA!G4,ICICCA!G4,HKBCCA!G4,CUCXCA!G4,BOFMCA!G4,BOFACA!G4,BNPACA!G4,BNDCCA!G4,BLCMCA!G4,BCANCA!G4,ATBRCA!G4,CCDQCA!G4,CIBCCA!G4,NOSCCA!G4,TDOMCA!G4,ROYCCA!G4)</f>
        <v>67315.239000000001</v>
      </c>
      <c r="H4" s="16"/>
      <c r="K4" s="19" t="str">
        <f>A4</f>
        <v>2022Q1</v>
      </c>
      <c r="L4" s="20">
        <f>ROUND(LN(Totals!B4/'Porfolio Forecast'!B4),4)</f>
        <v>-1.89E-2</v>
      </c>
      <c r="M4" s="21">
        <f>ROUND(LN(Totals!C4/'Porfolio Forecast'!C4),4)</f>
        <v>-3.3999999999999998E-3</v>
      </c>
      <c r="N4" s="20">
        <f>ROUND(LN(Totals!D4/'Porfolio Forecast'!D4),4)</f>
        <v>1.03E-2</v>
      </c>
      <c r="O4" s="20">
        <f>ROUND(LN(Totals!E4/'Porfolio Forecast'!E4),4)</f>
        <v>-5.7500000000000002E-2</v>
      </c>
      <c r="P4" s="21">
        <f>ROUND(LN(Totals!F4/'Porfolio Forecast'!F4),4)</f>
        <v>-2.98E-2</v>
      </c>
      <c r="Q4" s="20">
        <f>ROUND(LN(Totals!G4/'Porfolio Forecast'!G4),4)</f>
        <v>-7.6E-3</v>
      </c>
      <c r="AB4" s="1">
        <v>3640.0160000000005</v>
      </c>
      <c r="AC4" s="1">
        <v>3824.8690000000001</v>
      </c>
      <c r="AD4" s="1">
        <v>4009.7240000000002</v>
      </c>
      <c r="AE4" s="1">
        <v>4.3649999999999993</v>
      </c>
      <c r="AF4" s="1">
        <v>4.6079999999999997</v>
      </c>
      <c r="AG4" s="1">
        <v>4.8499999999999996</v>
      </c>
      <c r="AI4" s="17">
        <f t="shared" ref="AI4:AN8" si="0">LN(B4/AB4)</f>
        <v>8.7326985133291207E-2</v>
      </c>
      <c r="AJ4" s="17">
        <f t="shared" si="0"/>
        <v>0.10835954178250384</v>
      </c>
      <c r="AK4" s="17">
        <f t="shared" si="0"/>
        <v>0.12707690373804034</v>
      </c>
      <c r="AL4" s="17">
        <f t="shared" si="0"/>
        <v>9.3974797431590069</v>
      </c>
      <c r="AM4" s="17">
        <f t="shared" si="0"/>
        <v>9.4738742246445593</v>
      </c>
      <c r="AN4" s="17">
        <f t="shared" si="0"/>
        <v>9.538163218929304</v>
      </c>
    </row>
    <row r="5" spans="1:40" s="1" customFormat="1" ht="15.5" thickTop="1" thickBot="1" x14ac:dyDescent="0.4">
      <c r="A5" s="5" t="str">
        <f>SBOSCA!A5</f>
        <v>2022Q2</v>
      </c>
      <c r="B5" s="2">
        <f>SUM(SBOSCA!B5,MCBTCA!B5,ICICCA!B5,HKBCCA!B5,CUCXCA!B5,BOFMCA!B5,BOFACA!B5,BNPACA!B5,BNDCCA!B5,BLCMCA!B5,BCANCA!B5,ATBRCA!B5,CCDQCA!B5,CIBCCA!B5,NOSCCA!B5,TDOMCA!B5,ROYCCA!B5)</f>
        <v>4126.866</v>
      </c>
      <c r="C5" s="3">
        <f>SUM(SBOSCA!C5,MCBTCA!C5,ICICCA!C5,HKBCCA!C5,CUCXCA!C5,BOFMCA!C5,BOFACA!C5,BNPACA!C5,BNDCCA!C5,BLCMCA!C5,BCANCA!C5,ATBRCA!C5,CCDQCA!C5,CIBCCA!C5,NOSCCA!C5,TDOMCA!C5,ROYCCA!C5)</f>
        <v>4507.2270000000008</v>
      </c>
      <c r="D5" s="2">
        <f>SUM(SBOSCA!D5,MCBTCA!D5,ICICCA!D5,HKBCCA!D5,CUCXCA!D5,BOFMCA!D5,BOFACA!D5,BNPACA!D5,BNDCCA!D5,BLCMCA!D5,BCANCA!D5,ATBRCA!D5,CCDQCA!D5,CIBCCA!D5,NOSCCA!D5,TDOMCA!D5,ROYCCA!D5)</f>
        <v>4887.5889999999999</v>
      </c>
      <c r="E5" s="2">
        <f>SUM(SBOSCA!E5,MCBTCA!E5,ICICCA!E5,HKBCCA!E5,CUCXCA!E5,BOFMCA!E5,BOFACA!E5,BNPACA!E5,BNDCCA!E5,BLCMCA!E5,BCANCA!E5,ATBRCA!E5,CCDQCA!E5,CIBCCA!E5,NOSCCA!E5,TDOMCA!E5,ROYCCA!E5)</f>
        <v>49373.964000000007</v>
      </c>
      <c r="F5" s="3">
        <f>SUM(SBOSCA!F5,MCBTCA!F5,ICICCA!F5,HKBCCA!F5,CUCXCA!F5,BOFMCA!F5,BOFACA!F5,BNPACA!F5,BNDCCA!F5,BLCMCA!F5,BCANCA!F5,ATBRCA!F5,CCDQCA!F5,CIBCCA!F5,NOSCCA!F5,TDOMCA!F5,ROYCCA!F5)</f>
        <v>61203.135999999999</v>
      </c>
      <c r="G5" s="2">
        <f>SUM(SBOSCA!G5,MCBTCA!G5,ICICCA!G5,HKBCCA!G5,CUCXCA!G5,BOFMCA!G5,BOFACA!G5,BNPACA!G5,BNDCCA!G5,BLCMCA!G5,BCANCA!G5,ATBRCA!G5,CCDQCA!G5,CIBCCA!G5,NOSCCA!G5,TDOMCA!G5,ROYCCA!G5)</f>
        <v>73032.313000000009</v>
      </c>
      <c r="H5" s="16">
        <v>2018</v>
      </c>
      <c r="I5" s="1">
        <f>SUM(F5:F8)</f>
        <v>245889.87900000002</v>
      </c>
      <c r="K5" s="19" t="str">
        <f t="shared" ref="K5:K35" si="1">A5</f>
        <v>2022Q2</v>
      </c>
      <c r="L5" s="20">
        <f>ROUND(LN(Totals!B5/'Porfolio Forecast'!B5),4)</f>
        <v>-2.7300000000000001E-2</v>
      </c>
      <c r="M5" s="21">
        <f>ROUND(LN(Totals!C5/'Porfolio Forecast'!C5),4)</f>
        <v>-9.5999999999999992E-3</v>
      </c>
      <c r="N5" s="20">
        <f>ROUND(LN(Totals!D5/'Porfolio Forecast'!D5),4)</f>
        <v>5.4999999999999997E-3</v>
      </c>
      <c r="O5" s="20">
        <f>ROUND(LN(Totals!E5/'Porfolio Forecast'!E5),4)</f>
        <v>-7.1900000000000006E-2</v>
      </c>
      <c r="P5" s="21">
        <f>ROUND(LN(Totals!F5/'Porfolio Forecast'!F5),4)</f>
        <v>-3.0200000000000001E-2</v>
      </c>
      <c r="Q5" s="20">
        <f>ROUND(LN(Totals!G5/'Porfolio Forecast'!G5),4)</f>
        <v>-1.1000000000000001E-3</v>
      </c>
      <c r="AB5" s="1">
        <v>3687.4410000000003</v>
      </c>
      <c r="AC5" s="1">
        <v>3899.3010000000004</v>
      </c>
      <c r="AD5" s="1">
        <v>4111.16</v>
      </c>
      <c r="AE5" s="1">
        <v>4.2759999999999998</v>
      </c>
      <c r="AF5" s="1">
        <v>4.5609999999999999</v>
      </c>
      <c r="AG5" s="1">
        <v>4.8499999999999996</v>
      </c>
      <c r="AI5" s="17">
        <f t="shared" si="0"/>
        <v>0.11258555959948696</v>
      </c>
      <c r="AJ5" s="17">
        <f t="shared" si="0"/>
        <v>0.14488480223474801</v>
      </c>
      <c r="AK5" s="17">
        <f t="shared" si="0"/>
        <v>0.17299390773517034</v>
      </c>
      <c r="AL5" s="17">
        <f t="shared" si="0"/>
        <v>9.354160526542012</v>
      </c>
      <c r="AM5" s="17">
        <f t="shared" si="0"/>
        <v>9.5044118112881009</v>
      </c>
      <c r="AN5" s="17">
        <f t="shared" si="0"/>
        <v>9.6196785610788709</v>
      </c>
    </row>
    <row r="6" spans="1:40" s="1" customFormat="1" ht="15.5" thickTop="1" thickBot="1" x14ac:dyDescent="0.4">
      <c r="A6" s="5" t="str">
        <f>SBOSCA!A6</f>
        <v>2022Q3</v>
      </c>
      <c r="B6" s="2">
        <f>SUM(SBOSCA!B6,MCBTCA!B6,ICICCA!B6,HKBCCA!B6,CUCXCA!B6,BOFMCA!B6,BOFACA!B6,BNPACA!B6,BNDCCA!B6,BLCMCA!B6,BCANCA!B6,ATBRCA!B6,CCDQCA!B6,CIBCCA!B6,NOSCCA!B6,TDOMCA!B6,ROYCCA!B6)</f>
        <v>4036.893</v>
      </c>
      <c r="C6" s="3">
        <f>SUM(SBOSCA!C6,MCBTCA!C6,ICICCA!C6,HKBCCA!C6,CUCXCA!C6,BOFMCA!C6,BOFACA!C6,BNPACA!C6,BNDCCA!C6,BLCMCA!C6,BCANCA!C6,ATBRCA!C6,CCDQCA!C6,CIBCCA!C6,NOSCCA!C6,TDOMCA!C6,ROYCCA!C6)</f>
        <v>4476.3760000000002</v>
      </c>
      <c r="D6" s="2">
        <f>SUM(SBOSCA!D6,MCBTCA!D6,ICICCA!D6,HKBCCA!D6,CUCXCA!D6,BOFMCA!D6,BOFACA!D6,BNPACA!D6,BNDCCA!D6,BLCMCA!D6,BCANCA!D6,ATBRCA!D6,CCDQCA!D6,CIBCCA!D6,NOSCCA!D6,TDOMCA!D6,ROYCCA!D6)</f>
        <v>4915.8590000000004</v>
      </c>
      <c r="E6" s="2">
        <f>SUM(SBOSCA!E6,MCBTCA!E6,ICICCA!E6,HKBCCA!E6,CUCXCA!E6,BOFMCA!E6,BOFACA!E6,BNPACA!E6,BNDCCA!E6,BLCMCA!E6,BCANCA!E6,ATBRCA!E6,CCDQCA!E6,CIBCCA!E6,NOSCCA!E6,TDOMCA!E6,ROYCCA!E6)</f>
        <v>46278.065999999999</v>
      </c>
      <c r="F6" s="3">
        <f>SUM(SBOSCA!F6,MCBTCA!F6,ICICCA!F6,HKBCCA!F6,CUCXCA!F6,BOFMCA!F6,BOFACA!F6,BNPACA!F6,BNDCCA!F6,BLCMCA!F6,BCANCA!F6,ATBRCA!F6,CCDQCA!F6,CIBCCA!F6,NOSCCA!F6,TDOMCA!F6,ROYCCA!F6)</f>
        <v>60957.064000000006</v>
      </c>
      <c r="G6" s="2">
        <f>SUM(SBOSCA!G6,MCBTCA!G6,ICICCA!G6,HKBCCA!G6,CUCXCA!G6,BOFMCA!G6,BOFACA!G6,BNPACA!G6,BNDCCA!G6,BLCMCA!G6,BCANCA!G6,ATBRCA!G6,CCDQCA!G6,CIBCCA!G6,NOSCCA!G6,TDOMCA!G6,ROYCCA!G6)</f>
        <v>75636.06</v>
      </c>
      <c r="H6" s="16">
        <v>2019</v>
      </c>
      <c r="I6" s="1">
        <f>SUM(F9:F12)</f>
        <v>254767.85</v>
      </c>
      <c r="K6" s="19" t="str">
        <f t="shared" si="1"/>
        <v>2022Q3</v>
      </c>
      <c r="L6" s="20">
        <f>ROUND(LN(Totals!B6/'Porfolio Forecast'!B6),4)</f>
        <v>-2.7400000000000001E-2</v>
      </c>
      <c r="M6" s="21">
        <f>ROUND(LN(Totals!C6/'Porfolio Forecast'!C6),4)</f>
        <v>-8.6999999999999994E-3</v>
      </c>
      <c r="N6" s="20">
        <f>ROUND(LN(Totals!D6/'Porfolio Forecast'!D6),4)</f>
        <v>7.0000000000000001E-3</v>
      </c>
      <c r="O6" s="20">
        <f>ROUND(LN(Totals!E6/'Porfolio Forecast'!E6),4)</f>
        <v>-9.2899999999999996E-2</v>
      </c>
      <c r="P6" s="21">
        <f>ROUND(LN(Totals!F6/'Porfolio Forecast'!F6),4)</f>
        <v>-3.1399999999999997E-2</v>
      </c>
      <c r="Q6" s="20">
        <f>ROUND(LN(Totals!G6/'Porfolio Forecast'!G6),4)</f>
        <v>8.3000000000000001E-3</v>
      </c>
      <c r="AB6" s="1">
        <v>3470.87</v>
      </c>
      <c r="AC6" s="1">
        <v>3705.7969999999996</v>
      </c>
      <c r="AD6" s="1">
        <v>3940.7269999999999</v>
      </c>
      <c r="AE6" s="1">
        <v>4.3979999999999997</v>
      </c>
      <c r="AF6" s="1">
        <v>4.7190000000000003</v>
      </c>
      <c r="AG6" s="1">
        <v>5.0430000000000001</v>
      </c>
      <c r="AI6" s="17">
        <f t="shared" si="0"/>
        <v>0.15107005369448437</v>
      </c>
      <c r="AJ6" s="17">
        <f t="shared" si="0"/>
        <v>0.18891544017214637</v>
      </c>
      <c r="AK6" s="17">
        <f t="shared" si="0"/>
        <v>0.22110128538225882</v>
      </c>
      <c r="AL6" s="17">
        <f t="shared" si="0"/>
        <v>9.2612734991920878</v>
      </c>
      <c r="AM6" s="17">
        <f t="shared" si="0"/>
        <v>9.4663281137267568</v>
      </c>
      <c r="AN6" s="17">
        <f t="shared" si="0"/>
        <v>9.6156872894792524</v>
      </c>
    </row>
    <row r="7" spans="1:40" s="1" customFormat="1" ht="15.5" thickTop="1" thickBot="1" x14ac:dyDescent="0.4">
      <c r="A7" s="5" t="str">
        <f>SBOSCA!A7</f>
        <v>2022Q4</v>
      </c>
      <c r="B7" s="2">
        <f>SUM(SBOSCA!B7,MCBTCA!B7,ICICCA!B7,HKBCCA!B7,CUCXCA!B7,BOFMCA!B7,BOFACA!B7,BNPACA!B7,BNDCCA!B7,BLCMCA!B7,BCANCA!B7,ATBRCA!B7,CCDQCA!B7,CIBCCA!B7,NOSCCA!B7,TDOMCA!B7,ROYCCA!B7)</f>
        <v>3986.076</v>
      </c>
      <c r="C7" s="3">
        <f>SUM(SBOSCA!C7,MCBTCA!C7,ICICCA!C7,HKBCCA!C7,CUCXCA!C7,BOFMCA!C7,BOFACA!C7,BNPACA!C7,BNDCCA!C7,BLCMCA!C7,BCANCA!C7,ATBRCA!C7,CCDQCA!C7,CIBCCA!C7,NOSCCA!C7,TDOMCA!C7,ROYCCA!C7)</f>
        <v>4468.415</v>
      </c>
      <c r="D7" s="2">
        <f>SUM(SBOSCA!D7,MCBTCA!D7,ICICCA!D7,HKBCCA!D7,CUCXCA!D7,BOFMCA!D7,BOFACA!D7,BNPACA!D7,BNDCCA!D7,BLCMCA!D7,BCANCA!D7,ATBRCA!D7,CCDQCA!D7,CIBCCA!D7,NOSCCA!D7,TDOMCA!D7,ROYCCA!D7)</f>
        <v>4950.7539999999999</v>
      </c>
      <c r="E7" s="2">
        <f>SUM(SBOSCA!E7,MCBTCA!E7,ICICCA!E7,HKBCCA!E7,CUCXCA!E7,BOFMCA!E7,BOFACA!E7,BNPACA!E7,BNDCCA!E7,BLCMCA!E7,BCANCA!E7,ATBRCA!E7,CCDQCA!E7,CIBCCA!E7,NOSCCA!E7,TDOMCA!E7,ROYCCA!E7)</f>
        <v>44276.135999999999</v>
      </c>
      <c r="F7" s="3">
        <f>SUM(SBOSCA!F7,MCBTCA!F7,ICICCA!F7,HKBCCA!F7,CUCXCA!F7,BOFMCA!F7,BOFACA!F7,BNPACA!F7,BNDCCA!F7,BLCMCA!F7,BCANCA!F7,ATBRCA!F7,CCDQCA!F7,CIBCCA!F7,NOSCCA!F7,TDOMCA!F7,ROYCCA!F7)</f>
        <v>61566.388000000006</v>
      </c>
      <c r="G7" s="2">
        <f>SUM(SBOSCA!G7,MCBTCA!G7,ICICCA!G7,HKBCCA!G7,CUCXCA!G7,BOFMCA!G7,BOFACA!G7,BNPACA!G7,BNDCCA!G7,BLCMCA!G7,BCANCA!G7,ATBRCA!G7,CCDQCA!G7,CIBCCA!G7,NOSCCA!G7,TDOMCA!G7,ROYCCA!G7)</f>
        <v>78856.635999999999</v>
      </c>
      <c r="H7" s="16">
        <v>2020</v>
      </c>
      <c r="I7" s="1">
        <f>SUM(F13:F16)</f>
        <v>263778.10700000002</v>
      </c>
      <c r="K7" s="19" t="str">
        <f t="shared" si="1"/>
        <v>2022Q4</v>
      </c>
      <c r="L7" s="20">
        <f>ROUND(LN(Totals!B7/'Porfolio Forecast'!B7),4)</f>
        <v>-3.0300000000000001E-2</v>
      </c>
      <c r="M7" s="21">
        <f>ROUND(LN(Totals!C7/'Porfolio Forecast'!C7),4)</f>
        <v>-1.0999999999999999E-2</v>
      </c>
      <c r="N7" s="20">
        <f>ROUND(LN(Totals!D7/'Porfolio Forecast'!D7),4)</f>
        <v>4.7000000000000002E-3</v>
      </c>
      <c r="O7" s="20">
        <f>ROUND(LN(Totals!E7/'Porfolio Forecast'!E7),4)</f>
        <v>-0.10580000000000001</v>
      </c>
      <c r="P7" s="21">
        <f>ROUND(LN(Totals!F7/'Porfolio Forecast'!F7),4)</f>
        <v>-3.0700000000000002E-2</v>
      </c>
      <c r="Q7" s="20">
        <f>ROUND(LN(Totals!G7/'Porfolio Forecast'!G7),4)</f>
        <v>1.4E-2</v>
      </c>
      <c r="AB7" s="1">
        <v>3689.87</v>
      </c>
      <c r="AC7" s="1">
        <v>3945.4090000000001</v>
      </c>
      <c r="AD7" s="1">
        <v>4200.95</v>
      </c>
      <c r="AE7" s="1">
        <v>4.3719999999999999</v>
      </c>
      <c r="AF7" s="1">
        <v>4.7249999999999996</v>
      </c>
      <c r="AG7" s="1">
        <v>5.0780000000000003</v>
      </c>
      <c r="AI7" s="17">
        <f t="shared" si="0"/>
        <v>7.7216061262873711E-2</v>
      </c>
      <c r="AJ7" s="17">
        <f t="shared" si="0"/>
        <v>0.12448113515264021</v>
      </c>
      <c r="AK7" s="17">
        <f t="shared" si="0"/>
        <v>0.16422919802461239</v>
      </c>
      <c r="AL7" s="17">
        <f t="shared" si="0"/>
        <v>9.2229805498280264</v>
      </c>
      <c r="AM7" s="17">
        <f t="shared" si="0"/>
        <v>9.4750037903044735</v>
      </c>
      <c r="AN7" s="17">
        <f t="shared" si="0"/>
        <v>9.6504692653645439</v>
      </c>
    </row>
    <row r="8" spans="1:40" s="1" customFormat="1" ht="15.5" thickTop="1" thickBot="1" x14ac:dyDescent="0.4">
      <c r="A8" s="5" t="str">
        <f>SBOSCA!A8</f>
        <v>2023Q1</v>
      </c>
      <c r="B8" s="2">
        <f>SUM(SBOSCA!B8,MCBTCA!B8,ICICCA!B8,HKBCCA!B8,CUCXCA!B8,BOFMCA!B8,BOFACA!B8,BNPACA!B8,BNDCCA!B8,BLCMCA!B8,BCANCA!B8,ATBRCA!B8,CCDQCA!B8,CIBCCA!B8,NOSCCA!B8,TDOMCA!B8,ROYCCA!B8)</f>
        <v>3691.4780000000001</v>
      </c>
      <c r="C8" s="3">
        <f>SUM(SBOSCA!C8,MCBTCA!C8,ICICCA!C8,HKBCCA!C8,CUCXCA!C8,BOFMCA!C8,BOFACA!C8,BNPACA!C8,BNDCCA!C8,BLCMCA!C8,BCANCA!C8,ATBRCA!C8,CCDQCA!C8,CIBCCA!C8,NOSCCA!C8,TDOMCA!C8,ROYCCA!C8)</f>
        <v>4206.4360000000006</v>
      </c>
      <c r="D8" s="2">
        <f>SUM(SBOSCA!D8,MCBTCA!D8,ICICCA!D8,HKBCCA!D8,CUCXCA!D8,BOFMCA!D8,BOFACA!D8,BNPACA!D8,BNDCCA!D8,BLCMCA!D8,BCANCA!D8,ATBRCA!D8,CCDQCA!D8,CIBCCA!D8,NOSCCA!D8,TDOMCA!D8,ROYCCA!D8)</f>
        <v>4721.3969999999999</v>
      </c>
      <c r="E8" s="2">
        <f>SUM(SBOSCA!E8,MCBTCA!E8,ICICCA!E8,HKBCCA!E8,CUCXCA!E8,BOFMCA!E8,BOFACA!E8,BNPACA!E8,BNDCCA!E8,BLCMCA!E8,BCANCA!E8,ATBRCA!E8,CCDQCA!E8,CIBCCA!E8,NOSCCA!E8,TDOMCA!E8,ROYCCA!E8)</f>
        <v>42684.349999999991</v>
      </c>
      <c r="F8" s="3">
        <f>SUM(SBOSCA!F8,MCBTCA!F8,ICICCA!F8,HKBCCA!F8,CUCXCA!F8,BOFMCA!F8,BOFACA!F8,BNPACA!F8,BNDCCA!F8,BLCMCA!F8,BCANCA!F8,ATBRCA!F8,CCDQCA!F8,CIBCCA!F8,NOSCCA!F8,TDOMCA!F8,ROYCCA!F8)</f>
        <v>62163.290999999997</v>
      </c>
      <c r="G8" s="2">
        <f>SUM(SBOSCA!G8,MCBTCA!G8,ICICCA!G8,HKBCCA!G8,CUCXCA!G8,BOFMCA!G8,BOFACA!G8,BNPACA!G8,BNDCCA!G8,BLCMCA!G8,BCANCA!G8,ATBRCA!G8,CCDQCA!G8,CIBCCA!G8,NOSCCA!G8,TDOMCA!G8,ROYCCA!G8)</f>
        <v>81642.228000000003</v>
      </c>
      <c r="H8" s="1">
        <v>2021</v>
      </c>
      <c r="I8" s="1">
        <f>SUM(F17:F20)</f>
        <v>272796.79800000001</v>
      </c>
      <c r="K8" s="19" t="str">
        <f t="shared" si="1"/>
        <v>2023Q1</v>
      </c>
      <c r="L8" s="20">
        <f>ROUND(LN(Totals!B8/'Porfolio Forecast'!B8),4)</f>
        <v>-3.4000000000000002E-2</v>
      </c>
      <c r="M8" s="21">
        <f>ROUND(LN(Totals!C8/'Porfolio Forecast'!C8),4)</f>
        <v>-1.34E-2</v>
      </c>
      <c r="N8" s="20">
        <f>ROUND(LN(Totals!D8/'Porfolio Forecast'!D8),4)</f>
        <v>3.0000000000000001E-3</v>
      </c>
      <c r="O8" s="20">
        <f>ROUND(LN(Totals!E8/'Porfolio Forecast'!E8),4)</f>
        <v>-0.1225</v>
      </c>
      <c r="P8" s="21">
        <f>ROUND(LN(Totals!F8/'Porfolio Forecast'!F8),4)</f>
        <v>-3.1899999999999998E-2</v>
      </c>
      <c r="Q8" s="20">
        <f>ROUND(LN(Totals!G8/'Porfolio Forecast'!G8),4)</f>
        <v>1.9E-2</v>
      </c>
      <c r="AB8" s="1">
        <v>3660.1750000000002</v>
      </c>
      <c r="AC8" s="1">
        <v>3934.6090000000004</v>
      </c>
      <c r="AD8" s="1">
        <v>4209.0460000000003</v>
      </c>
      <c r="AE8" s="1">
        <v>4.3809999999999993</v>
      </c>
      <c r="AF8" s="1">
        <v>4.7610000000000001</v>
      </c>
      <c r="AG8" s="1">
        <v>5.1429999999999998</v>
      </c>
      <c r="AI8" s="17">
        <f t="shared" si="0"/>
        <v>8.5159593844581927E-3</v>
      </c>
      <c r="AJ8" s="17">
        <f t="shared" si="0"/>
        <v>6.6804221087691171E-2</v>
      </c>
      <c r="AK8" s="17">
        <f t="shared" si="0"/>
        <v>0.11486871169143927</v>
      </c>
      <c r="AL8" s="17">
        <f t="shared" si="0"/>
        <v>9.184310612664909</v>
      </c>
      <c r="AM8" s="17">
        <f t="shared" si="0"/>
        <v>9.4770621974431055</v>
      </c>
      <c r="AN8" s="17">
        <f t="shared" si="0"/>
        <v>9.6724653403024732</v>
      </c>
    </row>
    <row r="9" spans="1:40" s="1" customFormat="1" ht="15.5" thickTop="1" thickBot="1" x14ac:dyDescent="0.4">
      <c r="A9" s="5" t="str">
        <f>SBOSCA!A9</f>
        <v>2023Q2</v>
      </c>
      <c r="B9" s="2">
        <f>SUM(SBOSCA!B9,MCBTCA!B9,ICICCA!B9,HKBCCA!B9,CUCXCA!B9,BOFMCA!B9,BOFACA!B9,BNPACA!B9,BNDCCA!B9,BLCMCA!B9,BCANCA!B9,ATBRCA!B9,CCDQCA!B9,CIBCCA!B9,NOSCCA!B9,TDOMCA!B9,ROYCCA!B9)</f>
        <v>3927.748</v>
      </c>
      <c r="C9" s="3">
        <f>SUM(SBOSCA!C9,MCBTCA!C9,ICICCA!C9,HKBCCA!C9,CUCXCA!C9,BOFMCA!C9,BOFACA!C9,BNPACA!C9,BNDCCA!C9,BLCMCA!C9,BCANCA!C9,ATBRCA!C9,CCDQCA!C9,CIBCCA!C9,NOSCCA!C9,TDOMCA!C9,ROYCCA!C9)</f>
        <v>4468.3309999999992</v>
      </c>
      <c r="D9" s="2">
        <f>SUM(SBOSCA!D9,MCBTCA!D9,ICICCA!D9,HKBCCA!D9,CUCXCA!D9,BOFMCA!D9,BOFACA!D9,BNPACA!D9,BNDCCA!D9,BLCMCA!D9,BCANCA!D9,ATBRCA!D9,CCDQCA!D9,CIBCCA!D9,NOSCCA!D9,TDOMCA!D9,ROYCCA!D9)</f>
        <v>5008.9120000000003</v>
      </c>
      <c r="E9" s="2">
        <f>SUM(SBOSCA!E9,MCBTCA!E9,ICICCA!E9,HKBCCA!E9,CUCXCA!E9,BOFMCA!E9,BOFACA!E9,BNPACA!E9,BNDCCA!E9,BLCMCA!E9,BCANCA!E9,ATBRCA!E9,CCDQCA!E9,CIBCCA!E9,NOSCCA!E9,TDOMCA!E9,ROYCCA!E9)</f>
        <v>41865.748</v>
      </c>
      <c r="F9" s="3">
        <f>SUM(SBOSCA!F9,MCBTCA!F9,ICICCA!F9,HKBCCA!F9,CUCXCA!F9,BOFMCA!F9,BOFACA!F9,BNPACA!F9,BNDCCA!F9,BLCMCA!F9,BCANCA!F9,ATBRCA!F9,CCDQCA!F9,CIBCCA!F9,NOSCCA!F9,TDOMCA!F9,ROYCCA!F9)</f>
        <v>63359.474000000002</v>
      </c>
      <c r="G9" s="2">
        <f>SUM(SBOSCA!G9,MCBTCA!G9,ICICCA!G9,HKBCCA!G9,CUCXCA!G9,BOFMCA!G9,BOFACA!G9,BNPACA!G9,BNDCCA!G9,BLCMCA!G9,BCANCA!G9,ATBRCA!G9,CCDQCA!G9,CIBCCA!G9,NOSCCA!G9,TDOMCA!G9,ROYCCA!G9)</f>
        <v>84853.203000000009</v>
      </c>
      <c r="H9" s="1">
        <v>2022</v>
      </c>
      <c r="I9" s="1">
        <f>SUM(F21:F24)</f>
        <v>281816.13199999998</v>
      </c>
      <c r="K9" s="19" t="str">
        <f t="shared" si="1"/>
        <v>2023Q2</v>
      </c>
      <c r="L9" s="20">
        <f>ROUND(LN(Totals!B9/'Porfolio Forecast'!B9),4)</f>
        <v>-3.5900000000000001E-2</v>
      </c>
      <c r="M9" s="21">
        <f>ROUND(LN(Totals!C9/'Porfolio Forecast'!C9),4)</f>
        <v>-1.66E-2</v>
      </c>
      <c r="N9" s="20">
        <f>ROUND(LN(Totals!D9/'Porfolio Forecast'!D9),4)</f>
        <v>-1.2999999999999999E-3</v>
      </c>
      <c r="O9" s="20">
        <f>ROUND(LN(Totals!E9/'Porfolio Forecast'!E9),4)</f>
        <v>-0.13389999999999999</v>
      </c>
      <c r="P9" s="21">
        <f>ROUND(LN(Totals!F9/'Porfolio Forecast'!F9),4)</f>
        <v>-3.1899999999999998E-2</v>
      </c>
      <c r="Q9" s="20">
        <f>ROUND(LN(Totals!G9/'Porfolio Forecast'!G9),4)</f>
        <v>2.2499999999999999E-2</v>
      </c>
    </row>
    <row r="10" spans="1:40" s="1" customFormat="1" ht="15.5" thickTop="1" thickBot="1" x14ac:dyDescent="0.4">
      <c r="A10" s="5" t="str">
        <f>SBOSCA!A10</f>
        <v>2023Q3</v>
      </c>
      <c r="B10" s="2">
        <f>SUM(SBOSCA!B10,MCBTCA!B10,ICICCA!B10,HKBCCA!B10,CUCXCA!B10,BOFMCA!B10,BOFACA!B10,BNPACA!B10,BNDCCA!B10,BLCMCA!B10,BCANCA!B10,ATBRCA!B10,CCDQCA!B10,CIBCCA!B10,NOSCCA!B10,TDOMCA!B10,ROYCCA!B10)</f>
        <v>3891.2620000000006</v>
      </c>
      <c r="C10" s="3">
        <f>SUM(SBOSCA!C10,MCBTCA!C10,ICICCA!C10,HKBCCA!C10,CUCXCA!C10,BOFMCA!C10,BOFACA!C10,BNPACA!C10,BNDCCA!C10,BLCMCA!C10,BCANCA!C10,ATBRCA!C10,CCDQCA!C10,CIBCCA!C10,NOSCCA!C10,TDOMCA!C10,ROYCCA!C10)</f>
        <v>4452.4430000000002</v>
      </c>
      <c r="D10" s="2">
        <f>SUM(SBOSCA!D10,MCBTCA!D10,ICICCA!D10,HKBCCA!D10,CUCXCA!D10,BOFMCA!D10,BOFACA!D10,BNPACA!D10,BNDCCA!D10,BLCMCA!D10,BCANCA!D10,ATBRCA!D10,CCDQCA!D10,CIBCCA!D10,NOSCCA!D10,TDOMCA!D10,ROYCCA!D10)</f>
        <v>5013.6220000000003</v>
      </c>
      <c r="E10" s="2">
        <f>SUM(SBOSCA!E10,MCBTCA!E10,ICICCA!E10,HKBCCA!E10,CUCXCA!E10,BOFMCA!E10,BOFACA!E10,BNPACA!E10,BNDCCA!E10,BLCMCA!E10,BCANCA!E10,ATBRCA!E10,CCDQCA!E10,CIBCCA!E10,NOSCCA!E10,TDOMCA!E10,ROYCCA!E10)</f>
        <v>39882.86</v>
      </c>
      <c r="F10" s="3">
        <f>SUM(SBOSCA!F10,MCBTCA!F10,ICICCA!F10,HKBCCA!F10,CUCXCA!F10,BOFMCA!F10,BOFACA!F10,BNPACA!F10,BNDCCA!F10,BLCMCA!F10,BCANCA!F10,ATBRCA!F10,CCDQCA!F10,CIBCCA!F10,NOSCCA!F10,TDOMCA!F10,ROYCCA!F10)</f>
        <v>63196.733999999997</v>
      </c>
      <c r="G10" s="2">
        <f>SUM(SBOSCA!G10,MCBTCA!G10,ICICCA!G10,HKBCCA!G10,CUCXCA!G10,BOFMCA!G10,BOFACA!G10,BNPACA!G10,BNDCCA!G10,BLCMCA!G10,BCANCA!G10,ATBRCA!G10,CCDQCA!G10,CIBCCA!G10,NOSCCA!G10,TDOMCA!G10,ROYCCA!G10)</f>
        <v>86510.608000000007</v>
      </c>
      <c r="H10" s="1">
        <v>2023</v>
      </c>
      <c r="I10" s="1">
        <f>SUM(F25:F28)</f>
        <v>290835.53999999998</v>
      </c>
      <c r="K10" s="19" t="str">
        <f t="shared" si="1"/>
        <v>2023Q3</v>
      </c>
      <c r="L10" s="20">
        <f>ROUND(LN(Totals!B10/'Porfolio Forecast'!B10),4)</f>
        <v>-3.2099999999999997E-2</v>
      </c>
      <c r="M10" s="21">
        <f>ROUND(LN(Totals!C10/'Porfolio Forecast'!C10),4)</f>
        <v>-1.37E-2</v>
      </c>
      <c r="N10" s="20">
        <f>ROUND(LN(Totals!D10/'Porfolio Forecast'!D10),4)</f>
        <v>8.9999999999999998E-4</v>
      </c>
      <c r="O10" s="20">
        <f>ROUND(LN(Totals!E10/'Porfolio Forecast'!E10),4)</f>
        <v>-0.1492</v>
      </c>
      <c r="P10" s="21">
        <f>ROUND(LN(Totals!F10/'Porfolio Forecast'!F10),4)</f>
        <v>-3.2199999999999999E-2</v>
      </c>
      <c r="Q10" s="20">
        <f>ROUND(LN(Totals!G10/'Porfolio Forecast'!G10),4)</f>
        <v>2.6700000000000002E-2</v>
      </c>
    </row>
    <row r="11" spans="1:40" s="1" customFormat="1" ht="15.5" thickTop="1" thickBot="1" x14ac:dyDescent="0.4">
      <c r="A11" s="5" t="str">
        <f>SBOSCA!A11</f>
        <v>2023Q4</v>
      </c>
      <c r="B11" s="2">
        <f>SUM(SBOSCA!B11,MCBTCA!B11,ICICCA!B11,HKBCCA!B11,CUCXCA!B11,BOFMCA!B11,BOFACA!B11,BNPACA!B11,BNDCCA!B11,BLCMCA!B11,BCANCA!B11,ATBRCA!B11,CCDQCA!B11,CIBCCA!B11,NOSCCA!B11,TDOMCA!B11,ROYCCA!B11)</f>
        <v>3879.4009999999998</v>
      </c>
      <c r="C11" s="3">
        <f>SUM(SBOSCA!C11,MCBTCA!C11,ICICCA!C11,HKBCCA!C11,CUCXCA!C11,BOFMCA!C11,BOFACA!C11,BNPACA!C11,BNDCCA!C11,BLCMCA!C11,BCANCA!C11,ATBRCA!C11,CCDQCA!C11,CIBCCA!C11,NOSCCA!C11,TDOMCA!C11,ROYCCA!C11)</f>
        <v>4457.451</v>
      </c>
      <c r="D11" s="2">
        <f>SUM(SBOSCA!D11,MCBTCA!D11,ICICCA!D11,HKBCCA!D11,CUCXCA!D11,BOFMCA!D11,BOFACA!D11,BNPACA!D11,BNDCCA!D11,BLCMCA!D11,BCANCA!D11,ATBRCA!D11,CCDQCA!D11,CIBCCA!D11,NOSCCA!D11,TDOMCA!D11,ROYCCA!D11)</f>
        <v>5035.5</v>
      </c>
      <c r="E11" s="2">
        <f>SUM(SBOSCA!E11,MCBTCA!E11,ICICCA!E11,HKBCCA!E11,CUCXCA!E11,BOFMCA!E11,BOFACA!E11,BNPACA!E11,BNDCCA!E11,BLCMCA!E11,BCANCA!E11,ATBRCA!E11,CCDQCA!E11,CIBCCA!E11,NOSCCA!E11,TDOMCA!E11,ROYCCA!E11)</f>
        <v>38783.826000000008</v>
      </c>
      <c r="F11" s="3">
        <f>SUM(SBOSCA!F11,MCBTCA!F11,ICICCA!F11,HKBCCA!F11,CUCXCA!F11,BOFMCA!F11,BOFACA!F11,BNPACA!F11,BNDCCA!F11,BLCMCA!F11,BCANCA!F11,ATBRCA!F11,CCDQCA!F11,CIBCCA!F11,NOSCCA!F11,TDOMCA!F11,ROYCCA!F11)</f>
        <v>63798.686999999991</v>
      </c>
      <c r="G11" s="2">
        <f>SUM(SBOSCA!G11,MCBTCA!G11,ICICCA!G11,HKBCCA!G11,CUCXCA!G11,BOFMCA!G11,BOFACA!G11,BNPACA!G11,BNDCCA!G11,BLCMCA!G11,BCANCA!G11,ATBRCA!G11,CCDQCA!G11,CIBCCA!G11,NOSCCA!G11,TDOMCA!G11,ROYCCA!G11)</f>
        <v>88813.551000000007</v>
      </c>
      <c r="H11" s="1">
        <v>2024</v>
      </c>
      <c r="I11" s="1">
        <f>SUM(F29:F32)</f>
        <v>299854.97499999998</v>
      </c>
      <c r="K11" s="19" t="str">
        <f t="shared" si="1"/>
        <v>2023Q4</v>
      </c>
      <c r="L11" s="20">
        <f>ROUND(LN(Totals!B11/'Porfolio Forecast'!B11),4)</f>
        <v>-3.2300000000000002E-2</v>
      </c>
      <c r="M11" s="21">
        <f>ROUND(LN(Totals!C11/'Porfolio Forecast'!C11),4)</f>
        <v>-1.44E-2</v>
      </c>
      <c r="N11" s="20">
        <f>ROUND(LN(Totals!D11/'Porfolio Forecast'!D11),4)</f>
        <v>-2.9999999999999997E-4</v>
      </c>
      <c r="O11" s="20">
        <f>ROUND(LN(Totals!E11/'Porfolio Forecast'!E11),4)</f>
        <v>-0.16</v>
      </c>
      <c r="P11" s="21">
        <f>ROUND(LN(Totals!F11/'Porfolio Forecast'!F11),4)</f>
        <v>-3.1399999999999997E-2</v>
      </c>
      <c r="Q11" s="20">
        <f>ROUND(LN(Totals!G11/'Porfolio Forecast'!G11),4)</f>
        <v>3.04E-2</v>
      </c>
    </row>
    <row r="12" spans="1:40" s="1" customFormat="1" ht="15.5" thickTop="1" thickBot="1" x14ac:dyDescent="0.4">
      <c r="A12" s="5" t="str">
        <f>SBOSCA!A12</f>
        <v>2024Q1</v>
      </c>
      <c r="B12" s="2">
        <f>SUM(SBOSCA!B12,MCBTCA!B12,ICICCA!B12,HKBCCA!B12,CUCXCA!B12,BOFMCA!B12,BOFACA!B12,BNPACA!B12,BNDCCA!B12,BLCMCA!B12,BCANCA!B12,ATBRCA!B12,CCDQCA!B12,CIBCCA!B12,NOSCCA!B12,TDOMCA!B12,ROYCCA!B12)</f>
        <v>3614.6500000000005</v>
      </c>
      <c r="C12" s="3">
        <f>SUM(SBOSCA!C12,MCBTCA!C12,ICICCA!C12,HKBCCA!C12,CUCXCA!C12,BOFMCA!C12,BOFACA!C12,BNPACA!C12,BNDCCA!C12,BLCMCA!C12,BCANCA!C12,ATBRCA!C12,CCDQCA!C12,CIBCCA!C12,NOSCCA!C12,TDOMCA!C12,ROYCCA!C12)</f>
        <v>4206.7300000000005</v>
      </c>
      <c r="D12" s="2">
        <f>SUM(SBOSCA!D12,MCBTCA!D12,ICICCA!D12,HKBCCA!D12,CUCXCA!D12,BOFMCA!D12,BOFACA!D12,BNPACA!D12,BNDCCA!D12,BLCMCA!D12,BCANCA!D12,ATBRCA!D12,CCDQCA!D12,CIBCCA!D12,NOSCCA!D12,TDOMCA!D12,ROYCCA!D12)</f>
        <v>4798.8059999999996</v>
      </c>
      <c r="E12" s="2">
        <f>SUM(SBOSCA!E12,MCBTCA!E12,ICICCA!E12,HKBCCA!E12,CUCXCA!E12,BOFMCA!E12,BOFACA!E12,BNPACA!E12,BNDCCA!E12,BLCMCA!E12,BCANCA!E12,ATBRCA!E12,CCDQCA!E12,CIBCCA!E12,NOSCCA!E12,TDOMCA!E12,ROYCCA!E12)</f>
        <v>37813.53</v>
      </c>
      <c r="F12" s="3">
        <f>SUM(SBOSCA!F12,MCBTCA!F12,ICICCA!F12,HKBCCA!F12,CUCXCA!F12,BOFMCA!F12,BOFACA!F12,BNPACA!F12,BNDCCA!F12,BLCMCA!F12,BCANCA!F12,ATBRCA!F12,CCDQCA!F12,CIBCCA!F12,NOSCCA!F12,TDOMCA!F12,ROYCCA!F12)</f>
        <v>64412.955000000009</v>
      </c>
      <c r="G12" s="2">
        <f>SUM(SBOSCA!G12,MCBTCA!G12,ICICCA!G12,HKBCCA!G12,CUCXCA!G12,BOFMCA!G12,BOFACA!G12,BNPACA!G12,BNDCCA!G12,BLCMCA!G12,BCANCA!G12,ATBRCA!G12,CCDQCA!G12,CIBCCA!G12,NOSCCA!G12,TDOMCA!G12,ROYCCA!G12)</f>
        <v>91012.381999999998</v>
      </c>
      <c r="K12" s="19" t="str">
        <f t="shared" si="1"/>
        <v>2024Q1</v>
      </c>
      <c r="L12" s="20">
        <f>ROUND(LN(Totals!B12/'Porfolio Forecast'!B12),4)</f>
        <v>-3.4299999999999997E-2</v>
      </c>
      <c r="M12" s="21">
        <f>ROUND(LN(Totals!C12/'Porfolio Forecast'!C12),4)</f>
        <v>-1.55E-2</v>
      </c>
      <c r="N12" s="20">
        <f>ROUND(LN(Totals!D12/'Porfolio Forecast'!D12),4)</f>
        <v>-1.1000000000000001E-3</v>
      </c>
      <c r="O12" s="20">
        <f>ROUND(LN(Totals!E12/'Porfolio Forecast'!E12),4)</f>
        <v>-0.17330000000000001</v>
      </c>
      <c r="P12" s="21">
        <f>ROUND(LN(Totals!F12/'Porfolio Forecast'!F12),4)</f>
        <v>-3.2399999999999998E-2</v>
      </c>
      <c r="Q12" s="20">
        <f>ROUND(LN(Totals!G12/'Porfolio Forecast'!G12),4)</f>
        <v>3.2500000000000001E-2</v>
      </c>
    </row>
    <row r="13" spans="1:40" s="1" customFormat="1" ht="15.5" thickTop="1" thickBot="1" x14ac:dyDescent="0.4">
      <c r="A13" s="5" t="str">
        <f>SBOSCA!A13</f>
        <v>2024Q2</v>
      </c>
      <c r="B13" s="2">
        <f>SUM(SBOSCA!B13,MCBTCA!B13,ICICCA!B13,HKBCCA!B13,CUCXCA!B13,BOFMCA!B13,BOFACA!B13,BNPACA!B13,BNDCCA!B13,BLCMCA!B13,BCANCA!B13,ATBRCA!B13,CCDQCA!B13,CIBCCA!B13,NOSCCA!B13,TDOMCA!B13,ROYCCA!B13)</f>
        <v>3874.5010000000002</v>
      </c>
      <c r="C13" s="3">
        <f>SUM(SBOSCA!C13,MCBTCA!C13,ICICCA!C13,HKBCCA!C13,CUCXCA!C13,BOFMCA!C13,BOFACA!C13,BNPACA!C13,BNDCCA!C13,BLCMCA!C13,BCANCA!C13,ATBRCA!C13,CCDQCA!C13,CIBCCA!C13,NOSCCA!C13,TDOMCA!C13,ROYCCA!C13)</f>
        <v>4478.4039999999995</v>
      </c>
      <c r="D13" s="2">
        <f>SUM(SBOSCA!D13,MCBTCA!D13,ICICCA!D13,HKBCCA!D13,CUCXCA!D13,BOFMCA!D13,BOFACA!D13,BNPACA!D13,BNDCCA!D13,BLCMCA!D13,BCANCA!D13,ATBRCA!D13,CCDQCA!D13,CIBCCA!D13,NOSCCA!D13,TDOMCA!D13,ROYCCA!D13)</f>
        <v>5082.3090000000002</v>
      </c>
      <c r="E13" s="2">
        <f>SUM(SBOSCA!E13,MCBTCA!E13,ICICCA!E13,HKBCCA!E13,CUCXCA!E13,BOFMCA!E13,BOFACA!E13,BNPACA!E13,BNDCCA!E13,BLCMCA!E13,BCANCA!E13,ATBRCA!E13,CCDQCA!E13,CIBCCA!E13,NOSCCA!E13,TDOMCA!E13,ROYCCA!E13)</f>
        <v>37509.132000000005</v>
      </c>
      <c r="F13" s="3">
        <f>SUM(SBOSCA!F13,MCBTCA!F13,ICICCA!F13,HKBCCA!F13,CUCXCA!F13,BOFMCA!F13,BOFACA!F13,BNPACA!F13,BNDCCA!F13,BLCMCA!F13,BCANCA!F13,ATBRCA!F13,CCDQCA!F13,CIBCCA!F13,NOSCCA!F13,TDOMCA!F13,ROYCCA!F13)</f>
        <v>65608.59599999999</v>
      </c>
      <c r="G13" s="2">
        <f>SUM(SBOSCA!G13,MCBTCA!G13,ICICCA!G13,HKBCCA!G13,CUCXCA!G13,BOFMCA!G13,BOFACA!G13,BNPACA!G13,BNDCCA!G13,BLCMCA!G13,BCANCA!G13,ATBRCA!G13,CCDQCA!G13,CIBCCA!G13,NOSCCA!G13,TDOMCA!G13,ROYCCA!G13)</f>
        <v>93708.061000000002</v>
      </c>
      <c r="K13" s="19" t="str">
        <f t="shared" si="1"/>
        <v>2024Q2</v>
      </c>
      <c r="L13" s="20">
        <f>ROUND(LN(Totals!B13/'Porfolio Forecast'!B13),4)</f>
        <v>-3.4799999999999998E-2</v>
      </c>
      <c r="M13" s="21">
        <f>ROUND(LN(Totals!C13/'Porfolio Forecast'!C13),4)</f>
        <v>-1.7500000000000002E-2</v>
      </c>
      <c r="N13" s="20">
        <f>ROUND(LN(Totals!D13/'Porfolio Forecast'!D13),4)</f>
        <v>-4.1000000000000003E-3</v>
      </c>
      <c r="O13" s="20">
        <f>ROUND(LN(Totals!E13/'Porfolio Forecast'!E13),4)</f>
        <v>-0.18210000000000001</v>
      </c>
      <c r="P13" s="21">
        <f>ROUND(LN(Totals!F13/'Porfolio Forecast'!F13),4)</f>
        <v>-3.2300000000000002E-2</v>
      </c>
      <c r="Q13" s="20">
        <f>ROUND(LN(Totals!G13/'Porfolio Forecast'!G13),4)</f>
        <v>3.4500000000000003E-2</v>
      </c>
    </row>
    <row r="14" spans="1:40" s="1" customFormat="1" ht="15.5" thickTop="1" thickBot="1" x14ac:dyDescent="0.4">
      <c r="A14" s="5" t="str">
        <f>SBOSCA!A14</f>
        <v>2024Q3</v>
      </c>
      <c r="B14" s="2">
        <f>SUM(SBOSCA!B14,MCBTCA!B14,ICICCA!B14,HKBCCA!B14,CUCXCA!B14,BOFMCA!B14,BOFACA!B14,BNPACA!B14,BNDCCA!B14,BLCMCA!B14,BCANCA!B14,ATBRCA!B14,CCDQCA!B14,CIBCCA!B14,NOSCCA!B14,TDOMCA!B14,ROYCCA!B14)</f>
        <v>3857.0399999999995</v>
      </c>
      <c r="C14" s="3">
        <f>SUM(SBOSCA!C14,MCBTCA!C14,ICICCA!C14,HKBCCA!C14,CUCXCA!C14,BOFMCA!C14,BOFACA!C14,BNPACA!C14,BNDCCA!C14,BLCMCA!C14,BCANCA!C14,ATBRCA!C14,CCDQCA!C14,CIBCCA!C14,NOSCCA!C14,TDOMCA!C14,ROYCCA!C14)</f>
        <v>4471.0320000000002</v>
      </c>
      <c r="D14" s="2">
        <f>SUM(SBOSCA!D14,MCBTCA!D14,ICICCA!D14,HKBCCA!D14,CUCXCA!D14,BOFMCA!D14,BOFACA!D14,BNPACA!D14,BNDCCA!D14,BLCMCA!D14,BCANCA!D14,ATBRCA!D14,CCDQCA!D14,CIBCCA!D14,NOSCCA!D14,TDOMCA!D14,ROYCCA!D14)</f>
        <v>5085.0219999999999</v>
      </c>
      <c r="E14" s="2">
        <f>SUM(SBOSCA!E14,MCBTCA!E14,ICICCA!E14,HKBCCA!E14,CUCXCA!E14,BOFMCA!E14,BOFACA!E14,BNPACA!E14,BNDCCA!E14,BLCMCA!E14,BCANCA!E14,ATBRCA!E14,CCDQCA!E14,CIBCCA!E14,NOSCCA!E14,TDOMCA!E14,ROYCCA!E14)</f>
        <v>35930.593999999997</v>
      </c>
      <c r="F14" s="3">
        <f>SUM(SBOSCA!F14,MCBTCA!F14,ICICCA!F14,HKBCCA!F14,CUCXCA!F14,BOFMCA!F14,BOFACA!F14,BNPACA!F14,BNDCCA!F14,BLCMCA!F14,BCANCA!F14,ATBRCA!F14,CCDQCA!F14,CIBCCA!F14,NOSCCA!F14,TDOMCA!F14,ROYCCA!F14)</f>
        <v>65450.108</v>
      </c>
      <c r="G14" s="2">
        <f>SUM(SBOSCA!G14,MCBTCA!G14,ICICCA!G14,HKBCCA!G14,CUCXCA!G14,BOFMCA!G14,BOFACA!G14,BNPACA!G14,BNDCCA!G14,BLCMCA!G14,BCANCA!G14,ATBRCA!G14,CCDQCA!G14,CIBCCA!G14,NOSCCA!G14,TDOMCA!G14,ROYCCA!G14)</f>
        <v>94969.622000000003</v>
      </c>
      <c r="K14" s="19" t="str">
        <f t="shared" si="1"/>
        <v>2024Q3</v>
      </c>
      <c r="L14" s="20">
        <f>ROUND(LN(Totals!B14/'Porfolio Forecast'!B14),4)</f>
        <v>-0.03</v>
      </c>
      <c r="M14" s="21">
        <f>ROUND(LN(Totals!C14/'Porfolio Forecast'!C14),4)</f>
        <v>-1.37E-2</v>
      </c>
      <c r="N14" s="20">
        <f>ROUND(LN(Totals!D14/'Porfolio Forecast'!D14),4)</f>
        <v>-1.1000000000000001E-3</v>
      </c>
      <c r="O14" s="20">
        <f>ROUND(LN(Totals!E14/'Porfolio Forecast'!E14),4)</f>
        <v>-0.1966</v>
      </c>
      <c r="P14" s="21">
        <f>ROUND(LN(Totals!F14/'Porfolio Forecast'!F14),4)</f>
        <v>-3.27E-2</v>
      </c>
      <c r="Q14" s="20">
        <f>ROUND(LN(Totals!G14/'Porfolio Forecast'!G14),4)</f>
        <v>3.7100000000000001E-2</v>
      </c>
    </row>
    <row r="15" spans="1:40" s="1" customFormat="1" ht="15.5" thickTop="1" thickBot="1" x14ac:dyDescent="0.4">
      <c r="A15" s="5" t="str">
        <f>SBOSCA!A15</f>
        <v>2024Q4</v>
      </c>
      <c r="B15" s="2">
        <f>SUM(SBOSCA!B15,MCBTCA!B15,ICICCA!B15,HKBCCA!B15,CUCXCA!B15,BOFMCA!B15,BOFACA!B15,BNPACA!B15,BNDCCA!B15,BLCMCA!B15,BCANCA!B15,ATBRCA!B15,CCDQCA!B15,CIBCCA!B15,NOSCCA!B15,TDOMCA!B15,ROYCCA!B15)</f>
        <v>3860.7819999999992</v>
      </c>
      <c r="C15" s="3">
        <f>SUM(SBOSCA!C15,MCBTCA!C15,ICICCA!C15,HKBCCA!C15,CUCXCA!C15,BOFMCA!C15,BOFACA!C15,BNPACA!C15,BNDCCA!C15,BLCMCA!C15,BCANCA!C15,ATBRCA!C15,CCDQCA!C15,CIBCCA!C15,NOSCCA!C15,TDOMCA!C15,ROYCCA!C15)</f>
        <v>4483.4619999999995</v>
      </c>
      <c r="D15" s="2">
        <f>SUM(SBOSCA!D15,MCBTCA!D15,ICICCA!D15,HKBCCA!D15,CUCXCA!D15,BOFMCA!D15,BOFACA!D15,BNPACA!D15,BNDCCA!D15,BLCMCA!D15,BCANCA!D15,ATBRCA!D15,CCDQCA!D15,CIBCCA!D15,NOSCCA!D15,TDOMCA!D15,ROYCCA!D15)</f>
        <v>5106.143</v>
      </c>
      <c r="E15" s="2">
        <f>SUM(SBOSCA!E15,MCBTCA!E15,ICICCA!E15,HKBCCA!E15,CUCXCA!E15,BOFMCA!E15,BOFACA!E15,BNPACA!E15,BNDCCA!E15,BLCMCA!E15,BCANCA!E15,ATBRCA!E15,CCDQCA!E15,CIBCCA!E15,NOSCCA!E15,TDOMCA!E15,ROYCCA!E15)</f>
        <v>35175.188999999998</v>
      </c>
      <c r="F15" s="3">
        <f>SUM(SBOSCA!F15,MCBTCA!F15,ICICCA!F15,HKBCCA!F15,CUCXCA!F15,BOFMCA!F15,BOFACA!F15,BNPACA!F15,BNDCCA!F15,BLCMCA!F15,BCANCA!F15,ATBRCA!F15,CCDQCA!F15,CIBCCA!F15,NOSCCA!F15,TDOMCA!F15,ROYCCA!F15)</f>
        <v>66051.769</v>
      </c>
      <c r="G15" s="2">
        <f>SUM(SBOSCA!G15,MCBTCA!G15,ICICCA!G15,HKBCCA!G15,CUCXCA!G15,BOFMCA!G15,BOFACA!G15,BNPACA!G15,BNDCCA!G15,BLCMCA!G15,BCANCA!G15,ATBRCA!G15,CCDQCA!G15,CIBCCA!G15,NOSCCA!G15,TDOMCA!G15,ROYCCA!G15)</f>
        <v>96928.34599999999</v>
      </c>
      <c r="K15" s="19" t="str">
        <f t="shared" si="1"/>
        <v>2024Q4</v>
      </c>
      <c r="L15" s="20">
        <f>ROUND(LN(Totals!B15/'Porfolio Forecast'!B15),4)</f>
        <v>-2.9600000000000001E-2</v>
      </c>
      <c r="M15" s="21">
        <f>ROUND(LN(Totals!C15/'Porfolio Forecast'!C15),4)</f>
        <v>-1.37E-2</v>
      </c>
      <c r="N15" s="20">
        <f>ROUND(LN(Totals!D15/'Porfolio Forecast'!D15),4)</f>
        <v>-1.5E-3</v>
      </c>
      <c r="O15" s="20">
        <f>ROUND(LN(Totals!E15/'Porfolio Forecast'!E15),4)</f>
        <v>-0.2059</v>
      </c>
      <c r="P15" s="21">
        <f>ROUND(LN(Totals!F15/'Porfolio Forecast'!F15),4)</f>
        <v>-3.1800000000000002E-2</v>
      </c>
      <c r="Q15" s="20">
        <f>ROUND(LN(Totals!G15/'Porfolio Forecast'!G15),4)</f>
        <v>3.9699999999999999E-2</v>
      </c>
    </row>
    <row r="16" spans="1:40" s="1" customFormat="1" ht="15.5" thickTop="1" thickBot="1" x14ac:dyDescent="0.4">
      <c r="A16" s="5" t="str">
        <f>SBOSCA!A16</f>
        <v>2025Q1</v>
      </c>
      <c r="B16" s="2">
        <f>SUM(SBOSCA!B16,MCBTCA!B16,ICICCA!B16,HKBCCA!B16,CUCXCA!B16,BOFMCA!B16,BOFACA!B16,BNPACA!B16,BNDCCA!B16,BLCMCA!B16,BCANCA!B16,ATBRCA!B16,CCDQCA!B16,CIBCCA!B16,NOSCCA!B16,TDOMCA!B16,ROYCCA!B16)</f>
        <v>3608.98</v>
      </c>
      <c r="C16" s="3">
        <f>SUM(SBOSCA!C16,MCBTCA!C16,ICICCA!C16,HKBCCA!C16,CUCXCA!C16,BOFMCA!C16,BOFACA!C16,BNPACA!C16,BNDCCA!C16,BLCMCA!C16,BCANCA!C16,ATBRCA!C16,CCDQCA!C16,CIBCCA!C16,NOSCCA!C16,TDOMCA!C16,ROYCCA!C16)</f>
        <v>4239.2189999999991</v>
      </c>
      <c r="D16" s="2">
        <f>SUM(SBOSCA!D16,MCBTCA!D16,ICICCA!D16,HKBCCA!D16,CUCXCA!D16,BOFMCA!D16,BOFACA!D16,BNPACA!D16,BNDCCA!D16,BLCMCA!D16,BCANCA!D16,ATBRCA!D16,CCDQCA!D16,CIBCCA!D16,NOSCCA!D16,TDOMCA!D16,ROYCCA!D16)</f>
        <v>4869.4630000000006</v>
      </c>
      <c r="E16" s="2">
        <f>SUM(SBOSCA!E16,MCBTCA!E16,ICICCA!E16,HKBCCA!E16,CUCXCA!E16,BOFMCA!E16,BOFACA!E16,BNPACA!E16,BNDCCA!E16,BLCMCA!E16,BCANCA!E16,ATBRCA!E16,CCDQCA!E16,CIBCCA!E16,NOSCCA!E16,TDOMCA!E16,ROYCCA!E16)</f>
        <v>34493.437999999995</v>
      </c>
      <c r="F16" s="3">
        <f>SUM(SBOSCA!F16,MCBTCA!F16,ICICCA!F16,HKBCCA!F16,CUCXCA!F16,BOFMCA!F16,BOFACA!F16,BNPACA!F16,BNDCCA!F16,BLCMCA!F16,BCANCA!F16,ATBRCA!F16,CCDQCA!F16,CIBCCA!F16,NOSCCA!F16,TDOMCA!F16,ROYCCA!F16)</f>
        <v>66667.634000000005</v>
      </c>
      <c r="G16" s="2">
        <f>SUM(SBOSCA!G16,MCBTCA!G16,ICICCA!G16,HKBCCA!G16,CUCXCA!G16,BOFMCA!G16,BOFACA!G16,BNPACA!G16,BNDCCA!G16,BLCMCA!G16,BCANCA!G16,ATBRCA!G16,CCDQCA!G16,CIBCCA!G16,NOSCCA!G16,TDOMCA!G16,ROYCCA!G16)</f>
        <v>98841.827000000005</v>
      </c>
      <c r="K16" s="19" t="str">
        <f t="shared" si="1"/>
        <v>2025Q1</v>
      </c>
      <c r="L16" s="20">
        <f>ROUND(LN(Totals!B16/'Porfolio Forecast'!B16),4)</f>
        <v>-3.09E-2</v>
      </c>
      <c r="M16" s="21">
        <f>ROUND(LN(Totals!C16/'Porfolio Forecast'!C16),4)</f>
        <v>-1.4200000000000001E-2</v>
      </c>
      <c r="N16" s="20">
        <f>ROUND(LN(Totals!D16/'Porfolio Forecast'!D16),4)</f>
        <v>-1.6000000000000001E-3</v>
      </c>
      <c r="O16" s="20">
        <f>ROUND(LN(Totals!E16/'Porfolio Forecast'!E16),4)</f>
        <v>-0.21790000000000001</v>
      </c>
      <c r="P16" s="21">
        <f>ROUND(LN(Totals!F16/'Porfolio Forecast'!F16),4)</f>
        <v>-3.2800000000000003E-2</v>
      </c>
      <c r="Q16" s="20">
        <f>ROUND(LN(Totals!G16/'Porfolio Forecast'!G16),4)</f>
        <v>4.0800000000000003E-2</v>
      </c>
    </row>
    <row r="17" spans="1:17" s="1" customFormat="1" ht="15.5" thickTop="1" thickBot="1" x14ac:dyDescent="0.4">
      <c r="A17" s="5" t="str">
        <f>SBOSCA!A17</f>
        <v>2025Q2</v>
      </c>
      <c r="B17" s="2">
        <f>SUM(SBOSCA!B17,MCBTCA!B17,ICICCA!B17,HKBCCA!B17,CUCXCA!B17,BOFMCA!B17,BOFACA!B17,BNPACA!B17,BNDCCA!B17,BLCMCA!B17,BCANCA!B17,ATBRCA!B17,CCDQCA!B17,CIBCCA!B17,NOSCCA!B17,TDOMCA!B17,ROYCCA!B17)</f>
        <v>3879.6959999999995</v>
      </c>
      <c r="C17" s="3">
        <f>SUM(SBOSCA!C17,MCBTCA!C17,ICICCA!C17,HKBCCA!C17,CUCXCA!C17,BOFMCA!C17,BOFACA!C17,BNPACA!C17,BNDCCA!C17,BLCMCA!C17,BCANCA!C17,ATBRCA!C17,CCDQCA!C17,CIBCCA!C17,NOSCCA!C17,TDOMCA!C17,ROYCCA!C17)</f>
        <v>4516.5659999999998</v>
      </c>
      <c r="D17" s="2">
        <f>SUM(SBOSCA!D17,MCBTCA!D17,ICICCA!D17,HKBCCA!D17,CUCXCA!D17,BOFMCA!D17,BOFACA!D17,BNPACA!D17,BNDCCA!D17,BLCMCA!D17,BCANCA!D17,ATBRCA!D17,CCDQCA!D17,CIBCCA!D17,NOSCCA!D17,TDOMCA!D17,ROYCCA!D17)</f>
        <v>5153.4360000000006</v>
      </c>
      <c r="E17" s="2">
        <f>SUM(SBOSCA!E17,MCBTCA!E17,ICICCA!E17,HKBCCA!E17,CUCXCA!E17,BOFMCA!E17,BOFACA!E17,BNPACA!E17,BNDCCA!E17,BLCMCA!E17,BCANCA!E17,ATBRCA!E17,CCDQCA!E17,CIBCCA!E17,NOSCCA!E17,TDOMCA!E17,ROYCCA!E17)</f>
        <v>34439.909999999996</v>
      </c>
      <c r="F17" s="3">
        <f>SUM(SBOSCA!F17,MCBTCA!F17,ICICCA!F17,HKBCCA!F17,CUCXCA!F17,BOFMCA!F17,BOFACA!F17,BNPACA!F17,BNDCCA!F17,BLCMCA!F17,BCANCA!F17,ATBRCA!F17,CCDQCA!F17,CIBCCA!F17,NOSCCA!F17,TDOMCA!F17,ROYCCA!F17)</f>
        <v>67862.688999999998</v>
      </c>
      <c r="G17" s="2">
        <f>SUM(SBOSCA!G17,MCBTCA!G17,ICICCA!G17,HKBCCA!G17,CUCXCA!G17,BOFMCA!G17,BOFACA!G17,BNPACA!G17,BNDCCA!G17,BLCMCA!G17,BCANCA!G17,ATBRCA!G17,CCDQCA!G17,CIBCCA!G17,NOSCCA!G17,TDOMCA!G17,ROYCCA!G17)</f>
        <v>101285.46799999999</v>
      </c>
      <c r="K17" s="19" t="str">
        <f t="shared" si="1"/>
        <v>2025Q2</v>
      </c>
      <c r="L17" s="20">
        <f>ROUND(LN(Totals!B17/'Porfolio Forecast'!B17),4)</f>
        <v>-3.1399999999999997E-2</v>
      </c>
      <c r="M17" s="21">
        <f>ROUND(LN(Totals!C17/'Porfolio Forecast'!C17),4)</f>
        <v>-1.5800000000000002E-2</v>
      </c>
      <c r="N17" s="20">
        <f>ROUND(LN(Totals!D17/'Porfolio Forecast'!D17),4)</f>
        <v>-4.0000000000000001E-3</v>
      </c>
      <c r="O17" s="20">
        <f>ROUND(LN(Totals!E17/'Porfolio Forecast'!E17),4)</f>
        <v>-0.22489999999999999</v>
      </c>
      <c r="P17" s="21">
        <f>ROUND(LN(Totals!F17/'Porfolio Forecast'!F17),4)</f>
        <v>-3.27E-2</v>
      </c>
      <c r="Q17" s="20">
        <f>ROUND(LN(Totals!G17/'Porfolio Forecast'!G17),4)</f>
        <v>4.2099999999999999E-2</v>
      </c>
    </row>
    <row r="18" spans="1:17" s="1" customFormat="1" ht="15.5" thickTop="1" thickBot="1" x14ac:dyDescent="0.4">
      <c r="A18" s="5" t="str">
        <f>SBOSCA!A18</f>
        <v>2025Q3</v>
      </c>
      <c r="B18" s="2">
        <f>SUM(SBOSCA!B18,MCBTCA!B18,ICICCA!B18,HKBCCA!B18,CUCXCA!B18,BOFMCA!B18,BOFACA!B18,BNPACA!B18,BNDCCA!B18,BLCMCA!B18,BCANCA!B18,ATBRCA!B18,CCDQCA!B18,CIBCCA!B18,NOSCCA!B18,TDOMCA!B18,ROYCCA!B18)</f>
        <v>3871.4289999999996</v>
      </c>
      <c r="C18" s="3">
        <f>SUM(SBOSCA!C18,MCBTCA!C18,ICICCA!C18,HKBCCA!C18,CUCXCA!C18,BOFMCA!C18,BOFACA!C18,BNPACA!C18,BNDCCA!C18,BLCMCA!C18,BCANCA!C18,ATBRCA!C18,CCDQCA!C18,CIBCCA!C18,NOSCCA!C18,TDOMCA!C18,ROYCCA!C18)</f>
        <v>4514.1570000000002</v>
      </c>
      <c r="D18" s="2">
        <f>SUM(SBOSCA!D18,MCBTCA!D18,ICICCA!D18,HKBCCA!D18,CUCXCA!D18,BOFMCA!D18,BOFACA!D18,BNPACA!D18,BNDCCA!D18,BLCMCA!D18,BCANCA!D18,ATBRCA!D18,CCDQCA!D18,CIBCCA!D18,NOSCCA!D18,TDOMCA!D18,ROYCCA!D18)</f>
        <v>5156.884</v>
      </c>
      <c r="E18" s="2">
        <f>SUM(SBOSCA!E18,MCBTCA!E18,ICICCA!E18,HKBCCA!E18,CUCXCA!E18,BOFMCA!E18,BOFACA!E18,BNPACA!E18,BNDCCA!E18,BLCMCA!E18,BCANCA!E18,ATBRCA!E18,CCDQCA!E18,CIBCCA!E18,NOSCCA!E18,TDOMCA!E18,ROYCCA!E18)</f>
        <v>33080.25</v>
      </c>
      <c r="F18" s="3">
        <f>SUM(SBOSCA!F18,MCBTCA!F18,ICICCA!F18,HKBCCA!F18,CUCXCA!F18,BOFMCA!F18,BOFACA!F18,BNPACA!F18,BNDCCA!F18,BLCMCA!F18,BCANCA!F18,ATBRCA!F18,CCDQCA!F18,CIBCCA!F18,NOSCCA!F18,TDOMCA!F18,ROYCCA!F18)</f>
        <v>67705.168999999994</v>
      </c>
      <c r="G18" s="2">
        <f>SUM(SBOSCA!G18,MCBTCA!G18,ICICCA!G18,HKBCCA!G18,CUCXCA!G18,BOFMCA!G18,BOFACA!G18,BNPACA!G18,BNDCCA!G18,BLCMCA!G18,BCANCA!G18,ATBRCA!G18,CCDQCA!G18,CIBCCA!G18,NOSCCA!G18,TDOMCA!G18,ROYCCA!G18)</f>
        <v>102330.09100000001</v>
      </c>
      <c r="K18" s="19" t="str">
        <f t="shared" si="1"/>
        <v>2025Q3</v>
      </c>
      <c r="L18" s="20">
        <f>ROUND(LN(Totals!B18/'Porfolio Forecast'!B18),4)</f>
        <v>-2.6499999999999999E-2</v>
      </c>
      <c r="M18" s="21">
        <f>ROUND(LN(Totals!C18/'Porfolio Forecast'!C18),4)</f>
        <v>-1.17E-2</v>
      </c>
      <c r="N18" s="20">
        <f>ROUND(LN(Totals!D18/'Porfolio Forecast'!D18),4)</f>
        <v>-5.0000000000000001E-4</v>
      </c>
      <c r="O18" s="20">
        <f>ROUND(LN(Totals!E18/'Porfolio Forecast'!E18),4)</f>
        <v>-0.2394</v>
      </c>
      <c r="P18" s="21">
        <f>ROUND(LN(Totals!F18/'Porfolio Forecast'!F18),4)</f>
        <v>-3.3000000000000002E-2</v>
      </c>
      <c r="Q18" s="20">
        <f>ROUND(LN(Totals!G18/'Porfolio Forecast'!G18),4)</f>
        <v>4.3900000000000002E-2</v>
      </c>
    </row>
    <row r="19" spans="1:17" s="1" customFormat="1" ht="15.5" thickTop="1" thickBot="1" x14ac:dyDescent="0.4">
      <c r="A19" s="5" t="str">
        <f>SBOSCA!A19</f>
        <v>2025Q4</v>
      </c>
      <c r="B19" s="2">
        <f>SUM(SBOSCA!B19,MCBTCA!B19,ICICCA!B19,HKBCCA!B19,CUCXCA!B19,BOFMCA!B19,BOFACA!B19,BNPACA!B19,BNDCCA!B19,BLCMCA!B19,BCANCA!B19,ATBRCA!B19,CCDQCA!B19,CIBCCA!B19,NOSCCA!B19,TDOMCA!B19,ROYCCA!B19)</f>
        <v>3883.01</v>
      </c>
      <c r="C19" s="3">
        <f>SUM(SBOSCA!C19,MCBTCA!C19,ICICCA!C19,HKBCCA!C19,CUCXCA!C19,BOFMCA!C19,BOFACA!C19,BNPACA!C19,BNDCCA!C19,BLCMCA!C19,BCANCA!C19,ATBRCA!C19,CCDQCA!C19,CIBCCA!C19,NOSCCA!C19,TDOMCA!C19,ROYCCA!C19)</f>
        <v>4530.9449999999997</v>
      </c>
      <c r="D19" s="2">
        <f>SUM(SBOSCA!D19,MCBTCA!D19,ICICCA!D19,HKBCCA!D19,CUCXCA!D19,BOFMCA!D19,BOFACA!D19,BNPACA!D19,BNDCCA!D19,BLCMCA!D19,BCANCA!D19,ATBRCA!D19,CCDQCA!D19,CIBCCA!D19,NOSCCA!D19,TDOMCA!D19,ROYCCA!D19)</f>
        <v>5178.878999999999</v>
      </c>
      <c r="E19" s="2">
        <f>SUM(SBOSCA!E19,MCBTCA!E19,ICICCA!E19,HKBCCA!E19,CUCXCA!E19,BOFMCA!E19,BOFACA!E19,BNPACA!E19,BNDCCA!E19,BLCMCA!E19,BCANCA!E19,ATBRCA!E19,CCDQCA!E19,CIBCCA!E19,NOSCCA!E19,TDOMCA!E19,ROYCCA!E19)</f>
        <v>32518.643</v>
      </c>
      <c r="F19" s="3">
        <f>SUM(SBOSCA!F19,MCBTCA!F19,ICICCA!F19,HKBCCA!F19,CUCXCA!F19,BOFMCA!F19,BOFACA!F19,BNPACA!F19,BNDCCA!F19,BLCMCA!F19,BCANCA!F19,ATBRCA!F19,CCDQCA!F19,CIBCCA!F19,NOSCCA!F19,TDOMCA!F19,ROYCCA!F19)</f>
        <v>68306.178000000014</v>
      </c>
      <c r="G19" s="2">
        <f>SUM(SBOSCA!G19,MCBTCA!G19,ICICCA!G19,HKBCCA!G19,CUCXCA!G19,BOFMCA!G19,BOFACA!G19,BNPACA!G19,BNDCCA!G19,BLCMCA!G19,BCANCA!G19,ATBRCA!G19,CCDQCA!G19,CIBCCA!G19,NOSCCA!G19,TDOMCA!G19,ROYCCA!G19)</f>
        <v>104093.71399999999</v>
      </c>
      <c r="K19" s="19" t="str">
        <f t="shared" si="1"/>
        <v>2025Q4</v>
      </c>
      <c r="L19" s="20">
        <f>ROUND(LN(Totals!B19/'Porfolio Forecast'!B19),4)</f>
        <v>-2.6100000000000002E-2</v>
      </c>
      <c r="M19" s="21">
        <f>ROUND(LN(Totals!C19/'Porfolio Forecast'!C19),4)</f>
        <v>-1.15E-2</v>
      </c>
      <c r="N19" s="20">
        <f>ROUND(LN(Totals!D19/'Porfolio Forecast'!D19),4)</f>
        <v>-5.0000000000000001E-4</v>
      </c>
      <c r="O19" s="20">
        <f>ROUND(LN(Totals!E19/'Porfolio Forecast'!E19),4)</f>
        <v>-0.24779999999999999</v>
      </c>
      <c r="P19" s="21">
        <f>ROUND(LN(Totals!F19/'Porfolio Forecast'!F19),4)</f>
        <v>-3.2199999999999999E-2</v>
      </c>
      <c r="Q19" s="20">
        <f>ROUND(LN(Totals!G19/'Porfolio Forecast'!G19),4)</f>
        <v>4.5900000000000003E-2</v>
      </c>
    </row>
    <row r="20" spans="1:17" s="1" customFormat="1" ht="15.5" thickTop="1" thickBot="1" x14ac:dyDescent="0.4">
      <c r="A20" s="5" t="str">
        <f>SBOSCA!A20</f>
        <v>2026Q1</v>
      </c>
      <c r="B20" s="2">
        <f>SUM(SBOSCA!B20,MCBTCA!B20,ICICCA!B20,HKBCCA!B20,CUCXCA!B20,BOFMCA!B20,BOFACA!B20,BNPACA!B20,BNDCCA!B20,BLCMCA!B20,BCANCA!B20,ATBRCA!B20,CCDQCA!B20,CIBCCA!B20,NOSCCA!B20,TDOMCA!B20,ROYCCA!B20)</f>
        <v>3637.9410000000003</v>
      </c>
      <c r="C20" s="3">
        <f>SUM(SBOSCA!C20,MCBTCA!C20,ICICCA!C20,HKBCCA!C20,CUCXCA!C20,BOFMCA!C20,BOFACA!C20,BNPACA!C20,BNDCCA!C20,BLCMCA!C20,BCANCA!C20,ATBRCA!C20,CCDQCA!C20,CIBCCA!C20,NOSCCA!C20,TDOMCA!C20,ROYCCA!C20)</f>
        <v>4290.5349999999999</v>
      </c>
      <c r="D20" s="2">
        <f>SUM(SBOSCA!D20,MCBTCA!D20,ICICCA!D20,HKBCCA!D20,CUCXCA!D20,BOFMCA!D20,BOFACA!D20,BNPACA!D20,BNDCCA!D20,BLCMCA!D20,BCANCA!D20,ATBRCA!D20,CCDQCA!D20,CIBCCA!D20,NOSCCA!D20,TDOMCA!D20,ROYCCA!D20)</f>
        <v>4943.1270000000004</v>
      </c>
      <c r="E20" s="2">
        <f>SUM(SBOSCA!E20,MCBTCA!E20,ICICCA!E20,HKBCCA!E20,CUCXCA!E20,BOFMCA!E20,BOFACA!E20,BNPACA!E20,BNDCCA!E20,BLCMCA!E20,BCANCA!E20,ATBRCA!E20,CCDQCA!E20,CIBCCA!E20,NOSCCA!E20,TDOMCA!E20,ROYCCA!E20)</f>
        <v>32010.178</v>
      </c>
      <c r="F20" s="3">
        <f>SUM(SBOSCA!F20,MCBTCA!F20,ICICCA!F20,HKBCCA!F20,CUCXCA!F20,BOFMCA!F20,BOFACA!F20,BNPACA!F20,BNDCCA!F20,BLCMCA!F20,BCANCA!F20,ATBRCA!F20,CCDQCA!F20,CIBCCA!F20,NOSCCA!F20,TDOMCA!F20,ROYCCA!F20)</f>
        <v>68922.761999999988</v>
      </c>
      <c r="G20" s="2">
        <f>SUM(SBOSCA!G20,MCBTCA!G20,ICICCA!G20,HKBCCA!G20,CUCXCA!G20,BOFMCA!G20,BOFACA!G20,BNPACA!G20,BNDCCA!G20,BLCMCA!G20,BCANCA!G20,ATBRCA!G20,CCDQCA!G20,CIBCCA!G20,NOSCCA!G20,TDOMCA!G20,ROYCCA!G20)</f>
        <v>105835.34599999999</v>
      </c>
      <c r="K20" s="19" t="str">
        <f t="shared" si="1"/>
        <v>2026Q1</v>
      </c>
      <c r="L20" s="20">
        <f>ROUND(LN(Totals!B20/'Porfolio Forecast'!B20),4)</f>
        <v>-2.7199999999999998E-2</v>
      </c>
      <c r="M20" s="21">
        <f>ROUND(LN(Totals!C20/'Porfolio Forecast'!C20),4)</f>
        <v>-1.17E-2</v>
      </c>
      <c r="N20" s="20">
        <f>ROUND(LN(Totals!D20/'Porfolio Forecast'!D20),4)</f>
        <v>-2.0000000000000001E-4</v>
      </c>
      <c r="O20" s="20">
        <f>ROUND(LN(Totals!E20/'Porfolio Forecast'!E20),4)</f>
        <v>-0.25890000000000002</v>
      </c>
      <c r="P20" s="21">
        <f>ROUND(LN(Totals!F20/'Porfolio Forecast'!F20),4)</f>
        <v>-3.32E-2</v>
      </c>
      <c r="Q20" s="20">
        <f>ROUND(LN(Totals!G20/'Porfolio Forecast'!G20),4)</f>
        <v>4.65E-2</v>
      </c>
    </row>
    <row r="21" spans="1:17" s="1" customFormat="1" ht="15.5" thickTop="1" thickBot="1" x14ac:dyDescent="0.4">
      <c r="A21" s="5" t="str">
        <f>SBOSCA!A21</f>
        <v>2026Q2</v>
      </c>
      <c r="B21" s="2">
        <f>SUM(SBOSCA!B21,MCBTCA!B21,ICICCA!B21,HKBCCA!B21,CUCXCA!B21,BOFMCA!B21,BOFACA!B21,BNPACA!B21,BNDCCA!B21,BLCMCA!B21,BCANCA!B21,ATBRCA!B21,CCDQCA!B21,CIBCCA!B21,NOSCCA!B21,TDOMCA!B21,ROYCCA!B21)</f>
        <v>3914.4710000000005</v>
      </c>
      <c r="C21" s="3">
        <f>SUM(SBOSCA!C21,MCBTCA!C21,ICICCA!C21,HKBCCA!C21,CUCXCA!C21,BOFMCA!C21,BOFACA!C21,BNPACA!C21,BNDCCA!C21,BLCMCA!C21,BCANCA!C21,ATBRCA!C21,CCDQCA!C21,CIBCCA!C21,NOSCCA!C21,TDOMCA!C21,ROYCCA!C21)</f>
        <v>4571.2520000000004</v>
      </c>
      <c r="D21" s="2">
        <f>SUM(SBOSCA!D21,MCBTCA!D21,ICICCA!D21,HKBCCA!D21,CUCXCA!D21,BOFMCA!D21,BOFACA!D21,BNPACA!D21,BNDCCA!D21,BLCMCA!D21,BCANCA!D21,ATBRCA!D21,CCDQCA!D21,CIBCCA!D21,NOSCCA!D21,TDOMCA!D21,ROYCCA!D21)</f>
        <v>5228.0289999999995</v>
      </c>
      <c r="E21" s="2">
        <f>SUM(SBOSCA!E21,MCBTCA!E21,ICICCA!E21,HKBCCA!E21,CUCXCA!E21,BOFMCA!E21,BOFACA!E21,BNPACA!E21,BNDCCA!E21,BLCMCA!E21,BCANCA!E21,ATBRCA!E21,CCDQCA!E21,CIBCCA!E21,NOSCCA!E21,TDOMCA!E21,ROYCCA!E21)</f>
        <v>32112.351000000002</v>
      </c>
      <c r="F21" s="3">
        <f>SUM(SBOSCA!F21,MCBTCA!F21,ICICCA!F21,HKBCCA!F21,CUCXCA!F21,BOFMCA!F21,BOFACA!F21,BNPACA!F21,BNDCCA!F21,BLCMCA!F21,BCANCA!F21,ATBRCA!F21,CCDQCA!F21,CIBCCA!F21,NOSCCA!F21,TDOMCA!F21,ROYCCA!F21)</f>
        <v>70117.241999999984</v>
      </c>
      <c r="G21" s="2">
        <f>SUM(SBOSCA!G21,MCBTCA!G21,ICICCA!G21,HKBCCA!G21,CUCXCA!G21,BOFMCA!G21,BOFACA!G21,BNPACA!G21,BNDCCA!G21,BLCMCA!G21,BCANCA!G21,ATBRCA!G21,CCDQCA!G21,CIBCCA!G21,NOSCCA!G21,TDOMCA!G21,ROYCCA!G21)</f>
        <v>108122.137</v>
      </c>
      <c r="K21" s="19" t="str">
        <f t="shared" si="1"/>
        <v>2026Q2</v>
      </c>
      <c r="L21" s="20">
        <f>ROUND(LN(Totals!B21/'Porfolio Forecast'!B21),4)</f>
        <v>-2.7900000000000001E-2</v>
      </c>
      <c r="M21" s="21">
        <f>ROUND(LN(Totals!C21/'Porfolio Forecast'!C21),4)</f>
        <v>-1.34E-2</v>
      </c>
      <c r="N21" s="20">
        <f>ROUND(LN(Totals!D21/'Porfolio Forecast'!D21),4)</f>
        <v>-2.3E-3</v>
      </c>
      <c r="O21" s="20">
        <f>ROUND(LN(Totals!E21/'Porfolio Forecast'!E21),4)</f>
        <v>-0.26429999999999998</v>
      </c>
      <c r="P21" s="21">
        <f>ROUND(LN(Totals!F21/'Porfolio Forecast'!F21),4)</f>
        <v>-3.3099999999999997E-2</v>
      </c>
      <c r="Q21" s="20">
        <f>ROUND(LN(Totals!G21/'Porfolio Forecast'!G21),4)</f>
        <v>4.7399999999999998E-2</v>
      </c>
    </row>
    <row r="22" spans="1:17" s="1" customFormat="1" ht="15.5" thickTop="1" thickBot="1" x14ac:dyDescent="0.4">
      <c r="A22" s="5" t="str">
        <f>SBOSCA!A22</f>
        <v>2026Q3</v>
      </c>
      <c r="B22" s="2">
        <f>SUM(SBOSCA!B22,MCBTCA!B22,ICICCA!B22,HKBCCA!B22,CUCXCA!B22,BOFMCA!B22,BOFACA!B22,BNPACA!B22,BNDCCA!B22,BLCMCA!B22,BCANCA!B22,ATBRCA!B22,CCDQCA!B22,CIBCCA!B22,NOSCCA!B22,TDOMCA!B22,ROYCCA!B22)</f>
        <v>3911.261</v>
      </c>
      <c r="C22" s="3">
        <f>SUM(SBOSCA!C22,MCBTCA!C22,ICICCA!C22,HKBCCA!C22,CUCXCA!C22,BOFMCA!C22,BOFACA!C22,BNPACA!C22,BNDCCA!C22,BLCMCA!C22,BCANCA!C22,ATBRCA!C22,CCDQCA!C22,CIBCCA!C22,NOSCCA!C22,TDOMCA!C22,ROYCCA!C22)</f>
        <v>4571.82</v>
      </c>
      <c r="D22" s="2">
        <f>SUM(SBOSCA!D22,MCBTCA!D22,ICICCA!D22,HKBCCA!D22,CUCXCA!D22,BOFMCA!D22,BOFACA!D22,BNPACA!D22,BNDCCA!D22,BLCMCA!D22,BCANCA!D22,ATBRCA!D22,CCDQCA!D22,CIBCCA!D22,NOSCCA!D22,TDOMCA!D22,ROYCCA!D22)</f>
        <v>5232.3820000000005</v>
      </c>
      <c r="E22" s="2">
        <f>SUM(SBOSCA!E22,MCBTCA!E22,ICICCA!E22,HKBCCA!E22,CUCXCA!E22,BOFMCA!E22,BOFACA!E22,BNPACA!E22,BNDCCA!E22,BLCMCA!E22,BCANCA!E22,ATBRCA!E22,CCDQCA!E22,CIBCCA!E22,NOSCCA!E22,TDOMCA!E22,ROYCCA!E22)</f>
        <v>30894.254000000001</v>
      </c>
      <c r="F22" s="3">
        <f>SUM(SBOSCA!F22,MCBTCA!F22,ICICCA!F22,HKBCCA!F22,CUCXCA!F22,BOFMCA!F22,BOFACA!F22,BNPACA!F22,BNDCCA!F22,BLCMCA!F22,BCANCA!F22,ATBRCA!F22,CCDQCA!F22,CIBCCA!F22,NOSCCA!F22,TDOMCA!F22,ROYCCA!F22)</f>
        <v>69960.26400000001</v>
      </c>
      <c r="G22" s="2">
        <f>SUM(SBOSCA!G22,MCBTCA!G22,ICICCA!G22,HKBCCA!G22,CUCXCA!G22,BOFMCA!G22,BOFACA!G22,BNPACA!G22,BNDCCA!G22,BLCMCA!G22,BCANCA!G22,ATBRCA!G22,CCDQCA!G22,CIBCCA!G22,NOSCCA!G22,TDOMCA!G22,ROYCCA!G22)</f>
        <v>109026.27499999999</v>
      </c>
      <c r="K22" s="19" t="str">
        <f t="shared" si="1"/>
        <v>2026Q3</v>
      </c>
      <c r="L22" s="20">
        <f>ROUND(LN(Totals!B22/'Porfolio Forecast'!B22),4)</f>
        <v>-2.3199999999999998E-2</v>
      </c>
      <c r="M22" s="21">
        <f>ROUND(LN(Totals!C22/'Porfolio Forecast'!C22),4)</f>
        <v>-9.2999999999999992E-3</v>
      </c>
      <c r="N22" s="20">
        <f>ROUND(LN(Totals!D22/'Porfolio Forecast'!D22),4)</f>
        <v>1.2999999999999999E-3</v>
      </c>
      <c r="O22" s="20">
        <f>ROUND(LN(Totals!E22/'Porfolio Forecast'!E22),4)</f>
        <v>-0.27900000000000003</v>
      </c>
      <c r="P22" s="21">
        <f>ROUND(LN(Totals!F22/'Porfolio Forecast'!F22),4)</f>
        <v>-3.3300000000000003E-2</v>
      </c>
      <c r="Q22" s="20">
        <f>ROUND(LN(Totals!G22/'Porfolio Forecast'!G22),4)</f>
        <v>4.8899999999999999E-2</v>
      </c>
    </row>
    <row r="23" spans="1:17" s="1" customFormat="1" ht="15.5" thickTop="1" thickBot="1" x14ac:dyDescent="0.4">
      <c r="A23" s="5" t="str">
        <f>SBOSCA!A23</f>
        <v>2026Q4</v>
      </c>
      <c r="B23" s="2">
        <f>SUM(SBOSCA!B23,MCBTCA!B23,ICICCA!B23,HKBCCA!B23,CUCXCA!B23,BOFMCA!B23,BOFACA!B23,BNPACA!B23,BNDCCA!B23,BLCMCA!B23,BCANCA!B23,ATBRCA!B23,CCDQCA!B23,CIBCCA!B23,NOSCCA!B23,TDOMCA!B23,ROYCCA!B23)</f>
        <v>3927.2509999999997</v>
      </c>
      <c r="C23" s="3">
        <f>SUM(SBOSCA!C23,MCBTCA!C23,ICICCA!C23,HKBCCA!C23,CUCXCA!C23,BOFMCA!C23,BOFACA!C23,BNPACA!C23,BNDCCA!C23,BLCMCA!C23,BCANCA!C23,ATBRCA!C23,CCDQCA!C23,CIBCCA!C23,NOSCCA!C23,TDOMCA!C23,ROYCCA!C23)</f>
        <v>4591.2420000000002</v>
      </c>
      <c r="D23" s="2">
        <f>SUM(SBOSCA!D23,MCBTCA!D23,ICICCA!D23,HKBCCA!D23,CUCXCA!D23,BOFMCA!D23,BOFACA!D23,BNPACA!D23,BNDCCA!D23,BLCMCA!D23,BCANCA!D23,ATBRCA!D23,CCDQCA!D23,CIBCCA!D23,NOSCCA!D23,TDOMCA!D23,ROYCCA!D23)</f>
        <v>5255.2289999999994</v>
      </c>
      <c r="E23" s="2">
        <f>SUM(SBOSCA!E23,MCBTCA!E23,ICICCA!E23,HKBCCA!E23,CUCXCA!E23,BOFMCA!E23,BOFACA!E23,BNPACA!E23,BNDCCA!E23,BLCMCA!E23,BCANCA!E23,ATBRCA!E23,CCDQCA!E23,CIBCCA!E23,NOSCCA!E23,TDOMCA!E23,ROYCCA!E23)</f>
        <v>30461.396000000001</v>
      </c>
      <c r="F23" s="3">
        <f>SUM(SBOSCA!F23,MCBTCA!F23,ICICCA!F23,HKBCCA!F23,CUCXCA!F23,BOFMCA!F23,BOFACA!F23,BNPACA!F23,BNDCCA!F23,BLCMCA!F23,BCANCA!F23,ATBRCA!F23,CCDQCA!F23,CIBCCA!F23,NOSCCA!F23,TDOMCA!F23,ROYCCA!F23)</f>
        <v>70560.818999999989</v>
      </c>
      <c r="G23" s="2">
        <f>SUM(SBOSCA!G23,MCBTCA!G23,ICICCA!G23,HKBCCA!G23,CUCXCA!G23,BOFMCA!G23,BOFACA!G23,BNPACA!G23,BNDCCA!G23,BLCMCA!G23,BCANCA!G23,ATBRCA!G23,CCDQCA!G23,CIBCCA!G23,NOSCCA!G23,TDOMCA!G23,ROYCCA!G23)</f>
        <v>110660.24</v>
      </c>
      <c r="K23" s="19" t="str">
        <f t="shared" si="1"/>
        <v>2026Q4</v>
      </c>
      <c r="L23" s="20">
        <f>ROUND(LN(Totals!B23/'Porfolio Forecast'!B23),4)</f>
        <v>-2.29E-2</v>
      </c>
      <c r="M23" s="21">
        <f>ROUND(LN(Totals!C23/'Porfolio Forecast'!C23),4)</f>
        <v>-8.9999999999999993E-3</v>
      </c>
      <c r="N23" s="20">
        <f>ROUND(LN(Totals!D23/'Porfolio Forecast'!D23),4)</f>
        <v>1.4E-3</v>
      </c>
      <c r="O23" s="20">
        <f>ROUND(LN(Totals!E23/'Porfolio Forecast'!E23),4)</f>
        <v>-0.28670000000000001</v>
      </c>
      <c r="P23" s="21">
        <f>ROUND(LN(Totals!F23/'Porfolio Forecast'!F23),4)</f>
        <v>-3.2500000000000001E-2</v>
      </c>
      <c r="Q23" s="20">
        <f>ROUND(LN(Totals!G23/'Porfolio Forecast'!G23),4)</f>
        <v>5.0500000000000003E-2</v>
      </c>
    </row>
    <row r="24" spans="1:17" s="1" customFormat="1" ht="15.5" thickTop="1" thickBot="1" x14ac:dyDescent="0.4">
      <c r="A24" s="5" t="str">
        <f>SBOSCA!A24</f>
        <v>2027Q1</v>
      </c>
      <c r="B24" s="2">
        <f>SUM(SBOSCA!B24,MCBTCA!B24,ICICCA!B24,HKBCCA!B24,CUCXCA!B24,BOFMCA!B24,BOFACA!B24,BNPACA!B24,BNDCCA!B24,BLCMCA!B24,BCANCA!B24,ATBRCA!B24,CCDQCA!B24,CIBCCA!B24,NOSCCA!B24,TDOMCA!B24,ROYCCA!B24)</f>
        <v>3686.0540000000001</v>
      </c>
      <c r="C24" s="3">
        <f>SUM(SBOSCA!C24,MCBTCA!C24,ICICCA!C24,HKBCCA!C24,CUCXCA!C24,BOFMCA!C24,BOFACA!C24,BNPACA!C24,BNDCCA!C24,BLCMCA!C24,BCANCA!C24,ATBRCA!C24,CCDQCA!C24,CIBCCA!C24,NOSCCA!C24,TDOMCA!C24,ROYCCA!C24)</f>
        <v>4353.1620000000003</v>
      </c>
      <c r="D24" s="2">
        <f>SUM(SBOSCA!D24,MCBTCA!D24,ICICCA!D24,HKBCCA!D24,CUCXCA!D24,BOFMCA!D24,BOFACA!D24,BNPACA!D24,BNDCCA!D24,BLCMCA!D24,BCANCA!D24,ATBRCA!D24,CCDQCA!D24,CIBCCA!D24,NOSCCA!D24,TDOMCA!D24,ROYCCA!D24)</f>
        <v>5020.2699999999995</v>
      </c>
      <c r="E24" s="2">
        <f>SUM(SBOSCA!E24,MCBTCA!E24,ICICCA!E24,HKBCCA!E24,CUCXCA!E24,BOFMCA!E24,BOFACA!E24,BNPACA!E24,BNDCCA!E24,BLCMCA!E24,BCANCA!E24,ATBRCA!E24,CCDQCA!E24,CIBCCA!E24,NOSCCA!E24,TDOMCA!E24,ROYCCA!E24)</f>
        <v>30071.397999999994</v>
      </c>
      <c r="F24" s="3">
        <f>SUM(SBOSCA!F24,MCBTCA!F24,ICICCA!F24,HKBCCA!F24,CUCXCA!F24,BOFMCA!F24,BOFACA!F24,BNPACA!F24,BNDCCA!F24,BLCMCA!F24,BCANCA!F24,ATBRCA!F24,CCDQCA!F24,CIBCCA!F24,NOSCCA!F24,TDOMCA!F24,ROYCCA!F24)</f>
        <v>71177.807000000001</v>
      </c>
      <c r="G24" s="2">
        <f>SUM(SBOSCA!G24,MCBTCA!G24,ICICCA!G24,HKBCCA!G24,CUCXCA!G24,BOFMCA!G24,BOFACA!G24,BNPACA!G24,BNDCCA!G24,BLCMCA!G24,BCANCA!G24,ATBRCA!G24,CCDQCA!G24,CIBCCA!G24,NOSCCA!G24,TDOMCA!G24,ROYCCA!G24)</f>
        <v>112284.21500000001</v>
      </c>
      <c r="K24" s="19" t="str">
        <f t="shared" si="1"/>
        <v>2027Q1</v>
      </c>
      <c r="L24" s="20">
        <f>ROUND(LN(Totals!B24/'Porfolio Forecast'!B24),4)</f>
        <v>-2.3900000000000001E-2</v>
      </c>
      <c r="M24" s="21">
        <f>ROUND(LN(Totals!C24/'Porfolio Forecast'!C24),4)</f>
        <v>-9.1000000000000004E-3</v>
      </c>
      <c r="N24" s="20">
        <f>ROUND(LN(Totals!D24/'Porfolio Forecast'!D24),4)</f>
        <v>1.9E-3</v>
      </c>
      <c r="O24" s="20">
        <f>ROUND(LN(Totals!E24/'Porfolio Forecast'!E24),4)</f>
        <v>-0.29709999999999998</v>
      </c>
      <c r="P24" s="21">
        <f>ROUND(LN(Totals!F24/'Porfolio Forecast'!F24),4)</f>
        <v>-3.3500000000000002E-2</v>
      </c>
      <c r="Q24" s="20">
        <f>ROUND(LN(Totals!G24/'Porfolio Forecast'!G24),4)</f>
        <v>5.0799999999999998E-2</v>
      </c>
    </row>
    <row r="25" spans="1:17" s="1" customFormat="1" ht="15.5" thickTop="1" thickBot="1" x14ac:dyDescent="0.4">
      <c r="A25" s="5" t="str">
        <f>SBOSCA!A25</f>
        <v>2027Q2</v>
      </c>
      <c r="B25" s="2">
        <f>SUM(SBOSCA!B25,MCBTCA!B25,ICICCA!B25,HKBCCA!B25,CUCXCA!B25,BOFMCA!B25,BOFACA!B25,BNPACA!B25,BNDCCA!B25,BLCMCA!B25,BCANCA!B25,ATBRCA!B25,CCDQCA!B25,CIBCCA!B25,NOSCCA!B25,TDOMCA!B25,ROYCCA!B25)</f>
        <v>3965.9939999999997</v>
      </c>
      <c r="C25" s="3">
        <f>SUM(SBOSCA!C25,MCBTCA!C25,ICICCA!C25,HKBCCA!C25,CUCXCA!C25,BOFMCA!C25,BOFACA!C25,BNPACA!C25,BNDCCA!C25,BLCMCA!C25,BCANCA!C25,ATBRCA!C25,CCDQCA!C25,CIBCCA!C25,NOSCCA!C25,TDOMCA!C25,ROYCCA!C25)</f>
        <v>4635.9509999999991</v>
      </c>
      <c r="D25" s="2">
        <f>SUM(SBOSCA!D25,MCBTCA!D25,ICICCA!D25,HKBCCA!D25,CUCXCA!D25,BOFMCA!D25,BOFACA!D25,BNPACA!D25,BNDCCA!D25,BLCMCA!D25,BCANCA!D25,ATBRCA!D25,CCDQCA!D25,CIBCCA!D25,NOSCCA!D25,TDOMCA!D25,ROYCCA!D25)</f>
        <v>5305.9080000000004</v>
      </c>
      <c r="E25" s="2">
        <f>SUM(SBOSCA!E25,MCBTCA!E25,ICICCA!E25,HKBCCA!E25,CUCXCA!E25,BOFMCA!E25,BOFACA!E25,BNPACA!E25,BNDCCA!E25,BLCMCA!E25,BCANCA!E25,ATBRCA!E25,CCDQCA!E25,CIBCCA!E25,NOSCCA!E25,TDOMCA!E25,ROYCCA!E25)</f>
        <v>30282.388000000003</v>
      </c>
      <c r="F25" s="3">
        <f>SUM(SBOSCA!F25,MCBTCA!F25,ICICCA!F25,HKBCCA!F25,CUCXCA!F25,BOFMCA!F25,BOFACA!F25,BNPACA!F25,BNDCCA!F25,BLCMCA!F25,BCANCA!F25,ATBRCA!F25,CCDQCA!F25,CIBCCA!F25,NOSCCA!F25,TDOMCA!F25,ROYCCA!F25)</f>
        <v>72371.940999999992</v>
      </c>
      <c r="G25" s="2">
        <f>SUM(SBOSCA!G25,MCBTCA!G25,ICICCA!G25,HKBCCA!G25,CUCXCA!G25,BOFMCA!G25,BOFACA!G25,BNPACA!G25,BNDCCA!G25,BLCMCA!G25,BCANCA!G25,ATBRCA!G25,CCDQCA!G25,CIBCCA!G25,NOSCCA!G25,TDOMCA!G25,ROYCCA!G25)</f>
        <v>114461.499</v>
      </c>
      <c r="K25" s="19" t="str">
        <f t="shared" si="1"/>
        <v>2027Q2</v>
      </c>
      <c r="L25" s="20">
        <f>ROUND(LN(Totals!B25/'Porfolio Forecast'!B25),4)</f>
        <v>-2.5100000000000001E-2</v>
      </c>
      <c r="M25" s="21">
        <f>ROUND(LN(Totals!C25/'Porfolio Forecast'!C25),4)</f>
        <v>-1.0999999999999999E-2</v>
      </c>
      <c r="N25" s="20">
        <f>ROUND(LN(Totals!D25/'Porfolio Forecast'!D25),4)</f>
        <v>-2.0000000000000001E-4</v>
      </c>
      <c r="O25" s="20">
        <f>ROUND(LN(Totals!E25/'Porfolio Forecast'!E25),4)</f>
        <v>-0.30099999999999999</v>
      </c>
      <c r="P25" s="21">
        <f>ROUND(LN(Totals!F25/'Porfolio Forecast'!F25),4)</f>
        <v>-3.3399999999999999E-2</v>
      </c>
      <c r="Q25" s="20">
        <f>ROUND(LN(Totals!G25/'Porfolio Forecast'!G25),4)</f>
        <v>5.1299999999999998E-2</v>
      </c>
    </row>
    <row r="26" spans="1:17" s="1" customFormat="1" ht="15.5" thickTop="1" thickBot="1" x14ac:dyDescent="0.4">
      <c r="A26" s="5" t="str">
        <f>SBOSCA!A26</f>
        <v>2027Q3</v>
      </c>
      <c r="B26" s="2">
        <f>SUM(SBOSCA!B26,MCBTCA!B26,ICICCA!B26,HKBCCA!B26,CUCXCA!B26,BOFMCA!B26,BOFACA!B26,BNPACA!B26,BNDCCA!B26,BLCMCA!B26,BCANCA!B26,ATBRCA!B26,CCDQCA!B26,CIBCCA!B26,NOSCCA!B26,TDOMCA!B26,ROYCCA!B26)</f>
        <v>3965.7980000000002</v>
      </c>
      <c r="C26" s="3">
        <f>SUM(SBOSCA!C26,MCBTCA!C26,ICICCA!C26,HKBCCA!C26,CUCXCA!C26,BOFMCA!C26,BOFACA!C26,BNPACA!C26,BNDCCA!C26,BLCMCA!C26,BCANCA!C26,ATBRCA!C26,CCDQCA!C26,CIBCCA!C26,NOSCCA!C26,TDOMCA!C26,ROYCCA!C26)</f>
        <v>4638.3629999999994</v>
      </c>
      <c r="D26" s="2">
        <f>SUM(SBOSCA!D26,MCBTCA!D26,ICICCA!D26,HKBCCA!D26,CUCXCA!D26,BOFMCA!D26,BOFACA!D26,BNPACA!D26,BNDCCA!D26,BLCMCA!D26,BCANCA!D26,ATBRCA!D26,CCDQCA!D26,CIBCCA!D26,NOSCCA!D26,TDOMCA!D26,ROYCCA!D26)</f>
        <v>5310.9290000000001</v>
      </c>
      <c r="E26" s="2">
        <f>SUM(SBOSCA!E26,MCBTCA!E26,ICICCA!E26,HKBCCA!E26,CUCXCA!E26,BOFMCA!E26,BOFACA!E26,BNPACA!E26,BNDCCA!E26,BLCMCA!E26,BCANCA!E26,ATBRCA!E26,CCDQCA!E26,CIBCCA!E26,NOSCCA!E26,TDOMCA!E26,ROYCCA!E26)</f>
        <v>29165.331999999999</v>
      </c>
      <c r="F26" s="3">
        <f>SUM(SBOSCA!F26,MCBTCA!F26,ICICCA!F26,HKBCCA!F26,CUCXCA!F26,BOFMCA!F26,BOFACA!F26,BNPACA!F26,BNDCCA!F26,BLCMCA!F26,BCANCA!F26,ATBRCA!F26,CCDQCA!F26,CIBCCA!F26,NOSCCA!F26,TDOMCA!F26,ROYCCA!F26)</f>
        <v>72215.266000000003</v>
      </c>
      <c r="G26" s="2">
        <f>SUM(SBOSCA!G26,MCBTCA!G26,ICICCA!G26,HKBCCA!G26,CUCXCA!G26,BOFMCA!G26,BOFACA!G26,BNPACA!G26,BNDCCA!G26,BLCMCA!G26,BCANCA!G26,ATBRCA!G26,CCDQCA!G26,CIBCCA!G26,NOSCCA!G26,TDOMCA!G26,ROYCCA!G26)</f>
        <v>115265.19799999999</v>
      </c>
      <c r="K26" s="19" t="str">
        <f t="shared" si="1"/>
        <v>2027Q3</v>
      </c>
      <c r="L26" s="20">
        <f>ROUND(LN(Totals!B26/'Porfolio Forecast'!B26),4)</f>
        <v>-2.06E-2</v>
      </c>
      <c r="M26" s="21">
        <f>ROUND(LN(Totals!C26/'Porfolio Forecast'!C26),4)</f>
        <v>-6.8999999999999999E-3</v>
      </c>
      <c r="N26" s="20">
        <f>ROUND(LN(Totals!D26/'Porfolio Forecast'!D26),4)</f>
        <v>3.3999999999999998E-3</v>
      </c>
      <c r="O26" s="20">
        <f>ROUND(LN(Totals!E26/'Porfolio Forecast'!E26),4)</f>
        <v>-0.31609999999999999</v>
      </c>
      <c r="P26" s="21">
        <f>ROUND(LN(Totals!F26/'Porfolio Forecast'!F26),4)</f>
        <v>-3.3700000000000001E-2</v>
      </c>
      <c r="Q26" s="20">
        <f>ROUND(LN(Totals!G26/'Porfolio Forecast'!G26),4)</f>
        <v>5.2499999999999998E-2</v>
      </c>
    </row>
    <row r="27" spans="1:17" s="1" customFormat="1" ht="15.5" thickTop="1" thickBot="1" x14ac:dyDescent="0.4">
      <c r="A27" s="5" t="str">
        <f>SBOSCA!A27</f>
        <v>2027Q4</v>
      </c>
      <c r="B27" s="2">
        <f>SUM(SBOSCA!B27,MCBTCA!B27,ICICCA!B27,HKBCCA!B27,CUCXCA!B27,BOFMCA!B27,BOFACA!B27,BNPACA!B27,BNDCCA!B27,BLCMCA!B27,BCANCA!B27,ATBRCA!B27,CCDQCA!B27,CIBCCA!B27,NOSCCA!B27,TDOMCA!B27,ROYCCA!B27)</f>
        <v>3984.4679999999998</v>
      </c>
      <c r="C27" s="3">
        <f>SUM(SBOSCA!C27,MCBTCA!C27,ICICCA!C27,HKBCCA!C27,CUCXCA!C27,BOFMCA!C27,BOFACA!C27,BNPACA!C27,BNDCCA!C27,BLCMCA!C27,BCANCA!C27,ATBRCA!C27,CCDQCA!C27,CIBCCA!C27,NOSCCA!C27,TDOMCA!C27,ROYCCA!C27)</f>
        <v>4659.4290000000001</v>
      </c>
      <c r="D27" s="2">
        <f>SUM(SBOSCA!D27,MCBTCA!D27,ICICCA!D27,HKBCCA!D27,CUCXCA!D27,BOFMCA!D27,BOFACA!D27,BNPACA!D27,BNDCCA!D27,BLCMCA!D27,BCANCA!D27,ATBRCA!D27,CCDQCA!D27,CIBCCA!D27,NOSCCA!D27,TDOMCA!D27,ROYCCA!D27)</f>
        <v>5334.3890000000001</v>
      </c>
      <c r="E27" s="2">
        <f>SUM(SBOSCA!E27,MCBTCA!E27,ICICCA!E27,HKBCCA!E27,CUCXCA!E27,BOFMCA!E27,BOFACA!E27,BNPACA!E27,BNDCCA!E27,BLCMCA!E27,BCANCA!E27,ATBRCA!E27,CCDQCA!E27,CIBCCA!E27,NOSCCA!E27,TDOMCA!E27,ROYCCA!E27)</f>
        <v>28826.05</v>
      </c>
      <c r="F27" s="3">
        <f>SUM(SBOSCA!F27,MCBTCA!F27,ICICCA!F27,HKBCCA!F27,CUCXCA!F27,BOFMCA!F27,BOFACA!F27,BNPACA!F27,BNDCCA!F27,BLCMCA!F27,BCANCA!F27,ATBRCA!F27,CCDQCA!F27,CIBCCA!F27,NOSCCA!F27,TDOMCA!F27,ROYCCA!F27)</f>
        <v>72815.562999999995</v>
      </c>
      <c r="G27" s="2">
        <f>SUM(SBOSCA!G27,MCBTCA!G27,ICICCA!G27,HKBCCA!G27,CUCXCA!G27,BOFMCA!G27,BOFACA!G27,BNPACA!G27,BNDCCA!G27,BLCMCA!G27,BCANCA!G27,ATBRCA!G27,CCDQCA!G27,CIBCCA!G27,NOSCCA!G27,TDOMCA!G27,ROYCCA!G27)</f>
        <v>116805.07799999999</v>
      </c>
      <c r="K27" s="19" t="str">
        <f t="shared" si="1"/>
        <v>2027Q4</v>
      </c>
      <c r="L27" s="20">
        <f>ROUND(LN(Totals!B27/'Porfolio Forecast'!B27),4)</f>
        <v>-2.0500000000000001E-2</v>
      </c>
      <c r="M27" s="21">
        <f>ROUND(LN(Totals!C27/'Porfolio Forecast'!C27),4)</f>
        <v>-6.7999999999999996E-3</v>
      </c>
      <c r="N27" s="20">
        <f>ROUND(LN(Totals!D27/'Porfolio Forecast'!D27),4)</f>
        <v>3.5000000000000001E-3</v>
      </c>
      <c r="O27" s="20">
        <f>ROUND(LN(Totals!E27/'Porfolio Forecast'!E27),4)</f>
        <v>-0.3231</v>
      </c>
      <c r="P27" s="21">
        <f>ROUND(LN(Totals!F27/'Porfolio Forecast'!F27),4)</f>
        <v>-3.2899999999999999E-2</v>
      </c>
      <c r="Q27" s="20">
        <f>ROUND(LN(Totals!G27/'Porfolio Forecast'!G27),4)</f>
        <v>5.3900000000000003E-2</v>
      </c>
    </row>
    <row r="28" spans="1:17" s="1" customFormat="1" ht="15.5" thickTop="1" thickBot="1" x14ac:dyDescent="0.4">
      <c r="A28" s="5" t="str">
        <f>SBOSCA!A28</f>
        <v>2028Q1</v>
      </c>
      <c r="B28" s="2">
        <f>SUM(SBOSCA!B28,MCBTCA!B28,ICICCA!B28,HKBCCA!B28,CUCXCA!B28,BOFMCA!B28,BOFACA!B28,BNPACA!B28,BNDCCA!B28,BLCMCA!B28,BCANCA!B28,ATBRCA!B28,CCDQCA!B28,CIBCCA!B28,NOSCCA!B28,TDOMCA!B28,ROYCCA!B28)</f>
        <v>3745.6579999999994</v>
      </c>
      <c r="C28" s="3">
        <f>SUM(SBOSCA!C28,MCBTCA!C28,ICICCA!C28,HKBCCA!C28,CUCXCA!C28,BOFMCA!C28,BOFACA!C28,BNPACA!C28,BNDCCA!C28,BLCMCA!C28,BCANCA!C28,ATBRCA!C28,CCDQCA!C28,CIBCCA!C28,NOSCCA!C28,TDOMCA!C28,ROYCCA!C28)</f>
        <v>4422.82</v>
      </c>
      <c r="D28" s="2">
        <f>SUM(SBOSCA!D28,MCBTCA!D28,ICICCA!D28,HKBCCA!D28,CUCXCA!D28,BOFMCA!D28,BOFACA!D28,BNPACA!D28,BNDCCA!D28,BLCMCA!D28,BCANCA!D28,ATBRCA!D28,CCDQCA!D28,CIBCCA!D28,NOSCCA!D28,TDOMCA!D28,ROYCCA!D28)</f>
        <v>5099.9830000000002</v>
      </c>
      <c r="E28" s="2">
        <f>SUM(SBOSCA!E28,MCBTCA!E28,ICICCA!E28,HKBCCA!E28,CUCXCA!E28,BOFMCA!E28,BOFACA!E28,BNPACA!E28,BNDCCA!E28,BLCMCA!E28,BCANCA!E28,ATBRCA!E28,CCDQCA!E28,CIBCCA!E28,NOSCCA!E28,TDOMCA!E28,ROYCCA!E28)</f>
        <v>28523.556</v>
      </c>
      <c r="F28" s="3">
        <f>SUM(SBOSCA!F28,MCBTCA!F28,ICICCA!F28,HKBCCA!F28,CUCXCA!F28,BOFMCA!F28,BOFACA!F28,BNPACA!F28,BNDCCA!F28,BLCMCA!F28,BCANCA!F28,ATBRCA!F28,CCDQCA!F28,CIBCCA!F28,NOSCCA!F28,TDOMCA!F28,ROYCCA!F28)</f>
        <v>73432.77</v>
      </c>
      <c r="G28" s="2">
        <f>SUM(SBOSCA!G28,MCBTCA!G28,ICICCA!G28,HKBCCA!G28,CUCXCA!G28,BOFMCA!G28,BOFACA!G28,BNPACA!G28,BNDCCA!G28,BLCMCA!G28,BCANCA!G28,ATBRCA!G28,CCDQCA!G28,CIBCCA!G28,NOSCCA!G28,TDOMCA!G28,ROYCCA!G28)</f>
        <v>118341.98499999999</v>
      </c>
      <c r="K28" s="19" t="str">
        <f t="shared" si="1"/>
        <v>2028Q1</v>
      </c>
      <c r="L28" s="20">
        <f>ROUND(LN(Totals!B28/'Porfolio Forecast'!B28),4)</f>
        <v>-2.1499999999999998E-2</v>
      </c>
      <c r="M28" s="21">
        <f>ROUND(LN(Totals!C28/'Porfolio Forecast'!C28),4)</f>
        <v>-6.7999999999999996E-3</v>
      </c>
      <c r="N28" s="20">
        <f>ROUND(LN(Totals!D28/'Porfolio Forecast'!D28),4)</f>
        <v>4.1000000000000003E-3</v>
      </c>
      <c r="O28" s="20">
        <f>ROUND(LN(Totals!E28/'Porfolio Forecast'!E28),4)</f>
        <v>-0.33289999999999997</v>
      </c>
      <c r="P28" s="21">
        <f>ROUND(LN(Totals!F28/'Porfolio Forecast'!F28),4)</f>
        <v>-3.3799999999999997E-2</v>
      </c>
      <c r="Q28" s="20">
        <f>ROUND(LN(Totals!G28/'Porfolio Forecast'!G28),4)</f>
        <v>5.3999999999999999E-2</v>
      </c>
    </row>
    <row r="29" spans="1:17" s="1" customFormat="1" ht="15.5" thickTop="1" thickBot="1" x14ac:dyDescent="0.4">
      <c r="A29" s="5" t="str">
        <f>SBOSCA!A29</f>
        <v>2028Q2</v>
      </c>
      <c r="B29" s="2">
        <f>SUM(SBOSCA!B29,MCBTCA!B29,ICICCA!B29,HKBCCA!B29,CUCXCA!B29,BOFMCA!B29,BOFACA!B29,BNPACA!B29,BNDCCA!B29,BLCMCA!B29,BCANCA!B29,ATBRCA!B29,CCDQCA!B29,CIBCCA!B29,NOSCCA!B29,TDOMCA!B29,ROYCCA!B29)</f>
        <v>4027.7309999999998</v>
      </c>
      <c r="C29" s="3">
        <f>SUM(SBOSCA!C29,MCBTCA!C29,ICICCA!C29,HKBCCA!C29,CUCXCA!C29,BOFMCA!C29,BOFACA!C29,BNPACA!C29,BNDCCA!C29,BLCMCA!C29,BCANCA!C29,ATBRCA!C29,CCDQCA!C29,CIBCCA!C29,NOSCCA!C29,TDOMCA!C29,ROYCCA!C29)</f>
        <v>4706.9260000000004</v>
      </c>
      <c r="D29" s="2">
        <f>SUM(SBOSCA!D29,MCBTCA!D29,ICICCA!D29,HKBCCA!D29,CUCXCA!D29,BOFMCA!D29,BOFACA!D29,BNPACA!D29,BNDCCA!D29,BLCMCA!D29,BCANCA!D29,ATBRCA!D29,CCDQCA!D29,CIBCCA!D29,NOSCCA!D29,TDOMCA!D29,ROYCCA!D29)</f>
        <v>5386.12</v>
      </c>
      <c r="E29" s="2">
        <f>SUM(SBOSCA!E29,MCBTCA!E29,ICICCA!E29,HKBCCA!E29,CUCXCA!E29,BOFMCA!E29,BOFACA!E29,BNPACA!E29,BNDCCA!E29,BLCMCA!E29,BCANCA!E29,ATBRCA!E29,CCDQCA!E29,CIBCCA!E29,NOSCCA!E29,TDOMCA!E29,ROYCCA!E29)</f>
        <v>28816.156999999999</v>
      </c>
      <c r="F29" s="3">
        <f>SUM(SBOSCA!F29,MCBTCA!F29,ICICCA!F29,HKBCCA!F29,CUCXCA!F29,BOFMCA!F29,BOFACA!F29,BNPACA!F29,BNDCCA!F29,BLCMCA!F29,BCANCA!F29,ATBRCA!F29,CCDQCA!F29,CIBCCA!F29,NOSCCA!F29,TDOMCA!F29,ROYCCA!F29)</f>
        <v>74626.719999999972</v>
      </c>
      <c r="G29" s="2">
        <f>SUM(SBOSCA!G29,MCBTCA!G29,ICICCA!G29,HKBCCA!G29,CUCXCA!G29,BOFMCA!G29,BOFACA!G29,BNPACA!G29,BNDCCA!G29,BLCMCA!G29,BCANCA!G29,ATBRCA!G29,CCDQCA!G29,CIBCCA!G29,NOSCCA!G29,TDOMCA!G29,ROYCCA!G29)</f>
        <v>120437.28300000001</v>
      </c>
      <c r="K29" s="19" t="str">
        <f t="shared" si="1"/>
        <v>2028Q2</v>
      </c>
      <c r="L29" s="20">
        <f>ROUND(LN(Totals!B29/'Porfolio Forecast'!B29),4)</f>
        <v>-2.3E-2</v>
      </c>
      <c r="M29" s="21">
        <f>ROUND(LN(Totals!C29/'Porfolio Forecast'!C29),4)</f>
        <v>-8.8999999999999999E-3</v>
      </c>
      <c r="N29" s="20">
        <f>ROUND(LN(Totals!D29/'Porfolio Forecast'!D29),4)</f>
        <v>1.8E-3</v>
      </c>
      <c r="O29" s="20">
        <f>ROUND(LN(Totals!E29/'Porfolio Forecast'!E29),4)</f>
        <v>-0.33529999999999999</v>
      </c>
      <c r="P29" s="21">
        <f>ROUND(LN(Totals!F29/'Porfolio Forecast'!F29),4)</f>
        <v>-3.3700000000000001E-2</v>
      </c>
      <c r="Q29" s="20">
        <f>ROUND(LN(Totals!G29/'Porfolio Forecast'!G29),4)</f>
        <v>5.4300000000000001E-2</v>
      </c>
    </row>
    <row r="30" spans="1:17" s="1" customFormat="1" ht="15.5" thickTop="1" thickBot="1" x14ac:dyDescent="0.4">
      <c r="A30" s="5" t="str">
        <f>SBOSCA!A30</f>
        <v>2028Q3</v>
      </c>
      <c r="B30" s="2">
        <f>SUM(SBOSCA!B30,MCBTCA!B30,ICICCA!B30,HKBCCA!B30,CUCXCA!B30,BOFMCA!B30,BOFACA!B30,BNPACA!B30,BNDCCA!B30,BLCMCA!B30,BCANCA!B30,ATBRCA!B30,CCDQCA!B30,CIBCCA!B30,NOSCCA!B30,TDOMCA!B30,ROYCCA!B30)</f>
        <v>4029.45</v>
      </c>
      <c r="C30" s="3">
        <f>SUM(SBOSCA!C30,MCBTCA!C30,ICICCA!C30,HKBCCA!C30,CUCXCA!C30,BOFMCA!C30,BOFACA!C30,BNPACA!C30,BNDCCA!C30,BLCMCA!C30,BCANCA!C30,ATBRCA!C30,CCDQCA!C30,CIBCCA!C30,NOSCCA!C30,TDOMCA!C30,ROYCCA!C30)</f>
        <v>4710.5209999999997</v>
      </c>
      <c r="D30" s="2">
        <f>SUM(SBOSCA!D30,MCBTCA!D30,ICICCA!D30,HKBCCA!D30,CUCXCA!D30,BOFMCA!D30,BOFACA!D30,BNPACA!D30,BNDCCA!D30,BLCMCA!D30,BCANCA!D30,ATBRCA!D30,CCDQCA!D30,CIBCCA!D30,NOSCCA!D30,TDOMCA!D30,ROYCCA!D30)</f>
        <v>5391.5919999999996</v>
      </c>
      <c r="E30" s="2">
        <f>SUM(SBOSCA!E30,MCBTCA!E30,ICICCA!E30,HKBCCA!E30,CUCXCA!E30,BOFMCA!E30,BOFACA!E30,BNPACA!E30,BNDCCA!E30,BLCMCA!E30,BCANCA!E30,ATBRCA!E30,CCDQCA!E30,CIBCCA!E30,NOSCCA!E30,TDOMCA!E30,ROYCCA!E30)</f>
        <v>27775.848000000002</v>
      </c>
      <c r="F30" s="3">
        <f>SUM(SBOSCA!F30,MCBTCA!F30,ICICCA!F30,HKBCCA!F30,CUCXCA!F30,BOFMCA!F30,BOFACA!F30,BNPACA!F30,BNDCCA!F30,BLCMCA!F30,BCANCA!F30,ATBRCA!F30,CCDQCA!F30,CIBCCA!F30,NOSCCA!F30,TDOMCA!F30,ROYCCA!F30)</f>
        <v>74470.203000000009</v>
      </c>
      <c r="G30" s="2">
        <f>SUM(SBOSCA!G30,MCBTCA!G30,ICICCA!G30,HKBCCA!G30,CUCXCA!G30,BOFMCA!G30,BOFACA!G30,BNPACA!G30,BNDCCA!G30,BLCMCA!G30,BCANCA!G30,ATBRCA!G30,CCDQCA!G30,CIBCCA!G30,NOSCCA!G30,TDOMCA!G30,ROYCCA!G30)</f>
        <v>121164.55600000001</v>
      </c>
      <c r="K30" s="19" t="str">
        <f t="shared" si="1"/>
        <v>2028Q3</v>
      </c>
      <c r="L30" s="20">
        <f>ROUND(LN(Totals!B30/'Porfolio Forecast'!B30),4)</f>
        <v>-1.8599999999999998E-2</v>
      </c>
      <c r="M30" s="21">
        <f>ROUND(LN(Totals!C30/'Porfolio Forecast'!C30),4)</f>
        <v>-5.0000000000000001E-3</v>
      </c>
      <c r="N30" s="20">
        <f>ROUND(LN(Totals!D30/'Porfolio Forecast'!D30),4)</f>
        <v>5.3E-3</v>
      </c>
      <c r="O30" s="20">
        <f>ROUND(LN(Totals!E30/'Porfolio Forecast'!E30),4)</f>
        <v>-0.3508</v>
      </c>
      <c r="P30" s="21">
        <f>ROUND(LN(Totals!F30/'Porfolio Forecast'!F30),4)</f>
        <v>-3.39E-2</v>
      </c>
      <c r="Q30" s="20">
        <f>ROUND(LN(Totals!G30/'Porfolio Forecast'!G30),4)</f>
        <v>5.5399999999999998E-2</v>
      </c>
    </row>
    <row r="31" spans="1:17" s="1" customFormat="1" ht="15.5" thickTop="1" thickBot="1" x14ac:dyDescent="0.4">
      <c r="A31" s="5" t="str">
        <f>SBOSCA!A31</f>
        <v>2028Q4</v>
      </c>
      <c r="B31" s="2">
        <f>SUM(SBOSCA!B31,MCBTCA!B31,ICICCA!B31,HKBCCA!B31,CUCXCA!B31,BOFMCA!B31,BOFACA!B31,BNPACA!B31,BNDCCA!B31,BLCMCA!B31,BCANCA!B31,ATBRCA!B31,CCDQCA!B31,CIBCCA!B31,NOSCCA!B31,TDOMCA!B31,ROYCCA!B31)</f>
        <v>4049.8409999999999</v>
      </c>
      <c r="C31" s="3">
        <f>SUM(SBOSCA!C31,MCBTCA!C31,ICICCA!C31,HKBCCA!C31,CUCXCA!C31,BOFMCA!C31,BOFACA!C31,BNPACA!C31,BNDCCA!C31,BLCMCA!C31,BCANCA!C31,ATBRCA!C31,CCDQCA!C31,CIBCCA!C31,NOSCCA!C31,TDOMCA!C31,ROYCCA!C31)</f>
        <v>4732.6479999999992</v>
      </c>
      <c r="D31" s="2">
        <f>SUM(SBOSCA!D31,MCBTCA!D31,ICICCA!D31,HKBCCA!D31,CUCXCA!D31,BOFMCA!D31,BOFACA!D31,BNPACA!D31,BNDCCA!D31,BLCMCA!D31,BCANCA!D31,ATBRCA!D31,CCDQCA!D31,CIBCCA!D31,NOSCCA!D31,TDOMCA!D31,ROYCCA!D31)</f>
        <v>5415.4560000000001</v>
      </c>
      <c r="E31" s="2">
        <f>SUM(SBOSCA!E31,MCBTCA!E31,ICICCA!E31,HKBCCA!E31,CUCXCA!E31,BOFMCA!E31,BOFACA!E31,BNPACA!E31,BNDCCA!E31,BLCMCA!E31,BCANCA!E31,ATBRCA!E31,CCDQCA!E31,CIBCCA!E31,NOSCCA!E31,TDOMCA!E31,ROYCCA!E31)</f>
        <v>27508.565999999999</v>
      </c>
      <c r="F31" s="3">
        <f>SUM(SBOSCA!F31,MCBTCA!F31,ICICCA!F31,HKBCCA!F31,CUCXCA!F31,BOFMCA!F31,BOFACA!F31,BNPACA!F31,BNDCCA!F31,BLCMCA!F31,BCANCA!F31,ATBRCA!F31,CCDQCA!F31,CIBCCA!F31,NOSCCA!F31,TDOMCA!F31,ROYCCA!F31)</f>
        <v>75070.365000000005</v>
      </c>
      <c r="G31" s="2">
        <f>SUM(SBOSCA!G31,MCBTCA!G31,ICICCA!G31,HKBCCA!G31,CUCXCA!G31,BOFMCA!G31,BOFACA!G31,BNPACA!G31,BNDCCA!G31,BLCMCA!G31,BCANCA!G31,ATBRCA!G31,CCDQCA!G31,CIBCCA!G31,NOSCCA!G31,TDOMCA!G31,ROYCCA!G31)</f>
        <v>122632.16299999999</v>
      </c>
      <c r="K31" s="19" t="str">
        <f t="shared" si="1"/>
        <v>2028Q4</v>
      </c>
      <c r="L31" s="20">
        <f>ROUND(LN(Totals!B31/'Porfolio Forecast'!B31),4)</f>
        <v>-1.8700000000000001E-2</v>
      </c>
      <c r="M31" s="21">
        <f>ROUND(LN(Totals!C31/'Porfolio Forecast'!C31),4)</f>
        <v>-5.0000000000000001E-3</v>
      </c>
      <c r="N31" s="20">
        <f>ROUND(LN(Totals!D31/'Porfolio Forecast'!D31),4)</f>
        <v>5.4000000000000003E-3</v>
      </c>
      <c r="O31" s="20">
        <f>ROUND(LN(Totals!E31/'Porfolio Forecast'!E31),4)</f>
        <v>-0.35720000000000002</v>
      </c>
      <c r="P31" s="21">
        <f>ROUND(LN(Totals!F31/'Porfolio Forecast'!F31),4)</f>
        <v>-3.32E-2</v>
      </c>
      <c r="Q31" s="20">
        <f>ROUND(LN(Totals!G31/'Porfolio Forecast'!G31),4)</f>
        <v>5.6500000000000002E-2</v>
      </c>
    </row>
    <row r="32" spans="1:17" s="1" customFormat="1" ht="15.5" thickTop="1" thickBot="1" x14ac:dyDescent="0.4">
      <c r="A32" s="5" t="str">
        <f>SBOSCA!A32</f>
        <v>2029Q1</v>
      </c>
      <c r="B32" s="2">
        <f>SUM(SBOSCA!B32,MCBTCA!B32,ICICCA!B32,HKBCCA!B32,CUCXCA!B32,BOFMCA!B32,BOFACA!B32,BNPACA!B32,BNDCCA!B32,BLCMCA!B32,BCANCA!B32,ATBRCA!B32,CCDQCA!B32,CIBCCA!B32,NOSCCA!B32,TDOMCA!B32,ROYCCA!B32)</f>
        <v>3812.5819999999999</v>
      </c>
      <c r="C32" s="3">
        <f>SUM(SBOSCA!C32,MCBTCA!C32,ICICCA!C32,HKBCCA!C32,CUCXCA!C32,BOFMCA!C32,BOFACA!C32,BNPACA!C32,BNDCCA!C32,BLCMCA!C32,BCANCA!C32,ATBRCA!C32,CCDQCA!C32,CIBCCA!C32,NOSCCA!C32,TDOMCA!C32,ROYCCA!C32)</f>
        <v>4496.9979999999996</v>
      </c>
      <c r="D32" s="2">
        <f>SUM(SBOSCA!D32,MCBTCA!D32,ICICCA!D32,HKBCCA!D32,CUCXCA!D32,BOFMCA!D32,BOFACA!D32,BNPACA!D32,BNDCCA!D32,BLCMCA!D32,BCANCA!D32,ATBRCA!D32,CCDQCA!D32,CIBCCA!D32,NOSCCA!D32,TDOMCA!D32,ROYCCA!D32)</f>
        <v>5181.415</v>
      </c>
      <c r="E32" s="2">
        <f>SUM(SBOSCA!E32,MCBTCA!E32,ICICCA!E32,HKBCCA!E32,CUCXCA!E32,BOFMCA!E32,BOFACA!E32,BNPACA!E32,BNDCCA!E32,BLCMCA!E32,BCANCA!E32,ATBRCA!E32,CCDQCA!E32,CIBCCA!E32,NOSCCA!E32,TDOMCA!E32,ROYCCA!E32)</f>
        <v>27274.102999999999</v>
      </c>
      <c r="F32" s="3">
        <f>SUM(SBOSCA!F32,MCBTCA!F32,ICICCA!F32,HKBCCA!F32,CUCXCA!F32,BOFMCA!F32,BOFACA!F32,BNPACA!F32,BNDCCA!F32,BLCMCA!F32,BCANCA!F32,ATBRCA!F32,CCDQCA!F32,CIBCCA!F32,NOSCCA!F32,TDOMCA!F32,ROYCCA!F32)</f>
        <v>75687.686999999991</v>
      </c>
      <c r="G32" s="2">
        <f>SUM(SBOSCA!G32,MCBTCA!G32,ICICCA!G32,HKBCCA!G32,CUCXCA!G32,BOFMCA!G32,BOFACA!G32,BNPACA!G32,BNDCCA!G32,BLCMCA!G32,BCANCA!G32,ATBRCA!G32,CCDQCA!G32,CIBCCA!G32,NOSCCA!G32,TDOMCA!G32,ROYCCA!G32)</f>
        <v>124101.272</v>
      </c>
      <c r="K32" s="19" t="str">
        <f t="shared" si="1"/>
        <v>2029Q1</v>
      </c>
      <c r="L32" s="20">
        <f>ROUND(LN(Totals!B32/'Porfolio Forecast'!B32),4)</f>
        <v>-1.9699999999999999E-2</v>
      </c>
      <c r="M32" s="21">
        <f>ROUND(LN(Totals!C32/'Porfolio Forecast'!C32),4)</f>
        <v>-5.0000000000000001E-3</v>
      </c>
      <c r="N32" s="20">
        <f>ROUND(LN(Totals!D32/'Porfolio Forecast'!D32),4)</f>
        <v>5.8999999999999999E-3</v>
      </c>
      <c r="O32" s="20">
        <f>ROUND(LN(Totals!E32/'Porfolio Forecast'!E32),4)</f>
        <v>-0.36630000000000001</v>
      </c>
      <c r="P32" s="21">
        <f>ROUND(LN(Totals!F32/'Porfolio Forecast'!F32),4)</f>
        <v>-3.4099999999999998E-2</v>
      </c>
      <c r="Q32" s="20">
        <f>ROUND(LN(Totals!G32/'Porfolio Forecast'!G32),4)</f>
        <v>5.6599999999999998E-2</v>
      </c>
    </row>
    <row r="33" spans="1:17" s="1" customFormat="1" ht="15.5" thickTop="1" thickBot="1" x14ac:dyDescent="0.4">
      <c r="A33" s="5" t="str">
        <f>SBOSCA!A33</f>
        <v>2029Q2</v>
      </c>
      <c r="B33" s="2">
        <f>SUM(SBOSCA!B33,MCBTCA!B33,ICICCA!B33,HKBCCA!B33,CUCXCA!B33,BOFMCA!B33,BOFACA!B33,BNPACA!B33,BNDCCA!B33,BLCMCA!B33,BCANCA!B33,ATBRCA!B33,CCDQCA!B33,CIBCCA!B33,NOSCCA!B33,TDOMCA!B33,ROYCCA!B33)</f>
        <v>4096.0599999999995</v>
      </c>
      <c r="C33" s="3">
        <f>SUM(SBOSCA!C33,MCBTCA!C33,ICICCA!C33,HKBCCA!C33,CUCXCA!C33,BOFMCA!C33,BOFACA!C33,BNPACA!C33,BNDCCA!C33,BLCMCA!C33,BCANCA!C33,ATBRCA!C33,CCDQCA!C33,CIBCCA!C33,NOSCCA!C33,TDOMCA!C33,ROYCCA!C33)</f>
        <v>4781.973</v>
      </c>
      <c r="D33" s="2">
        <f>SUM(SBOSCA!D33,MCBTCA!D33,ICICCA!D33,HKBCCA!D33,CUCXCA!D33,BOFMCA!D33,BOFACA!D33,BNPACA!D33,BNDCCA!D33,BLCMCA!D33,BCANCA!D33,ATBRCA!D33,CCDQCA!D33,CIBCCA!D33,NOSCCA!D33,TDOMCA!D33,ROYCCA!D33)</f>
        <v>5467.8820000000005</v>
      </c>
      <c r="E33" s="2">
        <f>SUM(SBOSCA!E33,MCBTCA!E33,ICICCA!E33,HKBCCA!E33,CUCXCA!E33,BOFMCA!E33,BOFACA!E33,BNPACA!E33,BNDCCA!E33,BLCMCA!E33,BCANCA!E33,ATBRCA!E33,CCDQCA!E33,CIBCCA!E33,NOSCCA!E33,TDOMCA!E33,ROYCCA!E33)</f>
        <v>27630.848999999998</v>
      </c>
      <c r="F33" s="3">
        <f>SUM(SBOSCA!F33,MCBTCA!F33,ICICCA!F33,HKBCCA!F33,CUCXCA!F33,BOFMCA!F33,BOFACA!F33,BNPACA!F33,BNDCCA!F33,BLCMCA!F33,BCANCA!F33,ATBRCA!F33,CCDQCA!F33,CIBCCA!F33,NOSCCA!F33,TDOMCA!F33,ROYCCA!F33)</f>
        <v>76881.538</v>
      </c>
      <c r="G33" s="2">
        <f>SUM(SBOSCA!G33,MCBTCA!G33,ICICCA!G33,HKBCCA!G33,CUCXCA!G33,BOFMCA!G33,BOFACA!G33,BNPACA!G33,BNDCCA!G33,BLCMCA!G33,BCANCA!G33,ATBRCA!G33,CCDQCA!G33,CIBCCA!G33,NOSCCA!G33,TDOMCA!G33,ROYCCA!G33)</f>
        <v>126132.228</v>
      </c>
      <c r="K33" s="19" t="str">
        <f t="shared" si="1"/>
        <v>2029Q2</v>
      </c>
      <c r="L33" s="20">
        <f>ROUND(LN(Totals!B33/'Porfolio Forecast'!B33),4)</f>
        <v>-2.1399999999999999E-2</v>
      </c>
      <c r="M33" s="21">
        <f>ROUND(LN(Totals!C33/'Porfolio Forecast'!C33),4)</f>
        <v>-7.1999999999999998E-3</v>
      </c>
      <c r="N33" s="20">
        <f>ROUND(LN(Totals!D33/'Porfolio Forecast'!D33),4)</f>
        <v>3.5000000000000001E-3</v>
      </c>
      <c r="O33" s="20">
        <f>ROUND(LN(Totals!E33/'Porfolio Forecast'!E33),4)</f>
        <v>-0.3674</v>
      </c>
      <c r="P33" s="21">
        <f>ROUND(LN(Totals!F33/'Porfolio Forecast'!F33),4)</f>
        <v>-3.4000000000000002E-2</v>
      </c>
      <c r="Q33" s="20">
        <f>ROUND(LN(Totals!G33/'Porfolio Forecast'!G33),4)</f>
        <v>5.67E-2</v>
      </c>
    </row>
    <row r="34" spans="1:17" s="1" customFormat="1" ht="15.5" thickTop="1" thickBot="1" x14ac:dyDescent="0.4">
      <c r="A34" s="5" t="str">
        <f>SBOSCA!A34</f>
        <v>2029Q3</v>
      </c>
      <c r="B34" s="2">
        <f>SUM(SBOSCA!B34,MCBTCA!B34,ICICCA!B34,HKBCCA!B34,CUCXCA!B34,BOFMCA!B34,BOFACA!B34,BNPACA!B34,BNDCCA!B34,BLCMCA!B34,BCANCA!B34,ATBRCA!B34,CCDQCA!B34,CIBCCA!B34,NOSCCA!B34,TDOMCA!B34,ROYCCA!B34)</f>
        <v>4099.0529999999999</v>
      </c>
      <c r="C34" s="3">
        <f>SUM(SBOSCA!C34,MCBTCA!C34,ICICCA!C34,HKBCCA!C34,CUCXCA!C34,BOFMCA!C34,BOFACA!C34,BNPACA!C34,BNDCCA!C34,BLCMCA!C34,BCANCA!C34,ATBRCA!C34,CCDQCA!C34,CIBCCA!C34,NOSCCA!C34,TDOMCA!C34,ROYCCA!C34)</f>
        <v>4786.353000000001</v>
      </c>
      <c r="D34" s="2">
        <f>SUM(SBOSCA!D34,MCBTCA!D34,ICICCA!D34,HKBCCA!D34,CUCXCA!D34,BOFMCA!D34,BOFACA!D34,BNPACA!D34,BNDCCA!D34,BLCMCA!D34,BCANCA!D34,ATBRCA!D34,CCDQCA!D34,CIBCCA!D34,NOSCCA!D34,TDOMCA!D34,ROYCCA!D34)</f>
        <v>5473.6550000000007</v>
      </c>
      <c r="E34" s="2">
        <f>SUM(SBOSCA!E34,MCBTCA!E34,ICICCA!E34,HKBCCA!E34,CUCXCA!E34,BOFMCA!E34,BOFACA!E34,BNPACA!E34,BNDCCA!E34,BLCMCA!E34,BCANCA!E34,ATBRCA!E34,CCDQCA!E34,CIBCCA!E34,NOSCCA!E34,TDOMCA!E34,ROYCCA!E34)</f>
        <v>26651.388999999999</v>
      </c>
      <c r="F34" s="3">
        <f>SUM(SBOSCA!F34,MCBTCA!F34,ICICCA!F34,HKBCCA!F34,CUCXCA!F34,BOFMCA!F34,BOFACA!F34,BNPACA!F34,BNDCCA!F34,BLCMCA!F34,BCANCA!F34,ATBRCA!F34,CCDQCA!F34,CIBCCA!F34,NOSCCA!F34,TDOMCA!F34,ROYCCA!F34)</f>
        <v>76725.107000000004</v>
      </c>
      <c r="G34" s="2">
        <f>SUM(SBOSCA!G34,MCBTCA!G34,ICICCA!G34,HKBCCA!G34,CUCXCA!G34,BOFMCA!G34,BOFACA!G34,BNPACA!G34,BNDCCA!G34,BLCMCA!G34,BCANCA!G34,ATBRCA!G34,CCDQCA!G34,CIBCCA!G34,NOSCCA!G34,TDOMCA!G34,ROYCCA!G34)</f>
        <v>126798.82</v>
      </c>
      <c r="K34" s="19" t="str">
        <f t="shared" si="1"/>
        <v>2029Q3</v>
      </c>
      <c r="L34" s="20">
        <f>ROUND(LN(Totals!B34/'Porfolio Forecast'!B34),4)</f>
        <v>-1.7299999999999999E-2</v>
      </c>
      <c r="M34" s="21">
        <f>ROUND(LN(Totals!C34/'Porfolio Forecast'!C34),4)</f>
        <v>-3.5000000000000001E-3</v>
      </c>
      <c r="N34" s="20">
        <f>ROUND(LN(Totals!D34/'Porfolio Forecast'!D34),4)</f>
        <v>6.8999999999999999E-3</v>
      </c>
      <c r="O34" s="20">
        <f>ROUND(LN(Totals!E34/'Porfolio Forecast'!E34),4)</f>
        <v>-0.38329999999999997</v>
      </c>
      <c r="P34" s="21">
        <f>ROUND(LN(Totals!F34/'Porfolio Forecast'!F34),4)</f>
        <v>-3.4200000000000001E-2</v>
      </c>
      <c r="Q34" s="20">
        <f>ROUND(LN(Totals!G34/'Porfolio Forecast'!G34),4)</f>
        <v>5.7700000000000001E-2</v>
      </c>
    </row>
    <row r="35" spans="1:17" s="1" customFormat="1" ht="15.5" thickTop="1" thickBot="1" x14ac:dyDescent="0.4">
      <c r="A35" s="5" t="str">
        <f>SBOSCA!A35</f>
        <v>2029Q4</v>
      </c>
      <c r="B35" s="2">
        <f>SUM(SBOSCA!B35,MCBTCA!B35,ICICCA!B35,HKBCCA!B35,CUCXCA!B35,BOFMCA!B35,BOFACA!B35,BNPACA!B35,BNDCCA!B35,BLCMCA!B35,BCANCA!B35,ATBRCA!B35,CCDQCA!B35,CIBCCA!B35,NOSCCA!B35,TDOMCA!B35,ROYCCA!B35)</f>
        <v>4120.6059999999998</v>
      </c>
      <c r="C35" s="3">
        <f>SUM(SBOSCA!C35,MCBTCA!C35,ICICCA!C35,HKBCCA!C35,CUCXCA!C35,BOFMCA!C35,BOFACA!C35,BNPACA!C35,BNDCCA!C35,BLCMCA!C35,BCANCA!C35,ATBRCA!C35,CCDQCA!C35,CIBCCA!C35,NOSCCA!C35,TDOMCA!C35,ROYCCA!C35)</f>
        <v>4809.1939999999995</v>
      </c>
      <c r="D35" s="2">
        <f>SUM(SBOSCA!D35,MCBTCA!D35,ICICCA!D35,HKBCCA!D35,CUCXCA!D35,BOFMCA!D35,BOFACA!D35,BNPACA!D35,BNDCCA!D35,BLCMCA!D35,BCANCA!D35,ATBRCA!D35,CCDQCA!D35,CIBCCA!D35,NOSCCA!D35,TDOMCA!D35,ROYCCA!D35)</f>
        <v>5497.7880000000005</v>
      </c>
      <c r="E35" s="2">
        <f>SUM(SBOSCA!E35,MCBTCA!E35,ICICCA!E35,HKBCCA!E35,CUCXCA!E35,BOFMCA!E35,BOFACA!E35,BNPACA!E35,BNDCCA!E35,BLCMCA!E35,BCANCA!E35,ATBRCA!E35,CCDQCA!E35,CIBCCA!E35,NOSCCA!E35,TDOMCA!E35,ROYCCA!E35)</f>
        <v>26441.736000000001</v>
      </c>
      <c r="F35" s="3">
        <f>SUM(SBOSCA!F35,MCBTCA!F35,ICICCA!F35,HKBCCA!F35,CUCXCA!F35,BOFMCA!F35,BOFACA!F35,BNPACA!F35,BNDCCA!F35,BLCMCA!F35,BCANCA!F35,ATBRCA!F35,CCDQCA!F35,CIBCCA!F35,NOSCCA!F35,TDOMCA!F35,ROYCCA!F35)</f>
        <v>77325.195000000007</v>
      </c>
      <c r="G35" s="2">
        <f>SUM(SBOSCA!G35,MCBTCA!G35,ICICCA!G35,HKBCCA!G35,CUCXCA!G35,BOFMCA!G35,BOFACA!G35,BNPACA!G35,BNDCCA!G35,BLCMCA!G35,BCANCA!G35,ATBRCA!G35,CCDQCA!G35,CIBCCA!G35,NOSCCA!G35,TDOMCA!G35,ROYCCA!G35)</f>
        <v>128208.65700000001</v>
      </c>
      <c r="K35" s="19" t="str">
        <f t="shared" si="1"/>
        <v>2029Q4</v>
      </c>
      <c r="L35" s="20">
        <f>ROUND(LN(Totals!B35/'Porfolio Forecast'!B35),4)</f>
        <v>-1.7399999999999999E-2</v>
      </c>
      <c r="M35" s="21">
        <f>ROUND(LN(Totals!C35/'Porfolio Forecast'!C35),4)</f>
        <v>-3.5999999999999999E-3</v>
      </c>
      <c r="N35" s="20">
        <f>ROUND(LN(Totals!D35/'Porfolio Forecast'!D35),4)</f>
        <v>6.8999999999999999E-3</v>
      </c>
      <c r="O35" s="20">
        <f>ROUND(LN(Totals!E35/'Porfolio Forecast'!E35),4)</f>
        <v>-0.38900000000000001</v>
      </c>
      <c r="P35" s="21">
        <f>ROUND(LN(Totals!F35/'Porfolio Forecast'!F35),4)</f>
        <v>-3.3500000000000002E-2</v>
      </c>
      <c r="Q35" s="20">
        <f>ROUND(LN(Totals!G35/'Porfolio Forecast'!G35),4)</f>
        <v>5.8700000000000002E-2</v>
      </c>
    </row>
    <row r="36" spans="1:17" ht="15" thickTop="1" x14ac:dyDescent="0.35"/>
    <row r="38" spans="1:17" ht="15" thickBot="1" x14ac:dyDescent="0.4"/>
    <row r="39" spans="1:17" ht="15.5" thickTop="1" thickBot="1" x14ac:dyDescent="0.4">
      <c r="A39" s="30" t="s">
        <v>65</v>
      </c>
      <c r="B39" s="31"/>
      <c r="C39" s="31"/>
      <c r="D39" s="31"/>
      <c r="E39" s="31"/>
      <c r="F39" s="31"/>
      <c r="G39" s="31"/>
      <c r="K39" s="30" t="s">
        <v>66</v>
      </c>
      <c r="L39" s="31"/>
      <c r="M39" s="31"/>
      <c r="N39" s="31"/>
      <c r="O39" s="31"/>
      <c r="P39" s="31"/>
      <c r="Q39" s="31"/>
    </row>
    <row r="40" spans="1:17" ht="15.5" thickTop="1" thickBot="1" x14ac:dyDescent="0.4">
      <c r="A40" s="6"/>
      <c r="B40" s="31" t="s">
        <v>1</v>
      </c>
      <c r="C40" s="31"/>
      <c r="D40" s="31"/>
      <c r="E40" s="31" t="s">
        <v>2</v>
      </c>
      <c r="F40" s="31"/>
      <c r="G40" s="31"/>
      <c r="K40" s="6"/>
      <c r="L40" s="31" t="s">
        <v>1</v>
      </c>
      <c r="M40" s="31"/>
      <c r="N40" s="31"/>
      <c r="O40" s="31" t="s">
        <v>2</v>
      </c>
      <c r="P40" s="31"/>
      <c r="Q40" s="31"/>
    </row>
    <row r="41" spans="1:17" ht="30" thickTop="1" thickBot="1" x14ac:dyDescent="0.4">
      <c r="A41" s="10" t="s">
        <v>0</v>
      </c>
      <c r="B41" s="10" t="s">
        <v>19</v>
      </c>
      <c r="C41" s="11" t="s">
        <v>89</v>
      </c>
      <c r="D41" s="10" t="s">
        <v>20</v>
      </c>
      <c r="E41" s="10" t="s">
        <v>19</v>
      </c>
      <c r="F41" s="11" t="s">
        <v>87</v>
      </c>
      <c r="G41" s="10" t="s">
        <v>20</v>
      </c>
      <c r="K41" s="10" t="s">
        <v>0</v>
      </c>
      <c r="L41" s="10" t="s">
        <v>19</v>
      </c>
      <c r="M41" s="11" t="s">
        <v>87</v>
      </c>
      <c r="N41" s="10" t="s">
        <v>20</v>
      </c>
      <c r="O41" s="10" t="s">
        <v>19</v>
      </c>
      <c r="P41" s="11" t="s">
        <v>87</v>
      </c>
      <c r="Q41" s="10" t="s">
        <v>20</v>
      </c>
    </row>
    <row r="42" spans="1:17" ht="15.5" thickTop="1" thickBot="1" x14ac:dyDescent="0.4">
      <c r="A42" s="7" t="str">
        <f>SBOSCA!A44</f>
        <v>2022Q1</v>
      </c>
      <c r="B42" s="6">
        <f>SUM(SBOSCA!B44,MCBTCA!B44,ICICCA!B44,HKBCCA!B44,CUCXCA!B44,BOFMCA!B44,BOFACA!B44,BNPACA!B44,BNDCCA!B44,BLCMCA!B44,BCANCA!B44,ATBRCA!B44,CCDQCA!B44,CIBCCA!B44,NOSCCA!B44,TDOMCA!B44,ROYCCA!B44)</f>
        <v>0</v>
      </c>
      <c r="C42" s="9">
        <f>SUM(SBOSCA!C44,MCBTCA!C44,ICICCA!C44,HKBCCA!C44,CUCXCA!C44,BOFMCA!C44,BOFACA!C44,BNPACA!C44,BNDCCA!C44,BLCMCA!C44,BCANCA!C44,ATBRCA!C44,CCDQCA!C44,CIBCCA!C44,NOSCCA!C44,TDOMCA!C44,ROYCCA!C44)</f>
        <v>4190.0110000000004</v>
      </c>
      <c r="D42" s="6">
        <f>SUM(SBOSCA!D44,MCBTCA!D44,ICICCA!D44,HKBCCA!D44,CUCXCA!D44,BOFMCA!D44,BOFACA!D44,BNPACA!D44,BNDCCA!D44,BLCMCA!D44,BCANCA!D44,ATBRCA!D44,CCDQCA!D44,CIBCCA!D44,NOSCCA!D44,TDOMCA!D44,ROYCCA!D44)</f>
        <v>0</v>
      </c>
      <c r="E42" s="6">
        <f>SUM(SBOSCA!E44,MCBTCA!E44,ICICCA!E44,HKBCCA!E44,CUCXCA!E44,BOFMCA!E44,BOFACA!E44,BNPACA!E44,BNDCCA!E44,BLCMCA!E44,BCANCA!E44,ATBRCA!E44,CCDQCA!E44,CIBCCA!E44,NOSCCA!E44,TDOMCA!E44,ROYCCA!E44)</f>
        <v>0</v>
      </c>
      <c r="F42" s="9">
        <f>SUM(SBOSCA!F44,MCBTCA!F44,ICICCA!F44,HKBCCA!F44,CUCXCA!F44,BOFMCA!F44,BOFACA!F44,BNPACA!F44,BNDCCA!F44,BLCMCA!F44,BCANCA!F44,ATBRCA!F44,CCDQCA!F44,CIBCCA!F44,NOSCCA!F44,TDOMCA!F44,ROYCCA!F44)</f>
        <v>58138.824000000001</v>
      </c>
      <c r="G42" s="6">
        <f>SUM(SBOSCA!G44,MCBTCA!G44,ICICCA!G44,HKBCCA!G44,CUCXCA!G44,BOFMCA!G44,BOFACA!G44,BNPACA!G44,BNDCCA!G44,BLCMCA!G44,BCANCA!G44,ATBRCA!G44,CCDQCA!G44,CIBCCA!G44,NOSCCA!G44,TDOMCA!G44,ROYCCA!G44)</f>
        <v>0</v>
      </c>
      <c r="K42" s="7" t="str">
        <f>SBOSCA!K44</f>
        <v>2022Q1</v>
      </c>
      <c r="L42" s="6">
        <f>SUM(SBOSCA!L44,MCBTCA!L44,ICICCA!L44,HKBCCA!L44,CUCXCA!L44,BOFMCA!L44,BOFACA!L44,BNPACA!L44,BNDCCA!L44,BLCMCA!L44,BCANCA!L44,ATBRCA!L44,CCDQCA!L44,CIBCCA!L44,NOSCCA!L44,TDOMCA!L44,ROYCCA!L44)</f>
        <v>0</v>
      </c>
      <c r="M42" s="9">
        <f>SUM(SBOSCA!M44,MCBTCA!M44,ICICCA!M44,HKBCCA!M44,CUCXCA!M44,BOFMCA!M44,BOFACA!M44,BNPACA!M44,BNDCCA!M44,BLCMCA!M44,BCANCA!M44,ATBRCA!M44,CCDQCA!M44,CIBCCA!M44,NOSCCA!M44,TDOMCA!M44,ROYCCA!M44)</f>
        <v>4117.402</v>
      </c>
      <c r="N42" s="6">
        <f>SUM(SBOSCA!N44,MCBTCA!N44,ICICCA!N44,HKBCCA!N44,CUCXCA!N44,BOFMCA!N44,BOFACA!N44,BNPACA!N44,BNDCCA!N44,BLCMCA!N44,BCANCA!N44,ATBRCA!N44,CCDQCA!N44,CIBCCA!N44,NOSCCA!N44,TDOMCA!N44,ROYCCA!N44)</f>
        <v>0</v>
      </c>
      <c r="O42" s="6">
        <f>SUM(SBOSCA!O44,MCBTCA!O44,ICICCA!O44,HKBCCA!O44,CUCXCA!O44,BOFMCA!O44,BOFACA!O44,BNPACA!O44,BNDCCA!O44,BLCMCA!O44,BCANCA!O44,ATBRCA!O44,CCDQCA!O44,CIBCCA!O44,NOSCCA!O44,TDOMCA!O44,ROYCCA!O44)</f>
        <v>0</v>
      </c>
      <c r="P42" s="9">
        <f>SUM(SBOSCA!P44,MCBTCA!P44,ICICCA!P44,HKBCCA!P44,CUCXCA!P44,BOFMCA!P44,BOFACA!P44,BNPACA!P44,BNDCCA!P44,BLCMCA!P44,BCANCA!P44,ATBRCA!P44,CCDQCA!P44,CIBCCA!P44,NOSCCA!P44,TDOMCA!P44,ROYCCA!P44)</f>
        <v>56303.54</v>
      </c>
      <c r="Q42" s="6">
        <f>SUM(SBOSCA!Q44,MCBTCA!Q44,ICICCA!Q44,HKBCCA!Q44,CUCXCA!Q44,BOFMCA!Q44,BOFACA!Q44,BNPACA!Q44,BNDCCA!Q44,BLCMCA!Q44,BCANCA!Q44,ATBRCA!Q44,CCDQCA!Q44,CIBCCA!Q44,NOSCCA!Q44,TDOMCA!Q44,ROYCCA!Q44)</f>
        <v>0</v>
      </c>
    </row>
    <row r="43" spans="1:17" ht="15.5" thickTop="1" thickBot="1" x14ac:dyDescent="0.4">
      <c r="A43" s="7" t="str">
        <f>SBOSCA!A45</f>
        <v>2022Q2</v>
      </c>
      <c r="B43" s="6">
        <f>SUM(SBOSCA!B45,MCBTCA!B45,ICICCA!B45,HKBCCA!B45,CUCXCA!B45,BOFMCA!B45,BOFACA!B45,BNPACA!B45,BNDCCA!B45,BLCMCA!B45,BCANCA!B45,ATBRCA!B45,CCDQCA!B45,CIBCCA!B45,NOSCCA!B45,TDOMCA!B45,ROYCCA!B45)</f>
        <v>0</v>
      </c>
      <c r="C43" s="9">
        <f>SUM(SBOSCA!C45,MCBTCA!C45,ICICCA!C45,HKBCCA!C45,CUCXCA!C45,BOFMCA!C45,BOFACA!C45,BNPACA!C45,BNDCCA!C45,BLCMCA!C45,BCANCA!C45,ATBRCA!C45,CCDQCA!C45,CIBCCA!C45,NOSCCA!C45,TDOMCA!C45,ROYCCA!C45)</f>
        <v>4412.1379999999999</v>
      </c>
      <c r="D43" s="6">
        <f>SUM(SBOSCA!D45,MCBTCA!D45,ICICCA!D45,HKBCCA!D45,CUCXCA!D45,BOFMCA!D45,BOFACA!D45,BNPACA!D45,BNDCCA!D45,BLCMCA!D45,BCANCA!D45,ATBRCA!D45,CCDQCA!D45,CIBCCA!D45,NOSCCA!D45,TDOMCA!D45,ROYCCA!D45)</f>
        <v>0</v>
      </c>
      <c r="E43" s="6">
        <f>SUM(SBOSCA!E45,MCBTCA!E45,ICICCA!E45,HKBCCA!E45,CUCXCA!E45,BOFMCA!E45,BOFACA!E45,BNPACA!E45,BNDCCA!E45,BLCMCA!E45,BCANCA!E45,ATBRCA!E45,CCDQCA!E45,CIBCCA!E45,NOSCCA!E45,TDOMCA!E45,ROYCCA!E45)</f>
        <v>0</v>
      </c>
      <c r="F43" s="9">
        <f>SUM(SBOSCA!F45,MCBTCA!F45,ICICCA!F45,HKBCCA!F45,CUCXCA!F45,BOFMCA!F45,BOFACA!F45,BNPACA!F45,BNDCCA!F45,BLCMCA!F45,BCANCA!F45,ATBRCA!F45,CCDQCA!F45,CIBCCA!F45,NOSCCA!F45,TDOMCA!F45,ROYCCA!F45)</f>
        <v>58245.845999999998</v>
      </c>
      <c r="G43" s="6">
        <f>SUM(SBOSCA!G45,MCBTCA!G45,ICICCA!G45,HKBCCA!G45,CUCXCA!G45,BOFMCA!G45,BOFACA!G45,BNPACA!G45,BNDCCA!G45,BLCMCA!G45,BCANCA!G45,ATBRCA!G45,CCDQCA!G45,CIBCCA!G45,NOSCCA!G45,TDOMCA!G45,ROYCCA!G45)</f>
        <v>0</v>
      </c>
      <c r="K43" s="7" t="str">
        <f>SBOSCA!K45</f>
        <v>2022Q2</v>
      </c>
      <c r="L43" s="6">
        <f>SUM(SBOSCA!L45,MCBTCA!L45,ICICCA!L45,HKBCCA!L45,CUCXCA!L45,BOFMCA!L45,BOFACA!L45,BNPACA!L45,BNDCCA!L45,BLCMCA!L45,BCANCA!L45,ATBRCA!L45,CCDQCA!L45,CIBCCA!L45,NOSCCA!L45,TDOMCA!L45,ROYCCA!L45)</f>
        <v>0</v>
      </c>
      <c r="M43" s="9">
        <f>SUM(SBOSCA!M45,MCBTCA!M45,ICICCA!M45,HKBCCA!M45,CUCXCA!M45,BOFMCA!M45,BOFACA!M45,BNPACA!M45,BNDCCA!M45,BLCMCA!M45,BCANCA!M45,ATBRCA!M45,CCDQCA!M45,CIBCCA!M45,NOSCCA!M45,TDOMCA!M45,ROYCCA!M45)</f>
        <v>4317.049</v>
      </c>
      <c r="N43" s="6">
        <f>SUM(SBOSCA!N45,MCBTCA!N45,ICICCA!N45,HKBCCA!N45,CUCXCA!N45,BOFMCA!N45,BOFACA!N45,BNPACA!N45,BNDCCA!N45,BLCMCA!N45,BCANCA!N45,ATBRCA!N45,CCDQCA!N45,CIBCCA!N45,NOSCCA!N45,TDOMCA!N45,ROYCCA!N45)</f>
        <v>0</v>
      </c>
      <c r="O43" s="6">
        <f>SUM(SBOSCA!O45,MCBTCA!O45,ICICCA!O45,HKBCCA!O45,CUCXCA!O45,BOFMCA!O45,BOFACA!O45,BNPACA!O45,BNDCCA!O45,BLCMCA!O45,BCANCA!O45,ATBRCA!O45,CCDQCA!O45,CIBCCA!O45,NOSCCA!O45,TDOMCA!O45,ROYCCA!O45)</f>
        <v>0</v>
      </c>
      <c r="P43" s="9">
        <f>SUM(SBOSCA!P45,MCBTCA!P45,ICICCA!P45,HKBCCA!P45,CUCXCA!P45,BOFMCA!P45,BOFACA!P45,BNPACA!P45,BNDCCA!P45,BLCMCA!P45,BCANCA!P45,ATBRCA!P45,CCDQCA!P45,CIBCCA!P45,NOSCCA!P45,TDOMCA!P45,ROYCCA!P45)</f>
        <v>55288.551000000007</v>
      </c>
      <c r="Q43" s="6">
        <f>SUM(SBOSCA!Q45,MCBTCA!Q45,ICICCA!Q45,HKBCCA!Q45,CUCXCA!Q45,BOFMCA!Q45,BOFACA!Q45,BNPACA!Q45,BNDCCA!Q45,BLCMCA!Q45,BCANCA!Q45,ATBRCA!Q45,CCDQCA!Q45,CIBCCA!Q45,NOSCCA!Q45,TDOMCA!Q45,ROYCCA!Q45)</f>
        <v>0</v>
      </c>
    </row>
    <row r="44" spans="1:17" ht="15.5" thickTop="1" thickBot="1" x14ac:dyDescent="0.4">
      <c r="A44" s="7" t="str">
        <f>SBOSCA!A46</f>
        <v>2022Q3</v>
      </c>
      <c r="B44" s="6">
        <f>SUM(SBOSCA!B46,MCBTCA!B46,ICICCA!B46,HKBCCA!B46,CUCXCA!B46,BOFMCA!B46,BOFACA!B46,BNPACA!B46,BNDCCA!B46,BLCMCA!B46,BCANCA!B46,ATBRCA!B46,CCDQCA!B46,CIBCCA!B46,NOSCCA!B46,TDOMCA!B46,ROYCCA!B46)</f>
        <v>0</v>
      </c>
      <c r="C44" s="9">
        <f>SUM(SBOSCA!C46,MCBTCA!C46,ICICCA!C46,HKBCCA!C46,CUCXCA!C46,BOFMCA!C46,BOFACA!C46,BNPACA!C46,BNDCCA!C46,BLCMCA!C46,BCANCA!C46,ATBRCA!C46,CCDQCA!C46,CIBCCA!C46,NOSCCA!C46,TDOMCA!C46,ROYCCA!C46)</f>
        <v>4366.5069999999996</v>
      </c>
      <c r="D44" s="6">
        <f>SUM(SBOSCA!D46,MCBTCA!D46,ICICCA!D46,HKBCCA!D46,CUCXCA!D46,BOFMCA!D46,BOFACA!D46,BNPACA!D46,BNDCCA!D46,BLCMCA!D46,BCANCA!D46,ATBRCA!D46,CCDQCA!D46,CIBCCA!D46,NOSCCA!D46,TDOMCA!D46,ROYCCA!D46)</f>
        <v>0</v>
      </c>
      <c r="E44" s="6">
        <f>SUM(SBOSCA!E46,MCBTCA!E46,ICICCA!E46,HKBCCA!E46,CUCXCA!E46,BOFMCA!E46,BOFACA!E46,BNPACA!E46,BNDCCA!E46,BLCMCA!E46,BCANCA!E46,ATBRCA!E46,CCDQCA!E46,CIBCCA!E46,NOSCCA!E46,TDOMCA!E46,ROYCCA!E46)</f>
        <v>0</v>
      </c>
      <c r="F44" s="9">
        <f>SUM(SBOSCA!F46,MCBTCA!F46,ICICCA!F46,HKBCCA!F46,CUCXCA!F46,BOFMCA!F46,BOFACA!F46,BNPACA!F46,BNDCCA!F46,BLCMCA!F46,BCANCA!F46,ATBRCA!F46,CCDQCA!F46,CIBCCA!F46,NOSCCA!F46,TDOMCA!F46,ROYCCA!F46)</f>
        <v>57287.316999999995</v>
      </c>
      <c r="G44" s="6">
        <f>SUM(SBOSCA!G46,MCBTCA!G46,ICICCA!G46,HKBCCA!G46,CUCXCA!G46,BOFMCA!G46,BOFACA!G46,BNPACA!G46,BNDCCA!G46,BLCMCA!G46,BCANCA!G46,ATBRCA!G46,CCDQCA!G46,CIBCCA!G46,NOSCCA!G46,TDOMCA!G46,ROYCCA!G46)</f>
        <v>0</v>
      </c>
      <c r="K44" s="7" t="str">
        <f>SBOSCA!K46</f>
        <v>2022Q3</v>
      </c>
      <c r="L44" s="6">
        <f>SUM(SBOSCA!L46,MCBTCA!L46,ICICCA!L46,HKBCCA!L46,CUCXCA!L46,BOFMCA!L46,BOFACA!L46,BNPACA!L46,BNDCCA!L46,BLCMCA!L46,BCANCA!L46,ATBRCA!L46,CCDQCA!L46,CIBCCA!L46,NOSCCA!L46,TDOMCA!L46,ROYCCA!L46)</f>
        <v>0</v>
      </c>
      <c r="M44" s="9">
        <f>SUM(SBOSCA!M46,MCBTCA!M46,ICICCA!M46,HKBCCA!M46,CUCXCA!M46,BOFMCA!M46,BOFACA!M46,BNPACA!M46,BNDCCA!M46,BLCMCA!M46,BCANCA!M46,ATBRCA!M46,CCDQCA!M46,CIBCCA!M46,NOSCCA!M46,TDOMCA!M46,ROYCCA!M46)</f>
        <v>4256.6379999999999</v>
      </c>
      <c r="N44" s="6">
        <f>SUM(SBOSCA!N46,MCBTCA!N46,ICICCA!N46,HKBCCA!N46,CUCXCA!N46,BOFMCA!N46,BOFACA!N46,BNPACA!N46,BNDCCA!N46,BLCMCA!N46,BCANCA!N46,ATBRCA!N46,CCDQCA!N46,CIBCCA!N46,NOSCCA!N46,TDOMCA!N46,ROYCCA!N46)</f>
        <v>0</v>
      </c>
      <c r="O44" s="6">
        <f>SUM(SBOSCA!O46,MCBTCA!O46,ICICCA!O46,HKBCCA!O46,CUCXCA!O46,BOFMCA!O46,BOFACA!O46,BNPACA!O46,BNDCCA!O46,BLCMCA!O46,BCANCA!O46,ATBRCA!O46,CCDQCA!O46,CIBCCA!O46,NOSCCA!O46,TDOMCA!O46,ROYCCA!O46)</f>
        <v>0</v>
      </c>
      <c r="P44" s="9">
        <f>SUM(SBOSCA!P46,MCBTCA!P46,ICICCA!P46,HKBCCA!P46,CUCXCA!P46,BOFMCA!P46,BOFACA!P46,BNPACA!P46,BNDCCA!P46,BLCMCA!P46,BCANCA!P46,ATBRCA!P46,CCDQCA!P46,CIBCCA!P46,NOSCCA!P46,TDOMCA!P46,ROYCCA!P46)</f>
        <v>53617.569000000003</v>
      </c>
      <c r="Q44" s="6">
        <f>SUM(SBOSCA!Q46,MCBTCA!Q46,ICICCA!Q46,HKBCCA!Q46,CUCXCA!Q46,BOFMCA!Q46,BOFACA!Q46,BNPACA!Q46,BNDCCA!Q46,BLCMCA!Q46,BCANCA!Q46,ATBRCA!Q46,CCDQCA!Q46,CIBCCA!Q46,NOSCCA!Q46,TDOMCA!Q46,ROYCCA!Q46)</f>
        <v>0</v>
      </c>
    </row>
    <row r="45" spans="1:17" ht="15.5" thickTop="1" thickBot="1" x14ac:dyDescent="0.4">
      <c r="A45" s="7" t="str">
        <f>SBOSCA!A47</f>
        <v>2022Q4</v>
      </c>
      <c r="B45" s="6">
        <f>SUM(SBOSCA!B47,MCBTCA!B47,ICICCA!B47,HKBCCA!B47,CUCXCA!B47,BOFMCA!B47,BOFACA!B47,BNPACA!B47,BNDCCA!B47,BLCMCA!B47,BCANCA!B47,ATBRCA!B47,CCDQCA!B47,CIBCCA!B47,NOSCCA!B47,TDOMCA!B47,ROYCCA!B47)</f>
        <v>0</v>
      </c>
      <c r="C45" s="9">
        <f>SUM(SBOSCA!C47,MCBTCA!C47,ICICCA!C47,HKBCCA!C47,CUCXCA!C47,BOFMCA!C47,BOFACA!C47,BNPACA!C47,BNDCCA!C47,BLCMCA!C47,BCANCA!C47,ATBRCA!C47,CCDQCA!C47,CIBCCA!C47,NOSCCA!C47,TDOMCA!C47,ROYCCA!C47)</f>
        <v>4347.83</v>
      </c>
      <c r="D45" s="6">
        <f>SUM(SBOSCA!D47,MCBTCA!D47,ICICCA!D47,HKBCCA!D47,CUCXCA!D47,BOFMCA!D47,BOFACA!D47,BNPACA!D47,BNDCCA!D47,BLCMCA!D47,BCANCA!D47,ATBRCA!D47,CCDQCA!D47,CIBCCA!D47,NOSCCA!D47,TDOMCA!D47,ROYCCA!D47)</f>
        <v>0</v>
      </c>
      <c r="E45" s="6">
        <f>SUM(SBOSCA!E47,MCBTCA!E47,ICICCA!E47,HKBCCA!E47,CUCXCA!E47,BOFMCA!E47,BOFACA!E47,BNPACA!E47,BNDCCA!E47,BLCMCA!E47,BCANCA!E47,ATBRCA!E47,CCDQCA!E47,CIBCCA!E47,NOSCCA!E47,TDOMCA!E47,ROYCCA!E47)</f>
        <v>0</v>
      </c>
      <c r="F45" s="9">
        <f>SUM(SBOSCA!F47,MCBTCA!F47,ICICCA!F47,HKBCCA!F47,CUCXCA!F47,BOFMCA!F47,BOFACA!F47,BNPACA!F47,BNDCCA!F47,BLCMCA!F47,BCANCA!F47,ATBRCA!F47,CCDQCA!F47,CIBCCA!F47,NOSCCA!F47,TDOMCA!F47,ROYCCA!F47)</f>
        <v>57243.828999999998</v>
      </c>
      <c r="G45" s="6">
        <f>SUM(SBOSCA!G47,MCBTCA!G47,ICICCA!G47,HKBCCA!G47,CUCXCA!G47,BOFMCA!G47,BOFACA!G47,BNPACA!G47,BNDCCA!G47,BLCMCA!G47,BCANCA!G47,ATBRCA!G47,CCDQCA!G47,CIBCCA!G47,NOSCCA!G47,TDOMCA!G47,ROYCCA!G47)</f>
        <v>0</v>
      </c>
      <c r="K45" s="7" t="str">
        <f>SBOSCA!K47</f>
        <v>2022Q4</v>
      </c>
      <c r="L45" s="6">
        <f>SUM(SBOSCA!L47,MCBTCA!L47,ICICCA!L47,HKBCCA!L47,CUCXCA!L47,BOFMCA!L47,BOFACA!L47,BNPACA!L47,BNDCCA!L47,BLCMCA!L47,BCANCA!L47,ATBRCA!L47,CCDQCA!L47,CIBCCA!L47,NOSCCA!L47,TDOMCA!L47,ROYCCA!L47)</f>
        <v>0</v>
      </c>
      <c r="M45" s="9">
        <f>SUM(SBOSCA!M47,MCBTCA!M47,ICICCA!M47,HKBCCA!M47,CUCXCA!M47,BOFMCA!M47,BOFACA!M47,BNPACA!M47,BNDCCA!M47,BLCMCA!M47,BCANCA!M47,ATBRCA!M47,CCDQCA!M47,CIBCCA!M47,NOSCCA!M47,TDOMCA!M47,ROYCCA!M47)</f>
        <v>4227.2489999999998</v>
      </c>
      <c r="N45" s="6">
        <f>SUM(SBOSCA!N47,MCBTCA!N47,ICICCA!N47,HKBCCA!N47,CUCXCA!N47,BOFMCA!N47,BOFACA!N47,BNPACA!N47,BNDCCA!N47,BLCMCA!N47,BCANCA!N47,ATBRCA!N47,CCDQCA!N47,CIBCCA!N47,NOSCCA!N47,TDOMCA!N47,ROYCCA!N47)</f>
        <v>0</v>
      </c>
      <c r="O45" s="6">
        <f>SUM(SBOSCA!O47,MCBTCA!O47,ICICCA!O47,HKBCCA!O47,CUCXCA!O47,BOFMCA!O47,BOFACA!O47,BNPACA!O47,BNDCCA!O47,BLCMCA!O47,BCANCA!O47,ATBRCA!O47,CCDQCA!O47,CIBCCA!O47,NOSCCA!O47,TDOMCA!O47,ROYCCA!O47)</f>
        <v>0</v>
      </c>
      <c r="P45" s="9">
        <f>SUM(SBOSCA!P47,MCBTCA!P47,ICICCA!P47,HKBCCA!P47,CUCXCA!P47,BOFMCA!P47,BOFACA!P47,BNPACA!P47,BNDCCA!P47,BLCMCA!P47,BCANCA!P47,ATBRCA!P47,CCDQCA!P47,CIBCCA!P47,NOSCCA!P47,TDOMCA!P47,ROYCCA!P47)</f>
        <v>52921.267000000007</v>
      </c>
      <c r="Q45" s="6">
        <f>SUM(SBOSCA!Q47,MCBTCA!Q47,ICICCA!Q47,HKBCCA!Q47,CUCXCA!Q47,BOFMCA!Q47,BOFACA!Q47,BNPACA!Q47,BNDCCA!Q47,BLCMCA!Q47,BCANCA!Q47,ATBRCA!Q47,CCDQCA!Q47,CIBCCA!Q47,NOSCCA!Q47,TDOMCA!Q47,ROYCCA!Q47)</f>
        <v>0</v>
      </c>
    </row>
    <row r="46" spans="1:17" ht="15.5" thickTop="1" thickBot="1" x14ac:dyDescent="0.4">
      <c r="A46" s="7" t="str">
        <f>SBOSCA!A48</f>
        <v>2023Q1</v>
      </c>
      <c r="B46" s="6">
        <f>SUM(SBOSCA!B48,MCBTCA!B48,ICICCA!B48,HKBCCA!B48,CUCXCA!B48,BOFMCA!B48,BOFACA!B48,BNPACA!B48,BNDCCA!B48,BLCMCA!B48,BCANCA!B48,ATBRCA!B48,CCDQCA!B48,CIBCCA!B48,NOSCCA!B48,TDOMCA!B48,ROYCCA!B48)</f>
        <v>0</v>
      </c>
      <c r="C46" s="9">
        <f>SUM(SBOSCA!C48,MCBTCA!C48,ICICCA!C48,HKBCCA!C48,CUCXCA!C48,BOFMCA!C48,BOFACA!C48,BNPACA!C48,BNDCCA!C48,BLCMCA!C48,BCANCA!C48,ATBRCA!C48,CCDQCA!C48,CIBCCA!C48,NOSCCA!C48,TDOMCA!C48,ROYCCA!C48)</f>
        <v>4077.6990000000001</v>
      </c>
      <c r="D46" s="6">
        <f>SUM(SBOSCA!D48,MCBTCA!D48,ICICCA!D48,HKBCCA!D48,CUCXCA!D48,BOFMCA!D48,BOFACA!D48,BNPACA!D48,BNDCCA!D48,BLCMCA!D48,BCANCA!D48,ATBRCA!D48,CCDQCA!D48,CIBCCA!D48,NOSCCA!D48,TDOMCA!D48,ROYCCA!D48)</f>
        <v>0</v>
      </c>
      <c r="E46" s="6">
        <f>SUM(SBOSCA!E48,MCBTCA!E48,ICICCA!E48,HKBCCA!E48,CUCXCA!E48,BOFMCA!E48,BOFACA!E48,BNPACA!E48,BNDCCA!E48,BLCMCA!E48,BCANCA!E48,ATBRCA!E48,CCDQCA!E48,CIBCCA!E48,NOSCCA!E48,TDOMCA!E48,ROYCCA!E48)</f>
        <v>0</v>
      </c>
      <c r="F46" s="9">
        <f>SUM(SBOSCA!F48,MCBTCA!F48,ICICCA!F48,HKBCCA!F48,CUCXCA!F48,BOFMCA!F48,BOFACA!F48,BNPACA!F48,BNDCCA!F48,BLCMCA!F48,BCANCA!F48,ATBRCA!F48,CCDQCA!F48,CIBCCA!F48,NOSCCA!F48,TDOMCA!F48,ROYCCA!F48)</f>
        <v>57293.560000000005</v>
      </c>
      <c r="G46" s="6">
        <f>SUM(SBOSCA!G48,MCBTCA!G48,ICICCA!G48,HKBCCA!G48,CUCXCA!G48,BOFMCA!G48,BOFACA!G48,BNPACA!G48,BNDCCA!G48,BLCMCA!G48,BCANCA!G48,ATBRCA!G48,CCDQCA!G48,CIBCCA!G48,NOSCCA!G48,TDOMCA!G48,ROYCCA!G48)</f>
        <v>0</v>
      </c>
      <c r="K46" s="7" t="str">
        <f>SBOSCA!K48</f>
        <v>2023Q1</v>
      </c>
      <c r="L46" s="6">
        <f>SUM(SBOSCA!L48,MCBTCA!L48,ICICCA!L48,HKBCCA!L48,CUCXCA!L48,BOFMCA!L48,BOFACA!L48,BNPACA!L48,BNDCCA!L48,BLCMCA!L48,BCANCA!L48,ATBRCA!L48,CCDQCA!L48,CIBCCA!L48,NOSCCA!L48,TDOMCA!L48,ROYCCA!L48)</f>
        <v>0</v>
      </c>
      <c r="M46" s="9">
        <f>SUM(SBOSCA!M48,MCBTCA!M48,ICICCA!M48,HKBCCA!M48,CUCXCA!M48,BOFMCA!M48,BOFACA!M48,BNPACA!M48,BNDCCA!M48,BLCMCA!M48,BCANCA!M48,ATBRCA!M48,CCDQCA!M48,CIBCCA!M48,NOSCCA!M48,TDOMCA!M48,ROYCCA!M48)</f>
        <v>3948.9570000000003</v>
      </c>
      <c r="N46" s="6">
        <f>SUM(SBOSCA!N48,MCBTCA!N48,ICICCA!N48,HKBCCA!N48,CUCXCA!N48,BOFMCA!N48,BOFACA!N48,BNPACA!N48,BNDCCA!N48,BLCMCA!N48,BCANCA!N48,ATBRCA!N48,CCDQCA!N48,CIBCCA!N48,NOSCCA!N48,TDOMCA!N48,ROYCCA!N48)</f>
        <v>0</v>
      </c>
      <c r="O46" s="6">
        <f>SUM(SBOSCA!O48,MCBTCA!O48,ICICCA!O48,HKBCCA!O48,CUCXCA!O48,BOFMCA!O48,BOFACA!O48,BNPACA!O48,BNDCCA!O48,BLCMCA!O48,BCANCA!O48,ATBRCA!O48,CCDQCA!O48,CIBCCA!O48,NOSCCA!O48,TDOMCA!O48,ROYCCA!O48)</f>
        <v>0</v>
      </c>
      <c r="P46" s="9">
        <f>SUM(SBOSCA!P48,MCBTCA!P48,ICICCA!P48,HKBCCA!P48,CUCXCA!P48,BOFMCA!P48,BOFACA!P48,BNPACA!P48,BNDCCA!P48,BLCMCA!P48,BCANCA!P48,ATBRCA!P48,CCDQCA!P48,CIBCCA!P48,NOSCCA!P48,TDOMCA!P48,ROYCCA!P48)</f>
        <v>52423.826000000001</v>
      </c>
      <c r="Q46" s="6">
        <f>SUM(SBOSCA!Q48,MCBTCA!Q48,ICICCA!Q48,HKBCCA!Q48,CUCXCA!Q48,BOFMCA!Q48,BOFACA!Q48,BNPACA!Q48,BNDCCA!Q48,BLCMCA!Q48,BCANCA!Q48,ATBRCA!Q48,CCDQCA!Q48,CIBCCA!Q48,NOSCCA!Q48,TDOMCA!Q48,ROYCCA!Q48)</f>
        <v>0</v>
      </c>
    </row>
    <row r="47" spans="1:17" ht="15.5" thickTop="1" thickBot="1" x14ac:dyDescent="0.4">
      <c r="A47" s="7" t="str">
        <f>SBOSCA!A49</f>
        <v>2023Q2</v>
      </c>
      <c r="B47" s="6">
        <f>SUM(SBOSCA!B49,MCBTCA!B49,ICICCA!B49,HKBCCA!B49,CUCXCA!B49,BOFMCA!B49,BOFACA!B49,BNPACA!B49,BNDCCA!B49,BLCMCA!B49,BCANCA!B49,ATBRCA!B49,CCDQCA!B49,CIBCCA!B49,NOSCCA!B49,TDOMCA!B49,ROYCCA!B49)</f>
        <v>0</v>
      </c>
      <c r="C47" s="9">
        <f>SUM(SBOSCA!C49,MCBTCA!C49,ICICCA!C49,HKBCCA!C49,CUCXCA!C49,BOFMCA!C49,BOFACA!C49,BNPACA!C49,BNDCCA!C49,BLCMCA!C49,BCANCA!C49,ATBRCA!C49,CCDQCA!C49,CIBCCA!C49,NOSCCA!C49,TDOMCA!C49,ROYCCA!C49)</f>
        <v>4333.1849999999995</v>
      </c>
      <c r="D47" s="6">
        <f>SUM(SBOSCA!D49,MCBTCA!D49,ICICCA!D49,HKBCCA!D49,CUCXCA!D49,BOFMCA!D49,BOFACA!D49,BNPACA!D49,BNDCCA!D49,BLCMCA!D49,BCANCA!D49,ATBRCA!D49,CCDQCA!D49,CIBCCA!D49,NOSCCA!D49,TDOMCA!D49,ROYCCA!D49)</f>
        <v>0</v>
      </c>
      <c r="E47" s="6">
        <f>SUM(SBOSCA!E49,MCBTCA!E49,ICICCA!E49,HKBCCA!E49,CUCXCA!E49,BOFMCA!E49,BOFACA!E49,BNPACA!E49,BNDCCA!E49,BLCMCA!E49,BCANCA!E49,ATBRCA!E49,CCDQCA!E49,CIBCCA!E49,NOSCCA!E49,TDOMCA!E49,ROYCCA!E49)</f>
        <v>0</v>
      </c>
      <c r="F47" s="9">
        <f>SUM(SBOSCA!F49,MCBTCA!F49,ICICCA!F49,HKBCCA!F49,CUCXCA!F49,BOFMCA!F49,BOFACA!F49,BNPACA!F49,BNDCCA!F49,BLCMCA!F49,BCANCA!F49,ATBRCA!F49,CCDQCA!F49,CIBCCA!F49,NOSCCA!F49,TDOMCA!F49,ROYCCA!F49)</f>
        <v>57986.043000000005</v>
      </c>
      <c r="G47" s="6">
        <f>SUM(SBOSCA!G49,MCBTCA!G49,ICICCA!G49,HKBCCA!G49,CUCXCA!G49,BOFMCA!G49,BOFACA!G49,BNPACA!G49,BNDCCA!G49,BLCMCA!G49,BCANCA!G49,ATBRCA!G49,CCDQCA!G49,CIBCCA!G49,NOSCCA!G49,TDOMCA!G49,ROYCCA!G49)</f>
        <v>0</v>
      </c>
      <c r="K47" s="7" t="str">
        <f>SBOSCA!K49</f>
        <v>2023Q2</v>
      </c>
      <c r="L47" s="6">
        <f>SUM(SBOSCA!L49,MCBTCA!L49,ICICCA!L49,HKBCCA!L49,CUCXCA!L49,BOFMCA!L49,BOFACA!L49,BNPACA!L49,BNDCCA!L49,BLCMCA!L49,BCANCA!L49,ATBRCA!L49,CCDQCA!L49,CIBCCA!L49,NOSCCA!L49,TDOMCA!L49,ROYCCA!L49)</f>
        <v>0</v>
      </c>
      <c r="M47" s="9">
        <f>SUM(SBOSCA!M49,MCBTCA!M49,ICICCA!M49,HKBCCA!M49,CUCXCA!M49,BOFMCA!M49,BOFACA!M49,BNPACA!M49,BNDCCA!M49,BLCMCA!M49,BCANCA!M49,ATBRCA!M49,CCDQCA!M49,CIBCCA!M49,NOSCCA!M49,TDOMCA!M49,ROYCCA!M49)</f>
        <v>4198.0450000000001</v>
      </c>
      <c r="N47" s="6">
        <f>SUM(SBOSCA!N49,MCBTCA!N49,ICICCA!N49,HKBCCA!N49,CUCXCA!N49,BOFMCA!N49,BOFACA!N49,BNPACA!N49,BNDCCA!N49,BLCMCA!N49,BCANCA!N49,ATBRCA!N49,CCDQCA!N49,CIBCCA!N49,NOSCCA!N49,TDOMCA!N49,ROYCCA!N49)</f>
        <v>0</v>
      </c>
      <c r="O47" s="6">
        <f>SUM(SBOSCA!O49,MCBTCA!O49,ICICCA!O49,HKBCCA!O49,CUCXCA!O49,BOFMCA!O49,BOFACA!O49,BNPACA!O49,BNDCCA!O49,BLCMCA!O49,BCANCA!O49,ATBRCA!O49,CCDQCA!O49,CIBCCA!O49,NOSCCA!O49,TDOMCA!O49,ROYCCA!O49)</f>
        <v>0</v>
      </c>
      <c r="P47" s="9">
        <f>SUM(SBOSCA!P49,MCBTCA!P49,ICICCA!P49,HKBCCA!P49,CUCXCA!P49,BOFMCA!P49,BOFACA!P49,BNPACA!P49,BNDCCA!P49,BLCMCA!P49,BCANCA!P49,ATBRCA!P49,CCDQCA!P49,CIBCCA!P49,NOSCCA!P49,TDOMCA!P49,ROYCCA!P49)</f>
        <v>52612.613000000005</v>
      </c>
      <c r="Q47" s="6">
        <f>SUM(SBOSCA!Q49,MCBTCA!Q49,ICICCA!Q49,HKBCCA!Q49,CUCXCA!Q49,BOFMCA!Q49,BOFACA!Q49,BNPACA!Q49,BNDCCA!Q49,BLCMCA!Q49,BCANCA!Q49,ATBRCA!Q49,CCDQCA!Q49,CIBCCA!Q49,NOSCCA!Q49,TDOMCA!Q49,ROYCCA!Q49)</f>
        <v>0</v>
      </c>
    </row>
    <row r="48" spans="1:17" ht="15.5" thickTop="1" thickBot="1" x14ac:dyDescent="0.4">
      <c r="A48" s="7" t="str">
        <f>SBOSCA!A50</f>
        <v>2023Q3</v>
      </c>
      <c r="B48" s="6">
        <f>SUM(SBOSCA!B50,MCBTCA!B50,ICICCA!B50,HKBCCA!B50,CUCXCA!B50,BOFMCA!B50,BOFACA!B50,BNPACA!B50,BNDCCA!B50,BLCMCA!B50,BCANCA!B50,ATBRCA!B50,CCDQCA!B50,CIBCCA!B50,NOSCCA!B50,TDOMCA!B50,ROYCCA!B50)</f>
        <v>0</v>
      </c>
      <c r="C48" s="9">
        <f>SUM(SBOSCA!C50,MCBTCA!C50,ICICCA!C50,HKBCCA!C50,CUCXCA!C50,BOFMCA!C50,BOFACA!C50,BNPACA!C50,BNDCCA!C50,BLCMCA!C50,BCANCA!C50,ATBRCA!C50,CCDQCA!C50,CIBCCA!C50,NOSCCA!C50,TDOMCA!C50,ROYCCA!C50)</f>
        <v>4312.1490000000003</v>
      </c>
      <c r="D48" s="6">
        <f>SUM(SBOSCA!D50,MCBTCA!D50,ICICCA!D50,HKBCCA!D50,CUCXCA!D50,BOFMCA!D50,BOFACA!D50,BNPACA!D50,BNDCCA!D50,BLCMCA!D50,BCANCA!D50,ATBRCA!D50,CCDQCA!D50,CIBCCA!D50,NOSCCA!D50,TDOMCA!D50,ROYCCA!D50)</f>
        <v>0</v>
      </c>
      <c r="E48" s="6">
        <f>SUM(SBOSCA!E50,MCBTCA!E50,ICICCA!E50,HKBCCA!E50,CUCXCA!E50,BOFMCA!E50,BOFACA!E50,BNPACA!E50,BNDCCA!E50,BLCMCA!E50,BCANCA!E50,ATBRCA!E50,CCDQCA!E50,CIBCCA!E50,NOSCCA!E50,TDOMCA!E50,ROYCCA!E50)</f>
        <v>0</v>
      </c>
      <c r="F48" s="9">
        <f>SUM(SBOSCA!F50,MCBTCA!F50,ICICCA!F50,HKBCCA!F50,CUCXCA!F50,BOFMCA!F50,BOFACA!F50,BNPACA!F50,BNDCCA!F50,BLCMCA!F50,BCANCA!F50,ATBRCA!F50,CCDQCA!F50,CIBCCA!F50,NOSCCA!F50,TDOMCA!F50,ROYCCA!F50)</f>
        <v>57368.267999999996</v>
      </c>
      <c r="G48" s="6">
        <f>SUM(SBOSCA!G50,MCBTCA!G50,ICICCA!G50,HKBCCA!G50,CUCXCA!G50,BOFMCA!G50,BOFACA!G50,BNPACA!G50,BNDCCA!G50,BLCMCA!G50,BCANCA!G50,ATBRCA!G50,CCDQCA!G50,CIBCCA!G50,NOSCCA!G50,TDOMCA!G50,ROYCCA!G50)</f>
        <v>0</v>
      </c>
      <c r="K48" s="7" t="str">
        <f>SBOSCA!K50</f>
        <v>2023Q3</v>
      </c>
      <c r="L48" s="6">
        <f>SUM(SBOSCA!L50,MCBTCA!L50,ICICCA!L50,HKBCCA!L50,CUCXCA!L50,BOFMCA!L50,BOFACA!L50,BNPACA!L50,BNDCCA!L50,BLCMCA!L50,BCANCA!L50,ATBRCA!L50,CCDQCA!L50,CIBCCA!L50,NOSCCA!L50,TDOMCA!L50,ROYCCA!L50)</f>
        <v>0</v>
      </c>
      <c r="M48" s="9">
        <f>SUM(SBOSCA!M50,MCBTCA!M50,ICICCA!M50,HKBCCA!M50,CUCXCA!M50,BOFMCA!M50,BOFACA!M50,BNPACA!M50,BNDCCA!M50,BLCMCA!M50,BCANCA!M50,ATBRCA!M50,CCDQCA!M50,CIBCCA!M50,NOSCCA!M50,TDOMCA!M50,ROYCCA!M50)</f>
        <v>4171.8559999999998</v>
      </c>
      <c r="N48" s="6">
        <f>SUM(SBOSCA!N50,MCBTCA!N50,ICICCA!N50,HKBCCA!N50,CUCXCA!N50,BOFMCA!N50,BOFACA!N50,BNPACA!N50,BNDCCA!N50,BLCMCA!N50,BCANCA!N50,ATBRCA!N50,CCDQCA!N50,CIBCCA!N50,NOSCCA!N50,TDOMCA!N50,ROYCCA!N50)</f>
        <v>0</v>
      </c>
      <c r="O48" s="6">
        <f>SUM(SBOSCA!O50,MCBTCA!O50,ICICCA!O50,HKBCCA!O50,CUCXCA!O50,BOFMCA!O50,BOFACA!O50,BNPACA!O50,BNDCCA!O50,BLCMCA!O50,BCANCA!O50,ATBRCA!O50,CCDQCA!O50,CIBCCA!O50,NOSCCA!O50,TDOMCA!O50,ROYCCA!O50)</f>
        <v>0</v>
      </c>
      <c r="P48" s="9">
        <f>SUM(SBOSCA!P50,MCBTCA!P50,ICICCA!P50,HKBCCA!P50,CUCXCA!P50,BOFMCA!P50,BOFACA!P50,BNPACA!P50,BNDCCA!P50,BLCMCA!P50,BCANCA!P50,ATBRCA!P50,CCDQCA!P50,CIBCCA!P50,NOSCCA!P50,TDOMCA!P50,ROYCCA!P50)</f>
        <v>51539.800999999992</v>
      </c>
      <c r="Q48" s="6">
        <f>SUM(SBOSCA!Q50,MCBTCA!Q50,ICICCA!Q50,HKBCCA!Q50,CUCXCA!Q50,BOFMCA!Q50,BOFACA!Q50,BNPACA!Q50,BNDCCA!Q50,BLCMCA!Q50,BCANCA!Q50,ATBRCA!Q50,CCDQCA!Q50,CIBCCA!Q50,NOSCCA!Q50,TDOMCA!Q50,ROYCCA!Q50)</f>
        <v>0</v>
      </c>
    </row>
    <row r="49" spans="1:17" ht="15.5" thickTop="1" thickBot="1" x14ac:dyDescent="0.4">
      <c r="A49" s="7" t="str">
        <f>SBOSCA!A51</f>
        <v>2023Q4</v>
      </c>
      <c r="B49" s="6">
        <f>SUM(SBOSCA!B51,MCBTCA!B51,ICICCA!B51,HKBCCA!B51,CUCXCA!B51,BOFMCA!B51,BOFACA!B51,BNPACA!B51,BNDCCA!B51,BLCMCA!B51,BCANCA!B51,ATBRCA!B51,CCDQCA!B51,CIBCCA!B51,NOSCCA!B51,TDOMCA!B51,ROYCCA!B51)</f>
        <v>0</v>
      </c>
      <c r="C49" s="9">
        <f>SUM(SBOSCA!C51,MCBTCA!C51,ICICCA!C51,HKBCCA!C51,CUCXCA!C51,BOFMCA!C51,BOFACA!C51,BNPACA!C51,BNDCCA!C51,BLCMCA!C51,BCANCA!C51,ATBRCA!C51,CCDQCA!C51,CIBCCA!C51,NOSCCA!C51,TDOMCA!C51,ROYCCA!C51)</f>
        <v>4312.9390000000003</v>
      </c>
      <c r="D49" s="6">
        <f>SUM(SBOSCA!D51,MCBTCA!D51,ICICCA!D51,HKBCCA!D51,CUCXCA!D51,BOFMCA!D51,BOFACA!D51,BNPACA!D51,BNDCCA!D51,BLCMCA!D51,BCANCA!D51,ATBRCA!D51,CCDQCA!D51,CIBCCA!D51,NOSCCA!D51,TDOMCA!D51,ROYCCA!D51)</f>
        <v>0</v>
      </c>
      <c r="E49" s="6">
        <f>SUM(SBOSCA!E51,MCBTCA!E51,ICICCA!E51,HKBCCA!E51,CUCXCA!E51,BOFMCA!E51,BOFACA!E51,BNPACA!E51,BNDCCA!E51,BLCMCA!E51,BCANCA!E51,ATBRCA!E51,CCDQCA!E51,CIBCCA!E51,NOSCCA!E51,TDOMCA!E51,ROYCCA!E51)</f>
        <v>0</v>
      </c>
      <c r="F49" s="9">
        <f>SUM(SBOSCA!F51,MCBTCA!F51,ICICCA!F51,HKBCCA!F51,CUCXCA!F51,BOFMCA!F51,BOFACA!F51,BNPACA!F51,BNDCCA!F51,BLCMCA!F51,BCANCA!F51,ATBRCA!F51,CCDQCA!F51,CIBCCA!F51,NOSCCA!F51,TDOMCA!F51,ROYCCA!F51)</f>
        <v>57544.972999999998</v>
      </c>
      <c r="G49" s="6">
        <f>SUM(SBOSCA!G51,MCBTCA!G51,ICICCA!G51,HKBCCA!G51,CUCXCA!G51,BOFMCA!G51,BOFACA!G51,BNPACA!G51,BNDCCA!G51,BLCMCA!G51,BCANCA!G51,ATBRCA!G51,CCDQCA!G51,CIBCCA!G51,NOSCCA!G51,TDOMCA!G51,ROYCCA!G51)</f>
        <v>0</v>
      </c>
      <c r="K49" s="7" t="str">
        <f>SBOSCA!K51</f>
        <v>2023Q4</v>
      </c>
      <c r="L49" s="6">
        <f>SUM(SBOSCA!L51,MCBTCA!L51,ICICCA!L51,HKBCCA!L51,CUCXCA!L51,BOFMCA!L51,BOFACA!L51,BNPACA!L51,BNDCCA!L51,BLCMCA!L51,BCANCA!L51,ATBRCA!L51,CCDQCA!L51,CIBCCA!L51,NOSCCA!L51,TDOMCA!L51,ROYCCA!L51)</f>
        <v>0</v>
      </c>
      <c r="M49" s="9">
        <f>SUM(SBOSCA!M51,MCBTCA!M51,ICICCA!M51,HKBCCA!M51,CUCXCA!M51,BOFMCA!M51,BOFACA!M51,BNPACA!M51,BNDCCA!M51,BLCMCA!M51,BCANCA!M51,ATBRCA!M51,CCDQCA!M51,CIBCCA!M51,NOSCCA!M51,TDOMCA!M51,ROYCCA!M51)</f>
        <v>4168.4290000000001</v>
      </c>
      <c r="N49" s="6">
        <f>SUM(SBOSCA!N51,MCBTCA!N51,ICICCA!N51,HKBCCA!N51,CUCXCA!N51,BOFMCA!N51,BOFACA!N51,BNPACA!N51,BNDCCA!N51,BLCMCA!N51,BCANCA!N51,ATBRCA!N51,CCDQCA!N51,CIBCCA!N51,NOSCCA!N51,TDOMCA!N51,ROYCCA!N51)</f>
        <v>0</v>
      </c>
      <c r="O49" s="6">
        <f>SUM(SBOSCA!O51,MCBTCA!O51,ICICCA!O51,HKBCCA!O51,CUCXCA!O51,BOFMCA!O51,BOFACA!O51,BNPACA!O51,BNDCCA!O51,BLCMCA!O51,BCANCA!O51,ATBRCA!O51,CCDQCA!O51,CIBCCA!O51,NOSCCA!O51,TDOMCA!O51,ROYCCA!O51)</f>
        <v>0</v>
      </c>
      <c r="P49" s="9">
        <f>SUM(SBOSCA!P51,MCBTCA!P51,ICICCA!P51,HKBCCA!P51,CUCXCA!P51,BOFMCA!P51,BOFACA!P51,BNPACA!P51,BNDCCA!P51,BLCMCA!P51,BCANCA!P51,ATBRCA!P51,CCDQCA!P51,CIBCCA!P51,NOSCCA!P51,TDOMCA!P51,ROYCCA!P51)</f>
        <v>51291.258999999998</v>
      </c>
      <c r="Q49" s="6">
        <f>SUM(SBOSCA!Q51,MCBTCA!Q51,ICICCA!Q51,HKBCCA!Q51,CUCXCA!Q51,BOFMCA!Q51,BOFACA!Q51,BNPACA!Q51,BNDCCA!Q51,BLCMCA!Q51,BCANCA!Q51,ATBRCA!Q51,CCDQCA!Q51,CIBCCA!Q51,NOSCCA!Q51,TDOMCA!Q51,ROYCCA!Q51)</f>
        <v>0</v>
      </c>
    </row>
    <row r="50" spans="1:17" ht="15.5" thickTop="1" thickBot="1" x14ac:dyDescent="0.4">
      <c r="A50" s="7" t="str">
        <f>SBOSCA!A52</f>
        <v>2024Q1</v>
      </c>
      <c r="B50" s="6">
        <f>SUM(SBOSCA!B52,MCBTCA!B52,ICICCA!B52,HKBCCA!B52,CUCXCA!B52,BOFMCA!B52,BOFACA!B52,BNPACA!B52,BNDCCA!B52,BLCMCA!B52,BCANCA!B52,ATBRCA!B52,CCDQCA!B52,CIBCCA!B52,NOSCCA!B52,TDOMCA!B52,ROYCCA!B52)</f>
        <v>0</v>
      </c>
      <c r="C50" s="9">
        <f>SUM(SBOSCA!C52,MCBTCA!C52,ICICCA!C52,HKBCCA!C52,CUCXCA!C52,BOFMCA!C52,BOFACA!C52,BNPACA!C52,BNDCCA!C52,BLCMCA!C52,BCANCA!C52,ATBRCA!C52,CCDQCA!C52,CIBCCA!C52,NOSCCA!C52,TDOMCA!C52,ROYCCA!C52)</f>
        <v>4058.7130000000006</v>
      </c>
      <c r="D50" s="6">
        <f>SUM(SBOSCA!D52,MCBTCA!D52,ICICCA!D52,HKBCCA!D52,CUCXCA!D52,BOFMCA!D52,BOFACA!D52,BNPACA!D52,BNDCCA!D52,BLCMCA!D52,BCANCA!D52,ATBRCA!D52,CCDQCA!D52,CIBCCA!D52,NOSCCA!D52,TDOMCA!D52,ROYCCA!D52)</f>
        <v>0</v>
      </c>
      <c r="E50" s="6">
        <f>SUM(SBOSCA!E52,MCBTCA!E52,ICICCA!E52,HKBCCA!E52,CUCXCA!E52,BOFMCA!E52,BOFACA!E52,BNPACA!E52,BNDCCA!E52,BLCMCA!E52,BCANCA!E52,ATBRCA!E52,CCDQCA!E52,CIBCCA!E52,NOSCCA!E52,TDOMCA!E52,ROYCCA!E52)</f>
        <v>0</v>
      </c>
      <c r="F50" s="9">
        <f>SUM(SBOSCA!F52,MCBTCA!F52,ICICCA!F52,HKBCCA!F52,CUCXCA!F52,BOFMCA!F52,BOFACA!F52,BNPACA!F52,BNDCCA!F52,BLCMCA!F52,BCANCA!F52,ATBRCA!F52,CCDQCA!F52,CIBCCA!F52,NOSCCA!F52,TDOMCA!F52,ROYCCA!F52)</f>
        <v>57763.101999999999</v>
      </c>
      <c r="G50" s="6">
        <f>SUM(SBOSCA!G52,MCBTCA!G52,ICICCA!G52,HKBCCA!G52,CUCXCA!G52,BOFMCA!G52,BOFACA!G52,BNPACA!G52,BNDCCA!G52,BLCMCA!G52,BCANCA!G52,ATBRCA!G52,CCDQCA!G52,CIBCCA!G52,NOSCCA!G52,TDOMCA!G52,ROYCCA!G52)</f>
        <v>0</v>
      </c>
      <c r="K50" s="7" t="str">
        <f>SBOSCA!K52</f>
        <v>2024Q1</v>
      </c>
      <c r="L50" s="6">
        <f>SUM(SBOSCA!L52,MCBTCA!L52,ICICCA!L52,HKBCCA!L52,CUCXCA!L52,BOFMCA!L52,BOFACA!L52,BNPACA!L52,BNDCCA!L52,BLCMCA!L52,BCANCA!L52,ATBRCA!L52,CCDQCA!L52,CIBCCA!L52,NOSCCA!L52,TDOMCA!L52,ROYCCA!L52)</f>
        <v>0</v>
      </c>
      <c r="M50" s="9">
        <f>SUM(SBOSCA!M52,MCBTCA!M52,ICICCA!M52,HKBCCA!M52,CUCXCA!M52,BOFMCA!M52,BOFACA!M52,BNPACA!M52,BNDCCA!M52,BLCMCA!M52,BCANCA!M52,ATBRCA!M52,CCDQCA!M52,CIBCCA!M52,NOSCCA!M52,TDOMCA!M52,ROYCCA!M52)</f>
        <v>3910.6959999999999</v>
      </c>
      <c r="N50" s="6">
        <f>SUM(SBOSCA!N52,MCBTCA!N52,ICICCA!N52,HKBCCA!N52,CUCXCA!N52,BOFMCA!N52,BOFACA!N52,BNPACA!N52,BNDCCA!N52,BLCMCA!N52,BCANCA!N52,ATBRCA!N52,CCDQCA!N52,CIBCCA!N52,NOSCCA!N52,TDOMCA!N52,ROYCCA!N52)</f>
        <v>0</v>
      </c>
      <c r="O50" s="6">
        <f>SUM(SBOSCA!O52,MCBTCA!O52,ICICCA!O52,HKBCCA!O52,CUCXCA!O52,BOFMCA!O52,BOFACA!O52,BNPACA!O52,BNDCCA!O52,BLCMCA!O52,BCANCA!O52,ATBRCA!O52,CCDQCA!O52,CIBCCA!O52,NOSCCA!O52,TDOMCA!O52,ROYCCA!O52)</f>
        <v>0</v>
      </c>
      <c r="P50" s="9">
        <f>SUM(SBOSCA!P52,MCBTCA!P52,ICICCA!P52,HKBCCA!P52,CUCXCA!P52,BOFMCA!P52,BOFACA!P52,BNPACA!P52,BNDCCA!P52,BLCMCA!P52,BCANCA!P52,ATBRCA!P52,CCDQCA!P52,CIBCCA!P52,NOSCCA!P52,TDOMCA!P52,ROYCCA!P52)</f>
        <v>51113.244000000006</v>
      </c>
      <c r="Q50" s="6">
        <f>SUM(SBOSCA!Q52,MCBTCA!Q52,ICICCA!Q52,HKBCCA!Q52,CUCXCA!Q52,BOFMCA!Q52,BOFACA!Q52,BNPACA!Q52,BNDCCA!Q52,BLCMCA!Q52,BCANCA!Q52,ATBRCA!Q52,CCDQCA!Q52,CIBCCA!Q52,NOSCCA!Q52,TDOMCA!Q52,ROYCCA!Q52)</f>
        <v>0</v>
      </c>
    </row>
    <row r="51" spans="1:17" ht="15.5" thickTop="1" thickBot="1" x14ac:dyDescent="0.4">
      <c r="A51" s="7" t="str">
        <f>SBOSCA!A53</f>
        <v>2024Q2</v>
      </c>
      <c r="B51" s="6">
        <f>SUM(SBOSCA!B53,MCBTCA!B53,ICICCA!B53,HKBCCA!B53,CUCXCA!B53,BOFMCA!B53,BOFACA!B53,BNPACA!B53,BNDCCA!B53,BLCMCA!B53,BCANCA!B53,ATBRCA!B53,CCDQCA!B53,CIBCCA!B53,NOSCCA!B53,TDOMCA!B53,ROYCCA!B53)</f>
        <v>0</v>
      </c>
      <c r="C51" s="9">
        <f>SUM(SBOSCA!C53,MCBTCA!C53,ICICCA!C53,HKBCCA!C53,CUCXCA!C53,BOFMCA!C53,BOFACA!C53,BNPACA!C53,BNDCCA!C53,BLCMCA!C53,BCANCA!C53,ATBRCA!C53,CCDQCA!C53,CIBCCA!C53,NOSCCA!C53,TDOMCA!C53,ROYCCA!C53)</f>
        <v>4327.4270000000006</v>
      </c>
      <c r="D51" s="6">
        <f>SUM(SBOSCA!D53,MCBTCA!D53,ICICCA!D53,HKBCCA!D53,CUCXCA!D53,BOFMCA!D53,BOFACA!D53,BNPACA!D53,BNDCCA!D53,BLCMCA!D53,BCANCA!D53,ATBRCA!D53,CCDQCA!D53,CIBCCA!D53,NOSCCA!D53,TDOMCA!D53,ROYCCA!D53)</f>
        <v>0</v>
      </c>
      <c r="E51" s="6">
        <f>SUM(SBOSCA!E53,MCBTCA!E53,ICICCA!E53,HKBCCA!E53,CUCXCA!E53,BOFMCA!E53,BOFACA!E53,BNPACA!E53,BNDCCA!E53,BLCMCA!E53,BCANCA!E53,ATBRCA!E53,CCDQCA!E53,CIBCCA!E53,NOSCCA!E53,TDOMCA!E53,ROYCCA!E53)</f>
        <v>0</v>
      </c>
      <c r="F51" s="9">
        <f>SUM(SBOSCA!F53,MCBTCA!F53,ICICCA!F53,HKBCCA!F53,CUCXCA!F53,BOFMCA!F53,BOFACA!F53,BNPACA!F53,BNDCCA!F53,BLCMCA!F53,BCANCA!F53,ATBRCA!F53,CCDQCA!F53,CIBCCA!F53,NOSCCA!F53,TDOMCA!F53,ROYCCA!F53)</f>
        <v>58583.731</v>
      </c>
      <c r="G51" s="6">
        <f>SUM(SBOSCA!G53,MCBTCA!G53,ICICCA!G53,HKBCCA!G53,CUCXCA!G53,BOFMCA!G53,BOFACA!G53,BNPACA!G53,BNDCCA!G53,BLCMCA!G53,BCANCA!G53,ATBRCA!G53,CCDQCA!G53,CIBCCA!G53,NOSCCA!G53,TDOMCA!G53,ROYCCA!G53)</f>
        <v>0</v>
      </c>
      <c r="K51" s="7" t="str">
        <f>SBOSCA!K53</f>
        <v>2024Q2</v>
      </c>
      <c r="L51" s="6">
        <f>SUM(SBOSCA!L53,MCBTCA!L53,ICICCA!L53,HKBCCA!L53,CUCXCA!L53,BOFMCA!L53,BOFACA!L53,BNPACA!L53,BNDCCA!L53,BLCMCA!L53,BCANCA!L53,ATBRCA!L53,CCDQCA!L53,CIBCCA!L53,NOSCCA!L53,TDOMCA!L53,ROYCCA!L53)</f>
        <v>0</v>
      </c>
      <c r="M51" s="9">
        <f>SUM(SBOSCA!M53,MCBTCA!M53,ICICCA!M53,HKBCCA!M53,CUCXCA!M53,BOFMCA!M53,BOFACA!M53,BNPACA!M53,BNDCCA!M53,BLCMCA!M53,BCANCA!M53,ATBRCA!M53,CCDQCA!M53,CIBCCA!M53,NOSCCA!M53,TDOMCA!M53,ROYCCA!M53)</f>
        <v>4176.4549999999999</v>
      </c>
      <c r="N51" s="6">
        <f>SUM(SBOSCA!N53,MCBTCA!N53,ICICCA!N53,HKBCCA!N53,CUCXCA!N53,BOFMCA!N53,BOFACA!N53,BNPACA!N53,BNDCCA!N53,BLCMCA!N53,BCANCA!N53,ATBRCA!N53,CCDQCA!N53,CIBCCA!N53,NOSCCA!N53,TDOMCA!N53,ROYCCA!N53)</f>
        <v>0</v>
      </c>
      <c r="O51" s="6">
        <f>SUM(SBOSCA!O53,MCBTCA!O53,ICICCA!O53,HKBCCA!O53,CUCXCA!O53,BOFMCA!O53,BOFACA!O53,BNPACA!O53,BNDCCA!O53,BLCMCA!O53,BCANCA!O53,ATBRCA!O53,CCDQCA!O53,CIBCCA!O53,NOSCCA!O53,TDOMCA!O53,ROYCCA!O53)</f>
        <v>0</v>
      </c>
      <c r="P51" s="9">
        <f>SUM(SBOSCA!P53,MCBTCA!P53,ICICCA!P53,HKBCCA!P53,CUCXCA!P53,BOFMCA!P53,BOFACA!P53,BNPACA!P53,BNDCCA!P53,BLCMCA!P53,BCANCA!P53,ATBRCA!P53,CCDQCA!P53,CIBCCA!P53,NOSCCA!P53,TDOMCA!P53,ROYCCA!P53)</f>
        <v>51558.866999999998</v>
      </c>
      <c r="Q51" s="6">
        <f>SUM(SBOSCA!Q53,MCBTCA!Q53,ICICCA!Q53,HKBCCA!Q53,CUCXCA!Q53,BOFMCA!Q53,BOFACA!Q53,BNPACA!Q53,BNDCCA!Q53,BLCMCA!Q53,BCANCA!Q53,ATBRCA!Q53,CCDQCA!Q53,CIBCCA!Q53,NOSCCA!Q53,TDOMCA!Q53,ROYCCA!Q53)</f>
        <v>0</v>
      </c>
    </row>
    <row r="52" spans="1:17" ht="15.5" thickTop="1" thickBot="1" x14ac:dyDescent="0.4">
      <c r="A52" s="7" t="str">
        <f>SBOSCA!A54</f>
        <v>2024Q3</v>
      </c>
      <c r="B52" s="6">
        <f>SUM(SBOSCA!B54,MCBTCA!B54,ICICCA!B54,HKBCCA!B54,CUCXCA!B54,BOFMCA!B54,BOFACA!B54,BNPACA!B54,BNDCCA!B54,BLCMCA!B54,BCANCA!B54,ATBRCA!B54,CCDQCA!B54,CIBCCA!B54,NOSCCA!B54,TDOMCA!B54,ROYCCA!B54)</f>
        <v>0</v>
      </c>
      <c r="C52" s="9">
        <f>SUM(SBOSCA!C54,MCBTCA!C54,ICICCA!C54,HKBCCA!C54,CUCXCA!C54,BOFMCA!C54,BOFACA!C54,BNPACA!C54,BNDCCA!C54,BLCMCA!C54,BCANCA!C54,ATBRCA!C54,CCDQCA!C54,CIBCCA!C54,NOSCCA!C54,TDOMCA!C54,ROYCCA!C54)</f>
        <v>4317.5349999999999</v>
      </c>
      <c r="D52" s="6">
        <f>SUM(SBOSCA!D54,MCBTCA!D54,ICICCA!D54,HKBCCA!D54,CUCXCA!D54,BOFMCA!D54,BOFACA!D54,BNPACA!D54,BNDCCA!D54,BLCMCA!D54,BCANCA!D54,ATBRCA!D54,CCDQCA!D54,CIBCCA!D54,NOSCCA!D54,TDOMCA!D54,ROYCCA!D54)</f>
        <v>0</v>
      </c>
      <c r="E52" s="6">
        <f>SUM(SBOSCA!E54,MCBTCA!E54,ICICCA!E54,HKBCCA!E54,CUCXCA!E54,BOFMCA!E54,BOFACA!E54,BNPACA!E54,BNDCCA!E54,BLCMCA!E54,BCANCA!E54,ATBRCA!E54,CCDQCA!E54,CIBCCA!E54,NOSCCA!E54,TDOMCA!E54,ROYCCA!E54)</f>
        <v>0</v>
      </c>
      <c r="F52" s="9">
        <f>SUM(SBOSCA!F54,MCBTCA!F54,ICICCA!F54,HKBCCA!F54,CUCXCA!F54,BOFMCA!F54,BOFACA!F54,BNPACA!F54,BNDCCA!F54,BLCMCA!F54,BCANCA!F54,ATBRCA!F54,CCDQCA!F54,CIBCCA!F54,NOSCCA!F54,TDOMCA!F54,ROYCCA!F54)</f>
        <v>58070.231</v>
      </c>
      <c r="G52" s="6">
        <f>SUM(SBOSCA!G54,MCBTCA!G54,ICICCA!G54,HKBCCA!G54,CUCXCA!G54,BOFMCA!G54,BOFACA!G54,BNPACA!G54,BNDCCA!G54,BLCMCA!G54,BCANCA!G54,ATBRCA!G54,CCDQCA!G54,CIBCCA!G54,NOSCCA!G54,TDOMCA!G54,ROYCCA!G54)</f>
        <v>0</v>
      </c>
      <c r="K52" s="7" t="str">
        <f>SBOSCA!K54</f>
        <v>2024Q3</v>
      </c>
      <c r="L52" s="6">
        <f>SUM(SBOSCA!L54,MCBTCA!L54,ICICCA!L54,HKBCCA!L54,CUCXCA!L54,BOFMCA!L54,BOFACA!L54,BNPACA!L54,BNDCCA!L54,BLCMCA!L54,BCANCA!L54,ATBRCA!L54,CCDQCA!L54,CIBCCA!L54,NOSCCA!L54,TDOMCA!L54,ROYCCA!L54)</f>
        <v>0</v>
      </c>
      <c r="M52" s="9">
        <f>SUM(SBOSCA!M54,MCBTCA!M54,ICICCA!M54,HKBCCA!M54,CUCXCA!M54,BOFMCA!M54,BOFACA!M54,BNPACA!M54,BNDCCA!M54,BLCMCA!M54,BCANCA!M54,ATBRCA!M54,CCDQCA!M54,CIBCCA!M54,NOSCCA!M54,TDOMCA!M54,ROYCCA!M54)</f>
        <v>4164.0410000000002</v>
      </c>
      <c r="N52" s="6">
        <f>SUM(SBOSCA!N54,MCBTCA!N54,ICICCA!N54,HKBCCA!N54,CUCXCA!N54,BOFMCA!N54,BOFACA!N54,BNPACA!N54,BNDCCA!N54,BLCMCA!N54,BCANCA!N54,ATBRCA!N54,CCDQCA!N54,CIBCCA!N54,NOSCCA!N54,TDOMCA!N54,ROYCCA!N54)</f>
        <v>0</v>
      </c>
      <c r="O52" s="6">
        <f>SUM(SBOSCA!O54,MCBTCA!O54,ICICCA!O54,HKBCCA!O54,CUCXCA!O54,BOFMCA!O54,BOFACA!O54,BNPACA!O54,BNDCCA!O54,BLCMCA!O54,BCANCA!O54,ATBRCA!O54,CCDQCA!O54,CIBCCA!O54,NOSCCA!O54,TDOMCA!O54,ROYCCA!O54)</f>
        <v>0</v>
      </c>
      <c r="P52" s="9">
        <f>SUM(SBOSCA!P54,MCBTCA!P54,ICICCA!P54,HKBCCA!P54,CUCXCA!P54,BOFMCA!P54,BOFACA!P54,BNPACA!P54,BNDCCA!P54,BLCMCA!P54,BCANCA!P54,ATBRCA!P54,CCDQCA!P54,CIBCCA!P54,NOSCCA!P54,TDOMCA!P54,ROYCCA!P54)</f>
        <v>50690.353999999992</v>
      </c>
      <c r="Q52" s="6">
        <f>SUM(SBOSCA!Q54,MCBTCA!Q54,ICICCA!Q54,HKBCCA!Q54,CUCXCA!Q54,BOFMCA!Q54,BOFACA!Q54,BNPACA!Q54,BNDCCA!Q54,BLCMCA!Q54,BCANCA!Q54,ATBRCA!Q54,CCDQCA!Q54,CIBCCA!Q54,NOSCCA!Q54,TDOMCA!Q54,ROYCCA!Q54)</f>
        <v>0</v>
      </c>
    </row>
    <row r="53" spans="1:17" ht="15.5" thickTop="1" thickBot="1" x14ac:dyDescent="0.4">
      <c r="A53" s="7" t="str">
        <f>SBOSCA!A55</f>
        <v>2024Q4</v>
      </c>
      <c r="B53" s="6">
        <f>SUM(SBOSCA!B55,MCBTCA!B55,ICICCA!B55,HKBCCA!B55,CUCXCA!B55,BOFMCA!B55,BOFACA!B55,BNPACA!B55,BNDCCA!B55,BLCMCA!B55,BCANCA!B55,ATBRCA!B55,CCDQCA!B55,CIBCCA!B55,NOSCCA!B55,TDOMCA!B55,ROYCCA!B55)</f>
        <v>0</v>
      </c>
      <c r="C53" s="9">
        <f>SUM(SBOSCA!C55,MCBTCA!C55,ICICCA!C55,HKBCCA!C55,CUCXCA!C55,BOFMCA!C55,BOFACA!C55,BNPACA!C55,BNDCCA!C55,BLCMCA!C55,BCANCA!C55,ATBRCA!C55,CCDQCA!C55,CIBCCA!C55,NOSCCA!C55,TDOMCA!C55,ROYCCA!C55)</f>
        <v>4327.7929999999997</v>
      </c>
      <c r="D53" s="6">
        <f>SUM(SBOSCA!D55,MCBTCA!D55,ICICCA!D55,HKBCCA!D55,CUCXCA!D55,BOFMCA!D55,BOFACA!D55,BNPACA!D55,BNDCCA!D55,BLCMCA!D55,BCANCA!D55,ATBRCA!D55,CCDQCA!D55,CIBCCA!D55,NOSCCA!D55,TDOMCA!D55,ROYCCA!D55)</f>
        <v>0</v>
      </c>
      <c r="E53" s="6">
        <f>SUM(SBOSCA!E55,MCBTCA!E55,ICICCA!E55,HKBCCA!E55,CUCXCA!E55,BOFMCA!E55,BOFACA!E55,BNPACA!E55,BNDCCA!E55,BLCMCA!E55,BCANCA!E55,ATBRCA!E55,CCDQCA!E55,CIBCCA!E55,NOSCCA!E55,TDOMCA!E55,ROYCCA!E55)</f>
        <v>0</v>
      </c>
      <c r="F53" s="9">
        <f>SUM(SBOSCA!F55,MCBTCA!F55,ICICCA!F55,HKBCCA!F55,CUCXCA!F55,BOFMCA!F55,BOFACA!F55,BNPACA!F55,BNDCCA!F55,BLCMCA!F55,BCANCA!F55,ATBRCA!F55,CCDQCA!F55,CIBCCA!F55,NOSCCA!F55,TDOMCA!F55,ROYCCA!F55)</f>
        <v>58332.629000000001</v>
      </c>
      <c r="G53" s="6">
        <f>SUM(SBOSCA!G55,MCBTCA!G55,ICICCA!G55,HKBCCA!G55,CUCXCA!G55,BOFMCA!G55,BOFACA!G55,BNPACA!G55,BNDCCA!G55,BLCMCA!G55,BCANCA!G55,ATBRCA!G55,CCDQCA!G55,CIBCCA!G55,NOSCCA!G55,TDOMCA!G55,ROYCCA!G55)</f>
        <v>0</v>
      </c>
      <c r="K53" s="7" t="str">
        <f>SBOSCA!K55</f>
        <v>2024Q4</v>
      </c>
      <c r="L53" s="6">
        <f>SUM(SBOSCA!L55,MCBTCA!L55,ICICCA!L55,HKBCCA!L55,CUCXCA!L55,BOFMCA!L55,BOFACA!L55,BNPACA!L55,BNDCCA!L55,BLCMCA!L55,BCANCA!L55,ATBRCA!L55,CCDQCA!L55,CIBCCA!L55,NOSCCA!L55,TDOMCA!L55,ROYCCA!L55)</f>
        <v>0</v>
      </c>
      <c r="M53" s="9">
        <f>SUM(SBOSCA!M55,MCBTCA!M55,ICICCA!M55,HKBCCA!M55,CUCXCA!M55,BOFMCA!M55,BOFACA!M55,BNPACA!M55,BNDCCA!M55,BLCMCA!M55,BCANCA!M55,ATBRCA!M55,CCDQCA!M55,CIBCCA!M55,NOSCCA!M55,TDOMCA!M55,ROYCCA!M55)</f>
        <v>4172.1260000000002</v>
      </c>
      <c r="N53" s="6">
        <f>SUM(SBOSCA!N55,MCBTCA!N55,ICICCA!N55,HKBCCA!N55,CUCXCA!N55,BOFMCA!N55,BOFACA!N55,BNPACA!N55,BNDCCA!N55,BLCMCA!N55,BCANCA!N55,ATBRCA!N55,CCDQCA!N55,CIBCCA!N55,NOSCCA!N55,TDOMCA!N55,ROYCCA!N55)</f>
        <v>0</v>
      </c>
      <c r="O53" s="6">
        <f>SUM(SBOSCA!O55,MCBTCA!O55,ICICCA!O55,HKBCCA!O55,CUCXCA!O55,BOFMCA!O55,BOFACA!O55,BNPACA!O55,BNDCCA!O55,BLCMCA!O55,BCANCA!O55,ATBRCA!O55,CCDQCA!O55,CIBCCA!O55,NOSCCA!O55,TDOMCA!O55,ROYCCA!O55)</f>
        <v>0</v>
      </c>
      <c r="P53" s="9">
        <f>SUM(SBOSCA!P55,MCBTCA!P55,ICICCA!P55,HKBCCA!P55,CUCXCA!P55,BOFMCA!P55,BOFACA!P55,BNPACA!P55,BNDCCA!P55,BLCMCA!P55,BCANCA!P55,ATBRCA!P55,CCDQCA!P55,CIBCCA!P55,NOSCCA!P55,TDOMCA!P55,ROYCCA!P55)</f>
        <v>50613.483999999997</v>
      </c>
      <c r="Q53" s="6">
        <f>SUM(SBOSCA!Q55,MCBTCA!Q55,ICICCA!Q55,HKBCCA!Q55,CUCXCA!Q55,BOFMCA!Q55,BOFACA!Q55,BNPACA!Q55,BNDCCA!Q55,BLCMCA!Q55,BCANCA!Q55,ATBRCA!Q55,CCDQCA!Q55,CIBCCA!Q55,NOSCCA!Q55,TDOMCA!Q55,ROYCCA!Q55)</f>
        <v>0</v>
      </c>
    </row>
    <row r="54" spans="1:17" ht="15.5" thickTop="1" thickBot="1" x14ac:dyDescent="0.4">
      <c r="A54" s="7" t="str">
        <f>SBOSCA!A56</f>
        <v>2025Q1</v>
      </c>
      <c r="B54" s="6">
        <f>SUM(SBOSCA!B56,MCBTCA!B56,ICICCA!B56,HKBCCA!B56,CUCXCA!B56,BOFMCA!B56,BOFACA!B56,BNPACA!B56,BNDCCA!B56,BLCMCA!B56,BCANCA!B56,ATBRCA!B56,CCDQCA!B56,CIBCCA!B56,NOSCCA!B56,TDOMCA!B56,ROYCCA!B56)</f>
        <v>0</v>
      </c>
      <c r="C54" s="9">
        <f>SUM(SBOSCA!C56,MCBTCA!C56,ICICCA!C56,HKBCCA!C56,CUCXCA!C56,BOFMCA!C56,BOFACA!C56,BNPACA!C56,BNDCCA!C56,BLCMCA!C56,BCANCA!C56,ATBRCA!C56,CCDQCA!C56,CIBCCA!C56,NOSCCA!C56,TDOMCA!C56,ROYCCA!C56)</f>
        <v>4081.6589999999997</v>
      </c>
      <c r="D54" s="6">
        <f>SUM(SBOSCA!D56,MCBTCA!D56,ICICCA!D56,HKBCCA!D56,CUCXCA!D56,BOFMCA!D56,BOFACA!D56,BNPACA!D56,BNDCCA!D56,BLCMCA!D56,BCANCA!D56,ATBRCA!D56,CCDQCA!D56,CIBCCA!D56,NOSCCA!D56,TDOMCA!D56,ROYCCA!D56)</f>
        <v>0</v>
      </c>
      <c r="E54" s="6">
        <f>SUM(SBOSCA!E56,MCBTCA!E56,ICICCA!E56,HKBCCA!E56,CUCXCA!E56,BOFMCA!E56,BOFACA!E56,BNPACA!E56,BNDCCA!E56,BLCMCA!E56,BCANCA!E56,ATBRCA!E56,CCDQCA!E56,CIBCCA!E56,NOSCCA!E56,TDOMCA!E56,ROYCCA!E56)</f>
        <v>0</v>
      </c>
      <c r="F54" s="9">
        <f>SUM(SBOSCA!F56,MCBTCA!F56,ICICCA!F56,HKBCCA!F56,CUCXCA!F56,BOFMCA!F56,BOFACA!F56,BNPACA!F56,BNDCCA!F56,BLCMCA!F56,BCANCA!F56,ATBRCA!F56,CCDQCA!F56,CIBCCA!F56,NOSCCA!F56,TDOMCA!F56,ROYCCA!F56)</f>
        <v>58624.089000000007</v>
      </c>
      <c r="G54" s="6">
        <f>SUM(SBOSCA!G56,MCBTCA!G56,ICICCA!G56,HKBCCA!G56,CUCXCA!G56,BOFMCA!G56,BOFACA!G56,BNPACA!G56,BNDCCA!G56,BLCMCA!G56,BCANCA!G56,ATBRCA!G56,CCDQCA!G56,CIBCCA!G56,NOSCCA!G56,TDOMCA!G56,ROYCCA!G56)</f>
        <v>0</v>
      </c>
      <c r="K54" s="7" t="str">
        <f>SBOSCA!K56</f>
        <v>2025Q1</v>
      </c>
      <c r="L54" s="6">
        <f>SUM(SBOSCA!L56,MCBTCA!L56,ICICCA!L56,HKBCCA!L56,CUCXCA!L56,BOFMCA!L56,BOFACA!L56,BNPACA!L56,BNDCCA!L56,BLCMCA!L56,BCANCA!L56,ATBRCA!L56,CCDQCA!L56,CIBCCA!L56,NOSCCA!L56,TDOMCA!L56,ROYCCA!L56)</f>
        <v>0</v>
      </c>
      <c r="M54" s="9">
        <f>SUM(SBOSCA!M56,MCBTCA!M56,ICICCA!M56,HKBCCA!M56,CUCXCA!M56,BOFMCA!M56,BOFACA!M56,BNPACA!M56,BNDCCA!M56,BLCMCA!M56,BCANCA!M56,ATBRCA!M56,CCDQCA!M56,CIBCCA!M56,NOSCCA!M56,TDOMCA!M56,ROYCCA!M56)</f>
        <v>3924.1</v>
      </c>
      <c r="N54" s="6">
        <f>SUM(SBOSCA!N56,MCBTCA!N56,ICICCA!N56,HKBCCA!N56,CUCXCA!N56,BOFMCA!N56,BOFACA!N56,BNPACA!N56,BNDCCA!N56,BLCMCA!N56,BCANCA!N56,ATBRCA!N56,CCDQCA!N56,CIBCCA!N56,NOSCCA!N56,TDOMCA!N56,ROYCCA!N56)</f>
        <v>0</v>
      </c>
      <c r="O54" s="6">
        <f>SUM(SBOSCA!O56,MCBTCA!O56,ICICCA!O56,HKBCCA!O56,CUCXCA!O56,BOFMCA!O56,BOFACA!O56,BNPACA!O56,BNDCCA!O56,BLCMCA!O56,BCANCA!O56,ATBRCA!O56,CCDQCA!O56,CIBCCA!O56,NOSCCA!O56,TDOMCA!O56,ROYCCA!O56)</f>
        <v>0</v>
      </c>
      <c r="P54" s="9">
        <f>SUM(SBOSCA!P56,MCBTCA!P56,ICICCA!P56,HKBCCA!P56,CUCXCA!P56,BOFMCA!P56,BOFACA!P56,BNPACA!P56,BNDCCA!P56,BLCMCA!P56,BCANCA!P56,ATBRCA!P56,CCDQCA!P56,CIBCCA!P56,NOSCCA!P56,TDOMCA!P56,ROYCCA!P56)</f>
        <v>50580.540000000008</v>
      </c>
      <c r="Q54" s="6">
        <f>SUM(SBOSCA!Q56,MCBTCA!Q56,ICICCA!Q56,HKBCCA!Q56,CUCXCA!Q56,BOFMCA!Q56,BOFACA!Q56,BNPACA!Q56,BNDCCA!Q56,BLCMCA!Q56,BCANCA!Q56,ATBRCA!Q56,CCDQCA!Q56,CIBCCA!Q56,NOSCCA!Q56,TDOMCA!Q56,ROYCCA!Q56)</f>
        <v>0</v>
      </c>
    </row>
    <row r="55" spans="1:17" ht="15.5" thickTop="1" thickBot="1" x14ac:dyDescent="0.4">
      <c r="A55" s="7" t="str">
        <f>SBOSCA!A57</f>
        <v>2025Q2</v>
      </c>
      <c r="B55" s="6">
        <f>SUM(SBOSCA!B57,MCBTCA!B57,ICICCA!B57,HKBCCA!B57,CUCXCA!B57,BOFMCA!B57,BOFACA!B57,BNPACA!B57,BNDCCA!B57,BLCMCA!B57,BCANCA!B57,ATBRCA!B57,CCDQCA!B57,CIBCCA!B57,NOSCCA!B57,TDOMCA!B57,ROYCCA!B57)</f>
        <v>0</v>
      </c>
      <c r="C55" s="9">
        <f>SUM(SBOSCA!C57,MCBTCA!C57,ICICCA!C57,HKBCCA!C57,CUCXCA!C57,BOFMCA!C57,BOFACA!C57,BNPACA!C57,BNDCCA!C57,BLCMCA!C57,BCANCA!C57,ATBRCA!C57,CCDQCA!C57,CIBCCA!C57,NOSCCA!C57,TDOMCA!C57,ROYCCA!C57)</f>
        <v>4357.3510000000006</v>
      </c>
      <c r="D55" s="6">
        <f>SUM(SBOSCA!D57,MCBTCA!D57,ICICCA!D57,HKBCCA!D57,CUCXCA!D57,BOFMCA!D57,BOFACA!D57,BNPACA!D57,BNDCCA!D57,BLCMCA!D57,BCANCA!D57,ATBRCA!D57,CCDQCA!D57,CIBCCA!D57,NOSCCA!D57,TDOMCA!D57,ROYCCA!D57)</f>
        <v>0</v>
      </c>
      <c r="E55" s="6">
        <f>SUM(SBOSCA!E57,MCBTCA!E57,ICICCA!E57,HKBCCA!E57,CUCXCA!E57,BOFMCA!E57,BOFACA!E57,BNPACA!E57,BNDCCA!E57,BLCMCA!E57,BCANCA!E57,ATBRCA!E57,CCDQCA!E57,CIBCCA!E57,NOSCCA!E57,TDOMCA!E57,ROYCCA!E57)</f>
        <v>0</v>
      </c>
      <c r="F55" s="9">
        <f>SUM(SBOSCA!F57,MCBTCA!F57,ICICCA!F57,HKBCCA!F57,CUCXCA!F57,BOFMCA!F57,BOFACA!F57,BNPACA!F57,BNDCCA!F57,BLCMCA!F57,BCANCA!F57,ATBRCA!F57,CCDQCA!F57,CIBCCA!F57,NOSCCA!F57,TDOMCA!F57,ROYCCA!F57)</f>
        <v>59506.995999999999</v>
      </c>
      <c r="G55" s="6">
        <f>SUM(SBOSCA!G57,MCBTCA!G57,ICICCA!G57,HKBCCA!G57,CUCXCA!G57,BOFMCA!G57,BOFACA!G57,BNPACA!G57,BNDCCA!G57,BLCMCA!G57,BCANCA!G57,ATBRCA!G57,CCDQCA!G57,CIBCCA!G57,NOSCCA!G57,TDOMCA!G57,ROYCCA!G57)</f>
        <v>0</v>
      </c>
      <c r="K55" s="7" t="str">
        <f>SBOSCA!K57</f>
        <v>2025Q2</v>
      </c>
      <c r="L55" s="6">
        <f>SUM(SBOSCA!L57,MCBTCA!L57,ICICCA!L57,HKBCCA!L57,CUCXCA!L57,BOFMCA!L57,BOFACA!L57,BNPACA!L57,BNDCCA!L57,BLCMCA!L57,BCANCA!L57,ATBRCA!L57,CCDQCA!L57,CIBCCA!L57,NOSCCA!L57,TDOMCA!L57,ROYCCA!L57)</f>
        <v>0</v>
      </c>
      <c r="M55" s="9">
        <f>SUM(SBOSCA!M57,MCBTCA!M57,ICICCA!M57,HKBCCA!M57,CUCXCA!M57,BOFMCA!M57,BOFACA!M57,BNPACA!M57,BNDCCA!M57,BLCMCA!M57,BCANCA!M57,ATBRCA!M57,CCDQCA!M57,CIBCCA!M57,NOSCCA!M57,TDOMCA!M57,ROYCCA!M57)</f>
        <v>4198.134</v>
      </c>
      <c r="N55" s="6">
        <f>SUM(SBOSCA!N57,MCBTCA!N57,ICICCA!N57,HKBCCA!N57,CUCXCA!N57,BOFMCA!N57,BOFACA!N57,BNPACA!N57,BNDCCA!N57,BLCMCA!N57,BCANCA!N57,ATBRCA!N57,CCDQCA!N57,CIBCCA!N57,NOSCCA!N57,TDOMCA!N57,ROYCCA!N57)</f>
        <v>0</v>
      </c>
      <c r="O55" s="6">
        <f>SUM(SBOSCA!O57,MCBTCA!O57,ICICCA!O57,HKBCCA!O57,CUCXCA!O57,BOFMCA!O57,BOFACA!O57,BNPACA!O57,BNDCCA!O57,BLCMCA!O57,BCANCA!O57,ATBRCA!O57,CCDQCA!O57,CIBCCA!O57,NOSCCA!O57,TDOMCA!O57,ROYCCA!O57)</f>
        <v>0</v>
      </c>
      <c r="P55" s="9">
        <f>SUM(SBOSCA!P57,MCBTCA!P57,ICICCA!P57,HKBCCA!P57,CUCXCA!P57,BOFMCA!P57,BOFACA!P57,BNPACA!P57,BNDCCA!P57,BLCMCA!P57,BCANCA!P57,ATBRCA!P57,CCDQCA!P57,CIBCCA!P57,NOSCCA!P57,TDOMCA!P57,ROYCCA!P57)</f>
        <v>51151.303</v>
      </c>
      <c r="Q55" s="6">
        <f>SUM(SBOSCA!Q57,MCBTCA!Q57,ICICCA!Q57,HKBCCA!Q57,CUCXCA!Q57,BOFMCA!Q57,BOFACA!Q57,BNPACA!Q57,BNDCCA!Q57,BLCMCA!Q57,BCANCA!Q57,ATBRCA!Q57,CCDQCA!Q57,CIBCCA!Q57,NOSCCA!Q57,TDOMCA!Q57,ROYCCA!Q57)</f>
        <v>0</v>
      </c>
    </row>
    <row r="56" spans="1:17" ht="15.5" thickTop="1" thickBot="1" x14ac:dyDescent="0.4">
      <c r="A56" s="7" t="str">
        <f>SBOSCA!A58</f>
        <v>2025Q3</v>
      </c>
      <c r="B56" s="6">
        <f>SUM(SBOSCA!B58,MCBTCA!B58,ICICCA!B58,HKBCCA!B58,CUCXCA!B58,BOFMCA!B58,BOFACA!B58,BNPACA!B58,BNDCCA!B58,BLCMCA!B58,BCANCA!B58,ATBRCA!B58,CCDQCA!B58,CIBCCA!B58,NOSCCA!B58,TDOMCA!B58,ROYCCA!B58)</f>
        <v>0</v>
      </c>
      <c r="C56" s="9">
        <f>SUM(SBOSCA!C58,MCBTCA!C58,ICICCA!C58,HKBCCA!C58,CUCXCA!C58,BOFMCA!C58,BOFACA!C58,BNPACA!C58,BNDCCA!C58,BLCMCA!C58,BCANCA!C58,ATBRCA!C58,CCDQCA!C58,CIBCCA!C58,NOSCCA!C58,TDOMCA!C58,ROYCCA!C58)</f>
        <v>4353.476999999999</v>
      </c>
      <c r="D56" s="6">
        <f>SUM(SBOSCA!D58,MCBTCA!D58,ICICCA!D58,HKBCCA!D58,CUCXCA!D58,BOFMCA!D58,BOFACA!D58,BNPACA!D58,BNDCCA!D58,BLCMCA!D58,BCANCA!D58,ATBRCA!D58,CCDQCA!D58,CIBCCA!D58,NOSCCA!D58,TDOMCA!D58,ROYCCA!D58)</f>
        <v>0</v>
      </c>
      <c r="E56" s="6">
        <f>SUM(SBOSCA!E58,MCBTCA!E58,ICICCA!E58,HKBCCA!E58,CUCXCA!E58,BOFMCA!E58,BOFACA!E58,BNPACA!E58,BNDCCA!E58,BLCMCA!E58,BCANCA!E58,ATBRCA!E58,CCDQCA!E58,CIBCCA!E58,NOSCCA!E58,TDOMCA!E58,ROYCCA!E58)</f>
        <v>0</v>
      </c>
      <c r="F56" s="9">
        <f>SUM(SBOSCA!F58,MCBTCA!F58,ICICCA!F58,HKBCCA!F58,CUCXCA!F58,BOFMCA!F58,BOFACA!F58,BNPACA!F58,BNDCCA!F58,BLCMCA!F58,BCANCA!F58,ATBRCA!F58,CCDQCA!F58,CIBCCA!F58,NOSCCA!F58,TDOMCA!F58,ROYCCA!F58)</f>
        <v>59048.938000000009</v>
      </c>
      <c r="G56" s="6">
        <f>SUM(SBOSCA!G58,MCBTCA!G58,ICICCA!G58,HKBCCA!G58,CUCXCA!G58,BOFMCA!G58,BOFACA!G58,BNPACA!G58,BNDCCA!G58,BLCMCA!G58,BCANCA!G58,ATBRCA!G58,CCDQCA!G58,CIBCCA!G58,NOSCCA!G58,TDOMCA!G58,ROYCCA!G58)</f>
        <v>0</v>
      </c>
      <c r="K56" s="7" t="str">
        <f>SBOSCA!K58</f>
        <v>2025Q3</v>
      </c>
      <c r="L56" s="6">
        <f>SUM(SBOSCA!L58,MCBTCA!L58,ICICCA!L58,HKBCCA!L58,CUCXCA!L58,BOFMCA!L58,BOFACA!L58,BNPACA!L58,BNDCCA!L58,BLCMCA!L58,BCANCA!L58,ATBRCA!L58,CCDQCA!L58,CIBCCA!L58,NOSCCA!L58,TDOMCA!L58,ROYCCA!L58)</f>
        <v>0</v>
      </c>
      <c r="M56" s="9">
        <f>SUM(SBOSCA!M58,MCBTCA!M58,ICICCA!M58,HKBCCA!M58,CUCXCA!M58,BOFMCA!M58,BOFACA!M58,BNPACA!M58,BNDCCA!M58,BLCMCA!M58,BCANCA!M58,ATBRCA!M58,CCDQCA!M58,CIBCCA!M58,NOSCCA!M58,TDOMCA!M58,ROYCCA!M58)</f>
        <v>4192.7960000000003</v>
      </c>
      <c r="N56" s="6">
        <f>SUM(SBOSCA!N58,MCBTCA!N58,ICICCA!N58,HKBCCA!N58,CUCXCA!N58,BOFMCA!N58,BOFACA!N58,BNPACA!N58,BNDCCA!N58,BLCMCA!N58,BCANCA!N58,ATBRCA!N58,CCDQCA!N58,CIBCCA!N58,NOSCCA!N58,TDOMCA!N58,ROYCCA!N58)</f>
        <v>0</v>
      </c>
      <c r="O56" s="6">
        <f>SUM(SBOSCA!O58,MCBTCA!O58,ICICCA!O58,HKBCCA!O58,CUCXCA!O58,BOFMCA!O58,BOFACA!O58,BNPACA!O58,BNDCCA!O58,BLCMCA!O58,BCANCA!O58,ATBRCA!O58,CCDQCA!O58,CIBCCA!O58,NOSCCA!O58,TDOMCA!O58,ROYCCA!O58)</f>
        <v>0</v>
      </c>
      <c r="P56" s="9">
        <f>SUM(SBOSCA!P58,MCBTCA!P58,ICICCA!P58,HKBCCA!P58,CUCXCA!P58,BOFMCA!P58,BOFACA!P58,BNPACA!P58,BNDCCA!P58,BLCMCA!P58,BCANCA!P58,ATBRCA!P58,CCDQCA!P58,CIBCCA!P58,NOSCCA!P58,TDOMCA!P58,ROYCCA!P58)</f>
        <v>50392.714</v>
      </c>
      <c r="Q56" s="6">
        <f>SUM(SBOSCA!Q58,MCBTCA!Q58,ICICCA!Q58,HKBCCA!Q58,CUCXCA!Q58,BOFMCA!Q58,BOFACA!Q58,BNPACA!Q58,BNDCCA!Q58,BLCMCA!Q58,BCANCA!Q58,ATBRCA!Q58,CCDQCA!Q58,CIBCCA!Q58,NOSCCA!Q58,TDOMCA!Q58,ROYCCA!Q58)</f>
        <v>0</v>
      </c>
    </row>
    <row r="57" spans="1:17" ht="15.5" thickTop="1" thickBot="1" x14ac:dyDescent="0.4">
      <c r="A57" s="7" t="str">
        <f>SBOSCA!A59</f>
        <v>2025Q4</v>
      </c>
      <c r="B57" s="6">
        <f>SUM(SBOSCA!B59,MCBTCA!B59,ICICCA!B59,HKBCCA!B59,CUCXCA!B59,BOFMCA!B59,BOFACA!B59,BNPACA!B59,BNDCCA!B59,BLCMCA!B59,BCANCA!B59,ATBRCA!B59,CCDQCA!B59,CIBCCA!B59,NOSCCA!B59,TDOMCA!B59,ROYCCA!B59)</f>
        <v>0</v>
      </c>
      <c r="C57" s="9">
        <f>SUM(SBOSCA!C59,MCBTCA!C59,ICICCA!C59,HKBCCA!C59,CUCXCA!C59,BOFMCA!C59,BOFACA!C59,BNPACA!C59,BNDCCA!C59,BLCMCA!C59,BCANCA!C59,ATBRCA!C59,CCDQCA!C59,CIBCCA!C59,NOSCCA!C59,TDOMCA!C59,ROYCCA!C59)</f>
        <v>4368.9620000000004</v>
      </c>
      <c r="D57" s="6">
        <f>SUM(SBOSCA!D59,MCBTCA!D59,ICICCA!D59,HKBCCA!D59,CUCXCA!D59,BOFMCA!D59,BOFACA!D59,BNPACA!D59,BNDCCA!D59,BLCMCA!D59,BCANCA!D59,ATBRCA!D59,CCDQCA!D59,CIBCCA!D59,NOSCCA!D59,TDOMCA!D59,ROYCCA!D59)</f>
        <v>0</v>
      </c>
      <c r="E57" s="6">
        <f>SUM(SBOSCA!E59,MCBTCA!E59,ICICCA!E59,HKBCCA!E59,CUCXCA!E59,BOFMCA!E59,BOFACA!E59,BNPACA!E59,BNDCCA!E59,BLCMCA!E59,BCANCA!E59,ATBRCA!E59,CCDQCA!E59,CIBCCA!E59,NOSCCA!E59,TDOMCA!E59,ROYCCA!E59)</f>
        <v>0</v>
      </c>
      <c r="F57" s="9">
        <f>SUM(SBOSCA!F59,MCBTCA!F59,ICICCA!F59,HKBCCA!F59,CUCXCA!F59,BOFMCA!F59,BOFACA!F59,BNPACA!F59,BNDCCA!F59,BLCMCA!F59,BCANCA!F59,ATBRCA!F59,CCDQCA!F59,CIBCCA!F59,NOSCCA!F59,TDOMCA!F59,ROYCCA!F59)</f>
        <v>59359.296000000002</v>
      </c>
      <c r="G57" s="6">
        <f>SUM(SBOSCA!G59,MCBTCA!G59,ICICCA!G59,HKBCCA!G59,CUCXCA!G59,BOFMCA!G59,BOFACA!G59,BNPACA!G59,BNDCCA!G59,BLCMCA!G59,BCANCA!G59,ATBRCA!G59,CCDQCA!G59,CIBCCA!G59,NOSCCA!G59,TDOMCA!G59,ROYCCA!G59)</f>
        <v>0</v>
      </c>
      <c r="K57" s="7" t="str">
        <f>SBOSCA!K59</f>
        <v>2025Q4</v>
      </c>
      <c r="L57" s="6">
        <f>SUM(SBOSCA!L59,MCBTCA!L59,ICICCA!L59,HKBCCA!L59,CUCXCA!L59,BOFMCA!L59,BOFACA!L59,BNPACA!L59,BNDCCA!L59,BLCMCA!L59,BCANCA!L59,ATBRCA!L59,CCDQCA!L59,CIBCCA!L59,NOSCCA!L59,TDOMCA!L59,ROYCCA!L59)</f>
        <v>0</v>
      </c>
      <c r="M57" s="9">
        <f>SUM(SBOSCA!M59,MCBTCA!M59,ICICCA!M59,HKBCCA!M59,CUCXCA!M59,BOFMCA!M59,BOFACA!M59,BNPACA!M59,BNDCCA!M59,BLCMCA!M59,BCANCA!M59,ATBRCA!M59,CCDQCA!M59,CIBCCA!M59,NOSCCA!M59,TDOMCA!M59,ROYCCA!M59)</f>
        <v>4206.9809999999998</v>
      </c>
      <c r="N57" s="6">
        <f>SUM(SBOSCA!N59,MCBTCA!N59,ICICCA!N59,HKBCCA!N59,CUCXCA!N59,BOFMCA!N59,BOFACA!N59,BNPACA!N59,BNDCCA!N59,BLCMCA!N59,BCANCA!N59,ATBRCA!N59,CCDQCA!N59,CIBCCA!N59,NOSCCA!N59,TDOMCA!N59,ROYCCA!N59)</f>
        <v>0</v>
      </c>
      <c r="O57" s="6">
        <f>SUM(SBOSCA!O59,MCBTCA!O59,ICICCA!O59,HKBCCA!O59,CUCXCA!O59,BOFMCA!O59,BOFACA!O59,BNPACA!O59,BNDCCA!O59,BLCMCA!O59,BCANCA!O59,ATBRCA!O59,CCDQCA!O59,CIBCCA!O59,NOSCCA!O59,TDOMCA!O59,ROYCCA!O59)</f>
        <v>0</v>
      </c>
      <c r="P57" s="9">
        <f>SUM(SBOSCA!P59,MCBTCA!P59,ICICCA!P59,HKBCCA!P59,CUCXCA!P59,BOFMCA!P59,BOFACA!P59,BNPACA!P59,BNDCCA!P59,BLCMCA!P59,BCANCA!P59,ATBRCA!P59,CCDQCA!P59,CIBCCA!P59,NOSCCA!P59,TDOMCA!P59,ROYCCA!P59)</f>
        <v>50412.414000000004</v>
      </c>
      <c r="Q57" s="6">
        <f>SUM(SBOSCA!Q59,MCBTCA!Q59,ICICCA!Q59,HKBCCA!Q59,CUCXCA!Q59,BOFMCA!Q59,BOFACA!Q59,BNPACA!Q59,BNDCCA!Q59,BLCMCA!Q59,BCANCA!Q59,ATBRCA!Q59,CCDQCA!Q59,CIBCCA!Q59,NOSCCA!Q59,TDOMCA!Q59,ROYCCA!Q59)</f>
        <v>0</v>
      </c>
    </row>
    <row r="58" spans="1:17" ht="15.5" thickTop="1" thickBot="1" x14ac:dyDescent="0.4">
      <c r="A58" s="7" t="str">
        <f>SBOSCA!A60</f>
        <v>2026Q1</v>
      </c>
      <c r="B58" s="6">
        <f>SUM(SBOSCA!B60,MCBTCA!B60,ICICCA!B60,HKBCCA!B60,CUCXCA!B60,BOFMCA!B60,BOFACA!B60,BNPACA!B60,BNDCCA!B60,BLCMCA!B60,BCANCA!B60,ATBRCA!B60,CCDQCA!B60,CIBCCA!B60,NOSCCA!B60,TDOMCA!B60,ROYCCA!B60)</f>
        <v>0</v>
      </c>
      <c r="C58" s="9">
        <f>SUM(SBOSCA!C60,MCBTCA!C60,ICICCA!C60,HKBCCA!C60,CUCXCA!C60,BOFMCA!C60,BOFACA!C60,BNPACA!C60,BNDCCA!C60,BLCMCA!C60,BCANCA!C60,ATBRCA!C60,CCDQCA!C60,CIBCCA!C60,NOSCCA!C60,TDOMCA!C60,ROYCCA!C60)</f>
        <v>4127.3890000000001</v>
      </c>
      <c r="D58" s="6">
        <f>SUM(SBOSCA!D60,MCBTCA!D60,ICICCA!D60,HKBCCA!D60,CUCXCA!D60,BOFMCA!D60,BOFACA!D60,BNPACA!D60,BNDCCA!D60,BLCMCA!D60,BCANCA!D60,ATBRCA!D60,CCDQCA!D60,CIBCCA!D60,NOSCCA!D60,TDOMCA!D60,ROYCCA!D60)</f>
        <v>0</v>
      </c>
      <c r="E58" s="6">
        <f>SUM(SBOSCA!E60,MCBTCA!E60,ICICCA!E60,HKBCCA!E60,CUCXCA!E60,BOFMCA!E60,BOFACA!E60,BNPACA!E60,BNDCCA!E60,BLCMCA!E60,BCANCA!E60,ATBRCA!E60,CCDQCA!E60,CIBCCA!E60,NOSCCA!E60,TDOMCA!E60,ROYCCA!E60)</f>
        <v>0</v>
      </c>
      <c r="F58" s="9">
        <f>SUM(SBOSCA!F60,MCBTCA!F60,ICICCA!F60,HKBCCA!F60,CUCXCA!F60,BOFMCA!F60,BOFACA!F60,BNPACA!F60,BNDCCA!F60,BLCMCA!F60,BCANCA!F60,ATBRCA!F60,CCDQCA!F60,CIBCCA!F60,NOSCCA!F60,TDOMCA!F60,ROYCCA!F60)</f>
        <v>59694.619999999995</v>
      </c>
      <c r="G58" s="6">
        <f>SUM(SBOSCA!G60,MCBTCA!G60,ICICCA!G60,HKBCCA!G60,CUCXCA!G60,BOFMCA!G60,BOFACA!G60,BNPACA!G60,BNDCCA!G60,BLCMCA!G60,BCANCA!G60,ATBRCA!G60,CCDQCA!G60,CIBCCA!G60,NOSCCA!G60,TDOMCA!G60,ROYCCA!G60)</f>
        <v>0</v>
      </c>
      <c r="K58" s="7" t="str">
        <f>SBOSCA!K60</f>
        <v>2026Q1</v>
      </c>
      <c r="L58" s="6">
        <f>SUM(SBOSCA!L60,MCBTCA!L60,ICICCA!L60,HKBCCA!L60,CUCXCA!L60,BOFMCA!L60,BOFACA!L60,BNPACA!L60,BNDCCA!L60,BLCMCA!L60,BCANCA!L60,ATBRCA!L60,CCDQCA!L60,CIBCCA!L60,NOSCCA!L60,TDOMCA!L60,ROYCCA!L60)</f>
        <v>0</v>
      </c>
      <c r="M58" s="9">
        <f>SUM(SBOSCA!M60,MCBTCA!M60,ICICCA!M60,HKBCCA!M60,CUCXCA!M60,BOFMCA!M60,BOFACA!M60,BNPACA!M60,BNDCCA!M60,BLCMCA!M60,BCANCA!M60,ATBRCA!M60,CCDQCA!M60,CIBCCA!M60,NOSCCA!M60,TDOMCA!M60,ROYCCA!M60)</f>
        <v>3964.2419999999997</v>
      </c>
      <c r="N58" s="6">
        <f>SUM(SBOSCA!N60,MCBTCA!N60,ICICCA!N60,HKBCCA!N60,CUCXCA!N60,BOFMCA!N60,BOFACA!N60,BNPACA!N60,BNDCCA!N60,BLCMCA!N60,BCANCA!N60,ATBRCA!N60,CCDQCA!N60,CIBCCA!N60,NOSCCA!N60,TDOMCA!N60,ROYCCA!N60)</f>
        <v>0</v>
      </c>
      <c r="O58" s="6">
        <f>SUM(SBOSCA!O60,MCBTCA!O60,ICICCA!O60,HKBCCA!O60,CUCXCA!O60,BOFMCA!O60,BOFACA!O60,BNPACA!O60,BNDCCA!O60,BLCMCA!O60,BCANCA!O60,ATBRCA!O60,CCDQCA!O60,CIBCCA!O60,NOSCCA!O60,TDOMCA!O60,ROYCCA!O60)</f>
        <v>0</v>
      </c>
      <c r="P58" s="9">
        <f>SUM(SBOSCA!P60,MCBTCA!P60,ICICCA!P60,HKBCCA!P60,CUCXCA!P60,BOFMCA!P60,BOFACA!P60,BNPACA!P60,BNDCCA!P60,BLCMCA!P60,BCANCA!P60,ATBRCA!P60,CCDQCA!P60,CIBCCA!P60,NOSCCA!P60,TDOMCA!P60,ROYCCA!P60)</f>
        <v>50466.474000000002</v>
      </c>
      <c r="Q58" s="6">
        <f>SUM(SBOSCA!Q60,MCBTCA!Q60,ICICCA!Q60,HKBCCA!Q60,CUCXCA!Q60,BOFMCA!Q60,BOFACA!Q60,BNPACA!Q60,BNDCCA!Q60,BLCMCA!Q60,BCANCA!Q60,ATBRCA!Q60,CCDQCA!Q60,CIBCCA!Q60,NOSCCA!Q60,TDOMCA!Q60,ROYCCA!Q60)</f>
        <v>0</v>
      </c>
    </row>
    <row r="59" spans="1:17" ht="15.5" thickTop="1" thickBot="1" x14ac:dyDescent="0.4">
      <c r="A59" s="7" t="str">
        <f>SBOSCA!A61</f>
        <v>2026Q2</v>
      </c>
      <c r="B59" s="6">
        <f>SUM(SBOSCA!B61,MCBTCA!B61,ICICCA!B61,HKBCCA!B61,CUCXCA!B61,BOFMCA!B61,BOFACA!B61,BNPACA!B61,BNDCCA!B61,BLCMCA!B61,BCANCA!B61,ATBRCA!B61,CCDQCA!B61,CIBCCA!B61,NOSCCA!B61,TDOMCA!B61,ROYCCA!B61)</f>
        <v>0</v>
      </c>
      <c r="C59" s="9">
        <f>SUM(SBOSCA!C61,MCBTCA!C61,ICICCA!C61,HKBCCA!C61,CUCXCA!C61,BOFMCA!C61,BOFACA!C61,BNPACA!C61,BNDCCA!C61,BLCMCA!C61,BCANCA!C61,ATBRCA!C61,CCDQCA!C61,CIBCCA!C61,NOSCCA!C61,TDOMCA!C61,ROYCCA!C61)</f>
        <v>4407.0590000000002</v>
      </c>
      <c r="D59" s="6">
        <f>SUM(SBOSCA!D61,MCBTCA!D61,ICICCA!D61,HKBCCA!D61,CUCXCA!D61,BOFMCA!D61,BOFACA!D61,BNPACA!D61,BNDCCA!D61,BLCMCA!D61,BCANCA!D61,ATBRCA!D61,CCDQCA!D61,CIBCCA!D61,NOSCCA!D61,TDOMCA!D61,ROYCCA!D61)</f>
        <v>0</v>
      </c>
      <c r="E59" s="6">
        <f>SUM(SBOSCA!E61,MCBTCA!E61,ICICCA!E61,HKBCCA!E61,CUCXCA!E61,BOFMCA!E61,BOFACA!E61,BNPACA!E61,BNDCCA!E61,BLCMCA!E61,BCANCA!E61,ATBRCA!E61,CCDQCA!E61,CIBCCA!E61,NOSCCA!E61,TDOMCA!E61,ROYCCA!E61)</f>
        <v>0</v>
      </c>
      <c r="F59" s="9">
        <f>SUM(SBOSCA!F61,MCBTCA!F61,ICICCA!F61,HKBCCA!F61,CUCXCA!F61,BOFMCA!F61,BOFACA!F61,BNPACA!F61,BNDCCA!F61,BLCMCA!F61,BCANCA!F61,ATBRCA!F61,CCDQCA!F61,CIBCCA!F61,NOSCCA!F61,TDOMCA!F61,ROYCCA!F61)</f>
        <v>60616.019</v>
      </c>
      <c r="G59" s="6">
        <f>SUM(SBOSCA!G61,MCBTCA!G61,ICICCA!G61,HKBCCA!G61,CUCXCA!G61,BOFMCA!G61,BOFACA!G61,BNPACA!G61,BNDCCA!G61,BLCMCA!G61,BCANCA!G61,ATBRCA!G61,CCDQCA!G61,CIBCCA!G61,NOSCCA!G61,TDOMCA!G61,ROYCCA!G61)</f>
        <v>0</v>
      </c>
      <c r="K59" s="7" t="str">
        <f>SBOSCA!K61</f>
        <v>2026Q2</v>
      </c>
      <c r="L59" s="6">
        <f>SUM(SBOSCA!L61,MCBTCA!L61,ICICCA!L61,HKBCCA!L61,CUCXCA!L61,BOFMCA!L61,BOFACA!L61,BNPACA!L61,BNDCCA!L61,BLCMCA!L61,BCANCA!L61,ATBRCA!L61,CCDQCA!L61,CIBCCA!L61,NOSCCA!L61,TDOMCA!L61,ROYCCA!L61)</f>
        <v>0</v>
      </c>
      <c r="M59" s="9">
        <f>SUM(SBOSCA!M61,MCBTCA!M61,ICICCA!M61,HKBCCA!M61,CUCXCA!M61,BOFMCA!M61,BOFACA!M61,BNPACA!M61,BNDCCA!M61,BLCMCA!M61,BCANCA!M61,ATBRCA!M61,CCDQCA!M61,CIBCCA!M61,NOSCCA!M61,TDOMCA!M61,ROYCCA!M61)</f>
        <v>4242.866</v>
      </c>
      <c r="N59" s="6">
        <f>SUM(SBOSCA!N61,MCBTCA!N61,ICICCA!N61,HKBCCA!N61,CUCXCA!N61,BOFMCA!N61,BOFACA!N61,BNPACA!N61,BNDCCA!N61,BLCMCA!N61,BCANCA!N61,ATBRCA!N61,CCDQCA!N61,CIBCCA!N61,NOSCCA!N61,TDOMCA!N61,ROYCCA!N61)</f>
        <v>0</v>
      </c>
      <c r="O59" s="6">
        <f>SUM(SBOSCA!O61,MCBTCA!O61,ICICCA!O61,HKBCCA!O61,CUCXCA!O61,BOFMCA!O61,BOFACA!O61,BNPACA!O61,BNDCCA!O61,BLCMCA!O61,BCANCA!O61,ATBRCA!O61,CCDQCA!O61,CIBCCA!O61,NOSCCA!O61,TDOMCA!O61,ROYCCA!O61)</f>
        <v>0</v>
      </c>
      <c r="P59" s="9">
        <f>SUM(SBOSCA!P61,MCBTCA!P61,ICICCA!P61,HKBCCA!P61,CUCXCA!P61,BOFMCA!P61,BOFACA!P61,BNPACA!P61,BNDCCA!P61,BLCMCA!P61,BCANCA!P61,ATBRCA!P61,CCDQCA!P61,CIBCCA!P61,NOSCCA!P61,TDOMCA!P61,ROYCCA!P61)</f>
        <v>51114.798999999999</v>
      </c>
      <c r="Q59" s="6">
        <f>SUM(SBOSCA!Q61,MCBTCA!Q61,ICICCA!Q61,HKBCCA!Q61,CUCXCA!Q61,BOFMCA!Q61,BOFACA!Q61,BNPACA!Q61,BNDCCA!Q61,BLCMCA!Q61,BCANCA!Q61,ATBRCA!Q61,CCDQCA!Q61,CIBCCA!Q61,NOSCCA!Q61,TDOMCA!Q61,ROYCCA!Q61)</f>
        <v>0</v>
      </c>
    </row>
    <row r="60" spans="1:17" ht="15.5" thickTop="1" thickBot="1" x14ac:dyDescent="0.4">
      <c r="A60" s="7" t="str">
        <f>SBOSCA!A62</f>
        <v>2026Q3</v>
      </c>
      <c r="B60" s="6">
        <f>SUM(SBOSCA!B62,MCBTCA!B62,ICICCA!B62,HKBCCA!B62,CUCXCA!B62,BOFMCA!B62,BOFACA!B62,BNPACA!B62,BNDCCA!B62,BLCMCA!B62,BCANCA!B62,ATBRCA!B62,CCDQCA!B62,CIBCCA!B62,NOSCCA!B62,TDOMCA!B62,ROYCCA!B62)</f>
        <v>0</v>
      </c>
      <c r="C60" s="9">
        <f>SUM(SBOSCA!C62,MCBTCA!C62,ICICCA!C62,HKBCCA!C62,CUCXCA!C62,BOFMCA!C62,BOFACA!C62,BNPACA!C62,BNDCCA!C62,BLCMCA!C62,BCANCA!C62,ATBRCA!C62,CCDQCA!C62,CIBCCA!C62,NOSCCA!C62,TDOMCA!C62,ROYCCA!C62)</f>
        <v>4406.68</v>
      </c>
      <c r="D60" s="6">
        <f>SUM(SBOSCA!D62,MCBTCA!D62,ICICCA!D62,HKBCCA!D62,CUCXCA!D62,BOFMCA!D62,BOFACA!D62,BNPACA!D62,BNDCCA!D62,BLCMCA!D62,BCANCA!D62,ATBRCA!D62,CCDQCA!D62,CIBCCA!D62,NOSCCA!D62,TDOMCA!D62,ROYCCA!D62)</f>
        <v>0</v>
      </c>
      <c r="E60" s="6">
        <f>SUM(SBOSCA!E62,MCBTCA!E62,ICICCA!E62,HKBCCA!E62,CUCXCA!E62,BOFMCA!E62,BOFACA!E62,BNPACA!E62,BNDCCA!E62,BLCMCA!E62,BCANCA!E62,ATBRCA!E62,CCDQCA!E62,CIBCCA!E62,NOSCCA!E62,TDOMCA!E62,ROYCCA!E62)</f>
        <v>0</v>
      </c>
      <c r="F60" s="9">
        <f>SUM(SBOSCA!F62,MCBTCA!F62,ICICCA!F62,HKBCCA!F62,CUCXCA!F62,BOFMCA!F62,BOFACA!F62,BNPACA!F62,BNDCCA!F62,BLCMCA!F62,BCANCA!F62,ATBRCA!F62,CCDQCA!F62,CIBCCA!F62,NOSCCA!F62,TDOMCA!F62,ROYCCA!F62)</f>
        <v>60193.762999999999</v>
      </c>
      <c r="G60" s="6">
        <f>SUM(SBOSCA!G62,MCBTCA!G62,ICICCA!G62,HKBCCA!G62,CUCXCA!G62,BOFMCA!G62,BOFACA!G62,BNPACA!G62,BNDCCA!G62,BLCMCA!G62,BCANCA!G62,ATBRCA!G62,CCDQCA!G62,CIBCCA!G62,NOSCCA!G62,TDOMCA!G62,ROYCCA!G62)</f>
        <v>0</v>
      </c>
      <c r="K60" s="7" t="str">
        <f>SBOSCA!K62</f>
        <v>2026Q3</v>
      </c>
      <c r="L60" s="6">
        <f>SUM(SBOSCA!L62,MCBTCA!L62,ICICCA!L62,HKBCCA!L62,CUCXCA!L62,BOFMCA!L62,BOFACA!L62,BNPACA!L62,BNDCCA!L62,BLCMCA!L62,BCANCA!L62,ATBRCA!L62,CCDQCA!L62,CIBCCA!L62,NOSCCA!L62,TDOMCA!L62,ROYCCA!L62)</f>
        <v>0</v>
      </c>
      <c r="M60" s="9">
        <f>SUM(SBOSCA!M62,MCBTCA!M62,ICICCA!M62,HKBCCA!M62,CUCXCA!M62,BOFMCA!M62,BOFACA!M62,BNPACA!M62,BNDCCA!M62,BLCMCA!M62,BCANCA!M62,ATBRCA!M62,CCDQCA!M62,CIBCCA!M62,NOSCCA!M62,TDOMCA!M62,ROYCCA!M62)</f>
        <v>4241.5429999999997</v>
      </c>
      <c r="N60" s="6">
        <f>SUM(SBOSCA!N62,MCBTCA!N62,ICICCA!N62,HKBCCA!N62,CUCXCA!N62,BOFMCA!N62,BOFACA!N62,BNPACA!N62,BNDCCA!N62,BLCMCA!N62,BCANCA!N62,ATBRCA!N62,CCDQCA!N62,CIBCCA!N62,NOSCCA!N62,TDOMCA!N62,ROYCCA!N62)</f>
        <v>0</v>
      </c>
      <c r="O60" s="6">
        <f>SUM(SBOSCA!O62,MCBTCA!O62,ICICCA!O62,HKBCCA!O62,CUCXCA!O62,BOFMCA!O62,BOFACA!O62,BNPACA!O62,BNDCCA!O62,BLCMCA!O62,BCANCA!O62,ATBRCA!O62,CCDQCA!O62,CIBCCA!O62,NOSCCA!O62,TDOMCA!O62,ROYCCA!O62)</f>
        <v>0</v>
      </c>
      <c r="P60" s="9">
        <f>SUM(SBOSCA!P62,MCBTCA!P62,ICICCA!P62,HKBCCA!P62,CUCXCA!P62,BOFMCA!P62,BOFACA!P62,BNPACA!P62,BNDCCA!P62,BLCMCA!P62,BCANCA!P62,ATBRCA!P62,CCDQCA!P62,CIBCCA!P62,NOSCCA!P62,TDOMCA!P62,ROYCCA!P62)</f>
        <v>50427.263000000006</v>
      </c>
      <c r="Q60" s="6">
        <f>SUM(SBOSCA!Q62,MCBTCA!Q62,ICICCA!Q62,HKBCCA!Q62,CUCXCA!Q62,BOFMCA!Q62,BOFACA!Q62,BNPACA!Q62,BNDCCA!Q62,BLCMCA!Q62,BCANCA!Q62,ATBRCA!Q62,CCDQCA!Q62,CIBCCA!Q62,NOSCCA!Q62,TDOMCA!Q62,ROYCCA!Q62)</f>
        <v>0</v>
      </c>
    </row>
    <row r="61" spans="1:17" ht="15.5" thickTop="1" thickBot="1" x14ac:dyDescent="0.4">
      <c r="A61" s="7" t="str">
        <f>SBOSCA!A63</f>
        <v>2026Q4</v>
      </c>
      <c r="B61" s="6">
        <f>SUM(SBOSCA!B63,MCBTCA!B63,ICICCA!B63,HKBCCA!B63,CUCXCA!B63,BOFMCA!B63,BOFACA!B63,BNPACA!B63,BNDCCA!B63,BLCMCA!B63,BCANCA!B63,ATBRCA!B63,CCDQCA!B63,CIBCCA!B63,NOSCCA!B63,TDOMCA!B63,ROYCCA!B63)</f>
        <v>0</v>
      </c>
      <c r="C61" s="9">
        <f>SUM(SBOSCA!C63,MCBTCA!C63,ICICCA!C63,HKBCCA!C63,CUCXCA!C63,BOFMCA!C63,BOFACA!C63,BNPACA!C63,BNDCCA!C63,BLCMCA!C63,BCANCA!C63,ATBRCA!C63,CCDQCA!C63,CIBCCA!C63,NOSCCA!C63,TDOMCA!C63,ROYCCA!C63)</f>
        <v>4425.2469999999994</v>
      </c>
      <c r="D61" s="6">
        <f>SUM(SBOSCA!D63,MCBTCA!D63,ICICCA!D63,HKBCCA!D63,CUCXCA!D63,BOFMCA!D63,BOFACA!D63,BNPACA!D63,BNDCCA!D63,BLCMCA!D63,BCANCA!D63,ATBRCA!D63,CCDQCA!D63,CIBCCA!D63,NOSCCA!D63,TDOMCA!D63,ROYCCA!D63)</f>
        <v>0</v>
      </c>
      <c r="E61" s="6">
        <f>SUM(SBOSCA!E63,MCBTCA!E63,ICICCA!E63,HKBCCA!E63,CUCXCA!E63,BOFMCA!E63,BOFACA!E63,BNPACA!E63,BNDCCA!E63,BLCMCA!E63,BCANCA!E63,ATBRCA!E63,CCDQCA!E63,CIBCCA!E63,NOSCCA!E63,TDOMCA!E63,ROYCCA!E63)</f>
        <v>0</v>
      </c>
      <c r="F61" s="9">
        <f>SUM(SBOSCA!F63,MCBTCA!F63,ICICCA!F63,HKBCCA!F63,CUCXCA!F63,BOFMCA!F63,BOFACA!F63,BNPACA!F63,BNDCCA!F63,BLCMCA!F63,BCANCA!F63,ATBRCA!F63,CCDQCA!F63,CIBCCA!F63,NOSCCA!F63,TDOMCA!F63,ROYCCA!F63)</f>
        <v>60535.965999999993</v>
      </c>
      <c r="G61" s="6">
        <f>SUM(SBOSCA!G63,MCBTCA!G63,ICICCA!G63,HKBCCA!G63,CUCXCA!G63,BOFMCA!G63,BOFACA!G63,BNPACA!G63,BNDCCA!G63,BLCMCA!G63,BCANCA!G63,ATBRCA!G63,CCDQCA!G63,CIBCCA!G63,NOSCCA!G63,TDOMCA!G63,ROYCCA!G63)</f>
        <v>0</v>
      </c>
      <c r="K61" s="7" t="str">
        <f>SBOSCA!K63</f>
        <v>2026Q4</v>
      </c>
      <c r="L61" s="6">
        <f>SUM(SBOSCA!L63,MCBTCA!L63,ICICCA!L63,HKBCCA!L63,CUCXCA!L63,BOFMCA!L63,BOFACA!L63,BNPACA!L63,BNDCCA!L63,BLCMCA!L63,BCANCA!L63,ATBRCA!L63,CCDQCA!L63,CIBCCA!L63,NOSCCA!L63,TDOMCA!L63,ROYCCA!L63)</f>
        <v>0</v>
      </c>
      <c r="M61" s="9">
        <f>SUM(SBOSCA!M63,MCBTCA!M63,ICICCA!M63,HKBCCA!M63,CUCXCA!M63,BOFMCA!M63,BOFACA!M63,BNPACA!M63,BNDCCA!M63,BLCMCA!M63,BCANCA!M63,ATBRCA!M63,CCDQCA!M63,CIBCCA!M63,NOSCCA!M63,TDOMCA!M63,ROYCCA!M63)</f>
        <v>4259.2510000000002</v>
      </c>
      <c r="N61" s="6">
        <f>SUM(SBOSCA!N63,MCBTCA!N63,ICICCA!N63,HKBCCA!N63,CUCXCA!N63,BOFMCA!N63,BOFACA!N63,BNPACA!N63,BNDCCA!N63,BLCMCA!N63,BCANCA!N63,ATBRCA!N63,CCDQCA!N63,CIBCCA!N63,NOSCCA!N63,TDOMCA!N63,ROYCCA!N63)</f>
        <v>0</v>
      </c>
      <c r="O61" s="6">
        <f>SUM(SBOSCA!O63,MCBTCA!O63,ICICCA!O63,HKBCCA!O63,CUCXCA!O63,BOFMCA!O63,BOFACA!O63,BNPACA!O63,BNDCCA!O63,BLCMCA!O63,BCANCA!O63,ATBRCA!O63,CCDQCA!O63,CIBCCA!O63,NOSCCA!O63,TDOMCA!O63,ROYCCA!O63)</f>
        <v>0</v>
      </c>
      <c r="P61" s="9">
        <f>SUM(SBOSCA!P63,MCBTCA!P63,ICICCA!P63,HKBCCA!P63,CUCXCA!P63,BOFMCA!P63,BOFACA!P63,BNPACA!P63,BNDCCA!P63,BLCMCA!P63,BCANCA!P63,ATBRCA!P63,CCDQCA!P63,CIBCCA!P63,NOSCCA!P63,TDOMCA!P63,ROYCCA!P63)</f>
        <v>50511.112999999998</v>
      </c>
      <c r="Q61" s="6">
        <f>SUM(SBOSCA!Q63,MCBTCA!Q63,ICICCA!Q63,HKBCCA!Q63,CUCXCA!Q63,BOFMCA!Q63,BOFACA!Q63,BNPACA!Q63,BNDCCA!Q63,BLCMCA!Q63,BCANCA!Q63,ATBRCA!Q63,CCDQCA!Q63,CIBCCA!Q63,NOSCCA!Q63,TDOMCA!Q63,ROYCCA!Q63)</f>
        <v>0</v>
      </c>
    </row>
    <row r="62" spans="1:17" ht="15.5" thickTop="1" thickBot="1" x14ac:dyDescent="0.4">
      <c r="A62" s="7" t="str">
        <f>SBOSCA!A64</f>
        <v>2027Q1</v>
      </c>
      <c r="B62" s="6">
        <f>SUM(SBOSCA!B64,MCBTCA!B64,ICICCA!B64,HKBCCA!B64,CUCXCA!B64,BOFMCA!B64,BOFACA!B64,BNPACA!B64,BNDCCA!B64,BLCMCA!B64,BCANCA!B64,ATBRCA!B64,CCDQCA!B64,CIBCCA!B64,NOSCCA!B64,TDOMCA!B64,ROYCCA!B64)</f>
        <v>0</v>
      </c>
      <c r="C62" s="9">
        <f>SUM(SBOSCA!C64,MCBTCA!C64,ICICCA!C64,HKBCCA!C64,CUCXCA!C64,BOFMCA!C64,BOFACA!C64,BNPACA!C64,BNDCCA!C64,BLCMCA!C64,BCANCA!C64,ATBRCA!C64,CCDQCA!C64,CIBCCA!C64,NOSCCA!C64,TDOMCA!C64,ROYCCA!C64)</f>
        <v>4186.3869999999997</v>
      </c>
      <c r="D62" s="6">
        <f>SUM(SBOSCA!D64,MCBTCA!D64,ICICCA!D64,HKBCCA!D64,CUCXCA!D64,BOFMCA!D64,BOFACA!D64,BNPACA!D64,BNDCCA!D64,BLCMCA!D64,BCANCA!D64,ATBRCA!D64,CCDQCA!D64,CIBCCA!D64,NOSCCA!D64,TDOMCA!D64,ROYCCA!D64)</f>
        <v>0</v>
      </c>
      <c r="E62" s="6">
        <f>SUM(SBOSCA!E64,MCBTCA!E64,ICICCA!E64,HKBCCA!E64,CUCXCA!E64,BOFMCA!E64,BOFACA!E64,BNPACA!E64,BNDCCA!E64,BLCMCA!E64,BCANCA!E64,ATBRCA!E64,CCDQCA!E64,CIBCCA!E64,NOSCCA!E64,TDOMCA!E64,ROYCCA!E64)</f>
        <v>0</v>
      </c>
      <c r="F62" s="9">
        <f>SUM(SBOSCA!F64,MCBTCA!F64,ICICCA!F64,HKBCCA!F64,CUCXCA!F64,BOFMCA!F64,BOFACA!F64,BNPACA!F64,BNDCCA!F64,BLCMCA!F64,BCANCA!F64,ATBRCA!F64,CCDQCA!F64,CIBCCA!F64,NOSCCA!F64,TDOMCA!F64,ROYCCA!F64)</f>
        <v>60901.207000000002</v>
      </c>
      <c r="G62" s="6">
        <f>SUM(SBOSCA!G64,MCBTCA!G64,ICICCA!G64,HKBCCA!G64,CUCXCA!G64,BOFMCA!G64,BOFACA!G64,BNPACA!G64,BNDCCA!G64,BLCMCA!G64,BCANCA!G64,ATBRCA!G64,CCDQCA!G64,CIBCCA!G64,NOSCCA!G64,TDOMCA!G64,ROYCCA!G64)</f>
        <v>0</v>
      </c>
      <c r="K62" s="7" t="str">
        <f>SBOSCA!K64</f>
        <v>2027Q1</v>
      </c>
      <c r="L62" s="6">
        <f>SUM(SBOSCA!L64,MCBTCA!L64,ICICCA!L64,HKBCCA!L64,CUCXCA!L64,BOFMCA!L64,BOFACA!L64,BNPACA!L64,BNDCCA!L64,BLCMCA!L64,BCANCA!L64,ATBRCA!L64,CCDQCA!L64,CIBCCA!L64,NOSCCA!L64,TDOMCA!L64,ROYCCA!L64)</f>
        <v>0</v>
      </c>
      <c r="M62" s="9">
        <f>SUM(SBOSCA!M64,MCBTCA!M64,ICICCA!M64,HKBCCA!M64,CUCXCA!M64,BOFMCA!M64,BOFACA!M64,BNPACA!M64,BNDCCA!M64,BLCMCA!M64,BCANCA!M64,ATBRCA!M64,CCDQCA!M64,CIBCCA!M64,NOSCCA!M64,TDOMCA!M64,ROYCCA!M64)</f>
        <v>4019.6120000000001</v>
      </c>
      <c r="N62" s="6">
        <f>SUM(SBOSCA!N64,MCBTCA!N64,ICICCA!N64,HKBCCA!N64,CUCXCA!N64,BOFMCA!N64,BOFACA!N64,BNPACA!N64,BNDCCA!N64,BLCMCA!N64,BCANCA!N64,ATBRCA!N64,CCDQCA!N64,CIBCCA!N64,NOSCCA!N64,TDOMCA!N64,ROYCCA!N64)</f>
        <v>0</v>
      </c>
      <c r="O62" s="6">
        <f>SUM(SBOSCA!O64,MCBTCA!O64,ICICCA!O64,HKBCCA!O64,CUCXCA!O64,BOFMCA!O64,BOFACA!O64,BNPACA!O64,BNDCCA!O64,BLCMCA!O64,BCANCA!O64,ATBRCA!O64,CCDQCA!O64,CIBCCA!O64,NOSCCA!O64,TDOMCA!O64,ROYCCA!O64)</f>
        <v>0</v>
      </c>
      <c r="P62" s="9">
        <f>SUM(SBOSCA!P64,MCBTCA!P64,ICICCA!P64,HKBCCA!P64,CUCXCA!P64,BOFMCA!P64,BOFACA!P64,BNPACA!P64,BNDCCA!P64,BLCMCA!P64,BCANCA!P64,ATBRCA!P64,CCDQCA!P64,CIBCCA!P64,NOSCCA!P64,TDOMCA!P64,ROYCCA!P64)</f>
        <v>50624.606999999996</v>
      </c>
      <c r="Q62" s="6">
        <f>SUM(SBOSCA!Q64,MCBTCA!Q64,ICICCA!Q64,HKBCCA!Q64,CUCXCA!Q64,BOFMCA!Q64,BOFACA!Q64,BNPACA!Q64,BNDCCA!Q64,BLCMCA!Q64,BCANCA!Q64,ATBRCA!Q64,CCDQCA!Q64,CIBCCA!Q64,NOSCCA!Q64,TDOMCA!Q64,ROYCCA!Q64)</f>
        <v>0</v>
      </c>
    </row>
    <row r="63" spans="1:17" ht="15.5" thickTop="1" thickBot="1" x14ac:dyDescent="0.4">
      <c r="A63" s="7" t="str">
        <f>SBOSCA!A65</f>
        <v>2027Q2</v>
      </c>
      <c r="B63" s="6">
        <f>SUM(SBOSCA!B65,MCBTCA!B65,ICICCA!B65,HKBCCA!B65,CUCXCA!B65,BOFMCA!B65,BOFACA!B65,BNPACA!B65,BNDCCA!B65,BLCMCA!B65,BCANCA!B65,ATBRCA!B65,CCDQCA!B65,CIBCCA!B65,NOSCCA!B65,TDOMCA!B65,ROYCCA!B65)</f>
        <v>0</v>
      </c>
      <c r="C63" s="9">
        <f>SUM(SBOSCA!C65,MCBTCA!C65,ICICCA!C65,HKBCCA!C65,CUCXCA!C65,BOFMCA!C65,BOFACA!C65,BNPACA!C65,BNDCCA!C65,BLCMCA!C65,BCANCA!C65,ATBRCA!C65,CCDQCA!C65,CIBCCA!C65,NOSCCA!C65,TDOMCA!C65,ROYCCA!C65)</f>
        <v>4468.4630000000006</v>
      </c>
      <c r="D63" s="6">
        <f>SUM(SBOSCA!D65,MCBTCA!D65,ICICCA!D65,HKBCCA!D65,CUCXCA!D65,BOFMCA!D65,BOFACA!D65,BNPACA!D65,BNDCCA!D65,BLCMCA!D65,BCANCA!D65,ATBRCA!D65,CCDQCA!D65,CIBCCA!D65,NOSCCA!D65,TDOMCA!D65,ROYCCA!D65)</f>
        <v>0</v>
      </c>
      <c r="E63" s="6">
        <f>SUM(SBOSCA!E65,MCBTCA!E65,ICICCA!E65,HKBCCA!E65,CUCXCA!E65,BOFMCA!E65,BOFACA!E65,BNPACA!E65,BNDCCA!E65,BLCMCA!E65,BCANCA!E65,ATBRCA!E65,CCDQCA!E65,CIBCCA!E65,NOSCCA!E65,TDOMCA!E65,ROYCCA!E65)</f>
        <v>0</v>
      </c>
      <c r="F63" s="9">
        <f>SUM(SBOSCA!F65,MCBTCA!F65,ICICCA!F65,HKBCCA!F65,CUCXCA!F65,BOFMCA!F65,BOFACA!F65,BNPACA!F65,BNDCCA!F65,BLCMCA!F65,BCANCA!F65,ATBRCA!F65,CCDQCA!F65,CIBCCA!F65,NOSCCA!F65,TDOMCA!F65,ROYCCA!F65)</f>
        <v>61849.553</v>
      </c>
      <c r="G63" s="6">
        <f>SUM(SBOSCA!G65,MCBTCA!G65,ICICCA!G65,HKBCCA!G65,CUCXCA!G65,BOFMCA!G65,BOFACA!G65,BNPACA!G65,BNDCCA!G65,BLCMCA!G65,BCANCA!G65,ATBRCA!G65,CCDQCA!G65,CIBCCA!G65,NOSCCA!G65,TDOMCA!G65,ROYCCA!G65)</f>
        <v>0</v>
      </c>
      <c r="K63" s="7" t="str">
        <f>SBOSCA!K65</f>
        <v>2027Q2</v>
      </c>
      <c r="L63" s="6">
        <f>SUM(SBOSCA!L65,MCBTCA!L65,ICICCA!L65,HKBCCA!L65,CUCXCA!L65,BOFMCA!L65,BOFACA!L65,BNPACA!L65,BNDCCA!L65,BLCMCA!L65,BCANCA!L65,ATBRCA!L65,CCDQCA!L65,CIBCCA!L65,NOSCCA!L65,TDOMCA!L65,ROYCCA!L65)</f>
        <v>0</v>
      </c>
      <c r="M63" s="9">
        <f>SUM(SBOSCA!M65,MCBTCA!M65,ICICCA!M65,HKBCCA!M65,CUCXCA!M65,BOFMCA!M65,BOFACA!M65,BNPACA!M65,BNDCCA!M65,BLCMCA!M65,BCANCA!M65,ATBRCA!M65,CCDQCA!M65,CIBCCA!M65,NOSCCA!M65,TDOMCA!M65,ROYCCA!M65)</f>
        <v>4300.9750000000004</v>
      </c>
      <c r="N63" s="6">
        <f>SUM(SBOSCA!N65,MCBTCA!N65,ICICCA!N65,HKBCCA!N65,CUCXCA!N65,BOFMCA!N65,BOFACA!N65,BNPACA!N65,BNDCCA!N65,BLCMCA!N65,BCANCA!N65,ATBRCA!N65,CCDQCA!N65,CIBCCA!N65,NOSCCA!N65,TDOMCA!N65,ROYCCA!N65)</f>
        <v>0</v>
      </c>
      <c r="O63" s="6">
        <f>SUM(SBOSCA!O65,MCBTCA!O65,ICICCA!O65,HKBCCA!O65,CUCXCA!O65,BOFMCA!O65,BOFACA!O65,BNPACA!O65,BNDCCA!O65,BLCMCA!O65,BCANCA!O65,ATBRCA!O65,CCDQCA!O65,CIBCCA!O65,NOSCCA!O65,TDOMCA!O65,ROYCCA!O65)</f>
        <v>0</v>
      </c>
      <c r="P63" s="9">
        <f>SUM(SBOSCA!P65,MCBTCA!P65,ICICCA!P65,HKBCCA!P65,CUCXCA!P65,BOFMCA!P65,BOFACA!P65,BNPACA!P65,BNDCCA!P65,BLCMCA!P65,BCANCA!P65,ATBRCA!P65,CCDQCA!P65,CIBCCA!P65,NOSCCA!P65,TDOMCA!P65,ROYCCA!P65)</f>
        <v>51327.164999999994</v>
      </c>
      <c r="Q63" s="6">
        <f>SUM(SBOSCA!Q65,MCBTCA!Q65,ICICCA!Q65,HKBCCA!Q65,CUCXCA!Q65,BOFMCA!Q65,BOFACA!Q65,BNPACA!Q65,BNDCCA!Q65,BLCMCA!Q65,BCANCA!Q65,ATBRCA!Q65,CCDQCA!Q65,CIBCCA!Q65,NOSCCA!Q65,TDOMCA!Q65,ROYCCA!Q65)</f>
        <v>0</v>
      </c>
    </row>
    <row r="64" spans="1:17" ht="15.5" thickTop="1" thickBot="1" x14ac:dyDescent="0.4">
      <c r="A64" s="7" t="str">
        <f>SBOSCA!A66</f>
        <v>2027Q3</v>
      </c>
      <c r="B64" s="6">
        <f>SUM(SBOSCA!B66,MCBTCA!B66,ICICCA!B66,HKBCCA!B66,CUCXCA!B66,BOFMCA!B66,BOFACA!B66,BNPACA!B66,BNDCCA!B66,BLCMCA!B66,BCANCA!B66,ATBRCA!B66,CCDQCA!B66,CIBCCA!B66,NOSCCA!B66,TDOMCA!B66,ROYCCA!B66)</f>
        <v>0</v>
      </c>
      <c r="C64" s="9">
        <f>SUM(SBOSCA!C66,MCBTCA!C66,ICICCA!C66,HKBCCA!C66,CUCXCA!C66,BOFMCA!C66,BOFACA!C66,BNPACA!C66,BNDCCA!C66,BLCMCA!C66,BCANCA!C66,ATBRCA!C66,CCDQCA!C66,CIBCCA!C66,NOSCCA!C66,TDOMCA!C66,ROYCCA!C66)</f>
        <v>4470.223</v>
      </c>
      <c r="D64" s="6">
        <f>SUM(SBOSCA!D66,MCBTCA!D66,ICICCA!D66,HKBCCA!D66,CUCXCA!D66,BOFMCA!D66,BOFACA!D66,BNPACA!D66,BNDCCA!D66,BLCMCA!D66,BCANCA!D66,ATBRCA!D66,CCDQCA!D66,CIBCCA!D66,NOSCCA!D66,TDOMCA!D66,ROYCCA!D66)</f>
        <v>0</v>
      </c>
      <c r="E64" s="6">
        <f>SUM(SBOSCA!E66,MCBTCA!E66,ICICCA!E66,HKBCCA!E66,CUCXCA!E66,BOFMCA!E66,BOFACA!E66,BNPACA!E66,BNDCCA!E66,BLCMCA!E66,BCANCA!E66,ATBRCA!E66,CCDQCA!E66,CIBCCA!E66,NOSCCA!E66,TDOMCA!E66,ROYCCA!E66)</f>
        <v>0</v>
      </c>
      <c r="F64" s="9">
        <f>SUM(SBOSCA!F66,MCBTCA!F66,ICICCA!F66,HKBCCA!F66,CUCXCA!F66,BOFMCA!F66,BOFACA!F66,BNPACA!F66,BNDCCA!F66,BLCMCA!F66,BCANCA!F66,ATBRCA!F66,CCDQCA!F66,CIBCCA!F66,NOSCCA!F66,TDOMCA!F66,ROYCCA!F66)</f>
        <v>61452.785000000003</v>
      </c>
      <c r="G64" s="6">
        <f>SUM(SBOSCA!G66,MCBTCA!G66,ICICCA!G66,HKBCCA!G66,CUCXCA!G66,BOFMCA!G66,BOFACA!G66,BNPACA!G66,BNDCCA!G66,BLCMCA!G66,BCANCA!G66,ATBRCA!G66,CCDQCA!G66,CIBCCA!G66,NOSCCA!G66,TDOMCA!G66,ROYCCA!G66)</f>
        <v>0</v>
      </c>
      <c r="K64" s="7" t="str">
        <f>SBOSCA!K66</f>
        <v>2027Q3</v>
      </c>
      <c r="L64" s="6">
        <f>SUM(SBOSCA!L66,MCBTCA!L66,ICICCA!L66,HKBCCA!L66,CUCXCA!L66,BOFMCA!L66,BOFACA!L66,BNPACA!L66,BNDCCA!L66,BLCMCA!L66,BCANCA!L66,ATBRCA!L66,CCDQCA!L66,CIBCCA!L66,NOSCCA!L66,TDOMCA!L66,ROYCCA!L66)</f>
        <v>0</v>
      </c>
      <c r="M64" s="9">
        <f>SUM(SBOSCA!M66,MCBTCA!M66,ICICCA!M66,HKBCCA!M66,CUCXCA!M66,BOFMCA!M66,BOFACA!M66,BNPACA!M66,BNDCCA!M66,BLCMCA!M66,BCANCA!M66,ATBRCA!M66,CCDQCA!M66,CIBCCA!M66,NOSCCA!M66,TDOMCA!M66,ROYCCA!M66)</f>
        <v>4302.0820000000003</v>
      </c>
      <c r="N64" s="6">
        <f>SUM(SBOSCA!N66,MCBTCA!N66,ICICCA!N66,HKBCCA!N66,CUCXCA!N66,BOFMCA!N66,BOFACA!N66,BNPACA!N66,BNDCCA!N66,BLCMCA!N66,BCANCA!N66,ATBRCA!N66,CCDQCA!N66,CIBCCA!N66,NOSCCA!N66,TDOMCA!N66,ROYCCA!N66)</f>
        <v>0</v>
      </c>
      <c r="O64" s="6">
        <f>SUM(SBOSCA!O66,MCBTCA!O66,ICICCA!O66,HKBCCA!O66,CUCXCA!O66,BOFMCA!O66,BOFACA!O66,BNPACA!O66,BNDCCA!O66,BLCMCA!O66,BCANCA!O66,ATBRCA!O66,CCDQCA!O66,CIBCCA!O66,NOSCCA!O66,TDOMCA!O66,ROYCCA!O66)</f>
        <v>0</v>
      </c>
      <c r="P64" s="9">
        <f>SUM(SBOSCA!P66,MCBTCA!P66,ICICCA!P66,HKBCCA!P66,CUCXCA!P66,BOFMCA!P66,BOFACA!P66,BNPACA!P66,BNDCCA!P66,BLCMCA!P66,BCANCA!P66,ATBRCA!P66,CCDQCA!P66,CIBCCA!P66,NOSCCA!P66,TDOMCA!P66,ROYCCA!P66)</f>
        <v>50690.304000000004</v>
      </c>
      <c r="Q64" s="6">
        <f>SUM(SBOSCA!Q66,MCBTCA!Q66,ICICCA!Q66,HKBCCA!Q66,CUCXCA!Q66,BOFMCA!Q66,BOFACA!Q66,BNPACA!Q66,BNDCCA!Q66,BLCMCA!Q66,BCANCA!Q66,ATBRCA!Q66,CCDQCA!Q66,CIBCCA!Q66,NOSCCA!Q66,TDOMCA!Q66,ROYCCA!Q66)</f>
        <v>0</v>
      </c>
    </row>
    <row r="65" spans="1:17" ht="15.5" thickTop="1" thickBot="1" x14ac:dyDescent="0.4">
      <c r="A65" s="7" t="str">
        <f>SBOSCA!A67</f>
        <v>2027Q4</v>
      </c>
      <c r="B65" s="6">
        <f>SUM(SBOSCA!B67,MCBTCA!B67,ICICCA!B67,HKBCCA!B67,CUCXCA!B67,BOFMCA!B67,BOFACA!B67,BNPACA!B67,BNDCCA!B67,BLCMCA!B67,BCANCA!B67,ATBRCA!B67,CCDQCA!B67,CIBCCA!B67,NOSCCA!B67,TDOMCA!B67,ROYCCA!B67)</f>
        <v>0</v>
      </c>
      <c r="C65" s="9">
        <f>SUM(SBOSCA!C67,MCBTCA!C67,ICICCA!C67,HKBCCA!C67,CUCXCA!C67,BOFMCA!C67,BOFACA!C67,BNPACA!C67,BNDCCA!C67,BLCMCA!C67,BCANCA!C67,ATBRCA!C67,CCDQCA!C67,CIBCCA!C67,NOSCCA!C67,TDOMCA!C67,ROYCCA!C67)</f>
        <v>4490.692</v>
      </c>
      <c r="D65" s="6">
        <f>SUM(SBOSCA!D67,MCBTCA!D67,ICICCA!D67,HKBCCA!D67,CUCXCA!D67,BOFMCA!D67,BOFACA!D67,BNPACA!D67,BNDCCA!D67,BLCMCA!D67,BCANCA!D67,ATBRCA!D67,CCDQCA!D67,CIBCCA!D67,NOSCCA!D67,TDOMCA!D67,ROYCCA!D67)</f>
        <v>0</v>
      </c>
      <c r="E65" s="6">
        <f>SUM(SBOSCA!E67,MCBTCA!E67,ICICCA!E67,HKBCCA!E67,CUCXCA!E67,BOFMCA!E67,BOFACA!E67,BNPACA!E67,BNDCCA!E67,BLCMCA!E67,BCANCA!E67,ATBRCA!E67,CCDQCA!E67,CIBCCA!E67,NOSCCA!E67,TDOMCA!E67,ROYCCA!E67)</f>
        <v>0</v>
      </c>
      <c r="F65" s="9">
        <f>SUM(SBOSCA!F67,MCBTCA!F67,ICICCA!F67,HKBCCA!F67,CUCXCA!F67,BOFMCA!F67,BOFACA!F67,BNPACA!F67,BNDCCA!F67,BLCMCA!F67,BCANCA!F67,ATBRCA!F67,CCDQCA!F67,CIBCCA!F67,NOSCCA!F67,TDOMCA!F67,ROYCCA!F67)</f>
        <v>61818.184999999998</v>
      </c>
      <c r="G65" s="6">
        <f>SUM(SBOSCA!G67,MCBTCA!G67,ICICCA!G67,HKBCCA!G67,CUCXCA!G67,BOFMCA!G67,BOFACA!G67,BNPACA!G67,BNDCCA!G67,BLCMCA!G67,BCANCA!G67,ATBRCA!G67,CCDQCA!G67,CIBCCA!G67,NOSCCA!G67,TDOMCA!G67,ROYCCA!G67)</f>
        <v>0</v>
      </c>
      <c r="K65" s="7" t="str">
        <f>SBOSCA!K67</f>
        <v>2027Q4</v>
      </c>
      <c r="L65" s="6">
        <f>SUM(SBOSCA!L67,MCBTCA!L67,ICICCA!L67,HKBCCA!L67,CUCXCA!L67,BOFMCA!L67,BOFACA!L67,BNPACA!L67,BNDCCA!L67,BLCMCA!L67,BCANCA!L67,ATBRCA!L67,CCDQCA!L67,CIBCCA!L67,NOSCCA!L67,TDOMCA!L67,ROYCCA!L67)</f>
        <v>0</v>
      </c>
      <c r="M65" s="9">
        <f>SUM(SBOSCA!M67,MCBTCA!M67,ICICCA!M67,HKBCCA!M67,CUCXCA!M67,BOFMCA!M67,BOFACA!M67,BNPACA!M67,BNDCCA!M67,BLCMCA!M67,BCANCA!M67,ATBRCA!M67,CCDQCA!M67,CIBCCA!M67,NOSCCA!M67,TDOMCA!M67,ROYCCA!M67)</f>
        <v>4321.951</v>
      </c>
      <c r="N65" s="6">
        <f>SUM(SBOSCA!N67,MCBTCA!N67,ICICCA!N67,HKBCCA!N67,CUCXCA!N67,BOFMCA!N67,BOFACA!N67,BNPACA!N67,BNDCCA!N67,BLCMCA!N67,BCANCA!N67,ATBRCA!N67,CCDQCA!N67,CIBCCA!N67,NOSCCA!N67,TDOMCA!N67,ROYCCA!N67)</f>
        <v>0</v>
      </c>
      <c r="O65" s="6">
        <f>SUM(SBOSCA!O67,MCBTCA!O67,ICICCA!O67,HKBCCA!O67,CUCXCA!O67,BOFMCA!O67,BOFACA!O67,BNPACA!O67,BNDCCA!O67,BLCMCA!O67,BCANCA!O67,ATBRCA!O67,CCDQCA!O67,CIBCCA!O67,NOSCCA!O67,TDOMCA!O67,ROYCCA!O67)</f>
        <v>0</v>
      </c>
      <c r="P65" s="9">
        <f>SUM(SBOSCA!P67,MCBTCA!P67,ICICCA!P67,HKBCCA!P67,CUCXCA!P67,BOFMCA!P67,BOFACA!P67,BNPACA!P67,BNDCCA!P67,BLCMCA!P67,BCANCA!P67,ATBRCA!P67,CCDQCA!P67,CIBCCA!P67,NOSCCA!P67,TDOMCA!P67,ROYCCA!P67)</f>
        <v>50820.809000000008</v>
      </c>
      <c r="Q65" s="6">
        <f>SUM(SBOSCA!Q67,MCBTCA!Q67,ICICCA!Q67,HKBCCA!Q67,CUCXCA!Q67,BOFMCA!Q67,BOFACA!Q67,BNPACA!Q67,BNDCCA!Q67,BLCMCA!Q67,BCANCA!Q67,ATBRCA!Q67,CCDQCA!Q67,CIBCCA!Q67,NOSCCA!Q67,TDOMCA!Q67,ROYCCA!Q67)</f>
        <v>0</v>
      </c>
    </row>
    <row r="66" spans="1:17" ht="15.5" thickTop="1" thickBot="1" x14ac:dyDescent="0.4">
      <c r="A66" s="7" t="str">
        <f>SBOSCA!A68</f>
        <v>2028Q1</v>
      </c>
      <c r="B66" s="6">
        <f>SUM(SBOSCA!B68,MCBTCA!B68,ICICCA!B68,HKBCCA!B68,CUCXCA!B68,BOFMCA!B68,BOFACA!B68,BNPACA!B68,BNDCCA!B68,BLCMCA!B68,BCANCA!B68,ATBRCA!B68,CCDQCA!B68,CIBCCA!B68,NOSCCA!B68,TDOMCA!B68,ROYCCA!B68)</f>
        <v>0</v>
      </c>
      <c r="C66" s="9">
        <f>SUM(SBOSCA!C68,MCBTCA!C68,ICICCA!C68,HKBCCA!C68,CUCXCA!C68,BOFMCA!C68,BOFACA!C68,BNPACA!C68,BNDCCA!C68,BLCMCA!C68,BCANCA!C68,ATBRCA!C68,CCDQCA!C68,CIBCCA!C68,NOSCCA!C68,TDOMCA!C68,ROYCCA!C68)</f>
        <v>4253.5309999999999</v>
      </c>
      <c r="D66" s="6">
        <f>SUM(SBOSCA!D68,MCBTCA!D68,ICICCA!D68,HKBCCA!D68,CUCXCA!D68,BOFMCA!D68,BOFACA!D68,BNPACA!D68,BNDCCA!D68,BLCMCA!D68,BCANCA!D68,ATBRCA!D68,CCDQCA!D68,CIBCCA!D68,NOSCCA!D68,TDOMCA!D68,ROYCCA!D68)</f>
        <v>0</v>
      </c>
      <c r="E66" s="6">
        <f>SUM(SBOSCA!E68,MCBTCA!E68,ICICCA!E68,HKBCCA!E68,CUCXCA!E68,BOFMCA!E68,BOFACA!E68,BNPACA!E68,BNDCCA!E68,BLCMCA!E68,BCANCA!E68,ATBRCA!E68,CCDQCA!E68,CIBCCA!E68,NOSCCA!E68,TDOMCA!E68,ROYCCA!E68)</f>
        <v>0</v>
      </c>
      <c r="F66" s="9">
        <f>SUM(SBOSCA!F68,MCBTCA!F68,ICICCA!F68,HKBCCA!F68,CUCXCA!F68,BOFMCA!F68,BOFACA!F68,BNPACA!F68,BNDCCA!F68,BLCMCA!F68,BCANCA!F68,ATBRCA!F68,CCDQCA!F68,CIBCCA!F68,NOSCCA!F68,TDOMCA!F68,ROYCCA!F68)</f>
        <v>62205.468999999997</v>
      </c>
      <c r="G66" s="6">
        <f>SUM(SBOSCA!G68,MCBTCA!G68,ICICCA!G68,HKBCCA!G68,CUCXCA!G68,BOFMCA!G68,BOFACA!G68,BNPACA!G68,BNDCCA!G68,BLCMCA!G68,BCANCA!G68,ATBRCA!G68,CCDQCA!G68,CIBCCA!G68,NOSCCA!G68,TDOMCA!G68,ROYCCA!G68)</f>
        <v>0</v>
      </c>
      <c r="K66" s="7" t="str">
        <f>SBOSCA!K68</f>
        <v>2028Q1</v>
      </c>
      <c r="L66" s="6">
        <f>SUM(SBOSCA!L68,MCBTCA!L68,ICICCA!L68,HKBCCA!L68,CUCXCA!L68,BOFMCA!L68,BOFACA!L68,BNPACA!L68,BNDCCA!L68,BLCMCA!L68,BCANCA!L68,ATBRCA!L68,CCDQCA!L68,CIBCCA!L68,NOSCCA!L68,TDOMCA!L68,ROYCCA!L68)</f>
        <v>0</v>
      </c>
      <c r="M66" s="9">
        <f>SUM(SBOSCA!M68,MCBTCA!M68,ICICCA!M68,HKBCCA!M68,CUCXCA!M68,BOFMCA!M68,BOFACA!M68,BNPACA!M68,BNDCCA!M68,BLCMCA!M68,BCANCA!M68,ATBRCA!M68,CCDQCA!M68,CIBCCA!M68,NOSCCA!M68,TDOMCA!M68,ROYCCA!M68)</f>
        <v>4084.2419999999997</v>
      </c>
      <c r="N66" s="6">
        <f>SUM(SBOSCA!N68,MCBTCA!N68,ICICCA!N68,HKBCCA!N68,CUCXCA!N68,BOFMCA!N68,BOFACA!N68,BNPACA!N68,BNDCCA!N68,BLCMCA!N68,BCANCA!N68,ATBRCA!N68,CCDQCA!N68,CIBCCA!N68,NOSCCA!N68,TDOMCA!N68,ROYCCA!N68)</f>
        <v>0</v>
      </c>
      <c r="O66" s="6">
        <f>SUM(SBOSCA!O68,MCBTCA!O68,ICICCA!O68,HKBCCA!O68,CUCXCA!O68,BOFMCA!O68,BOFACA!O68,BNPACA!O68,BNDCCA!O68,BLCMCA!O68,BCANCA!O68,ATBRCA!O68,CCDQCA!O68,CIBCCA!O68,NOSCCA!O68,TDOMCA!O68,ROYCCA!O68)</f>
        <v>0</v>
      </c>
      <c r="P66" s="9">
        <f>SUM(SBOSCA!P68,MCBTCA!P68,ICICCA!P68,HKBCCA!P68,CUCXCA!P68,BOFMCA!P68,BOFACA!P68,BNPACA!P68,BNDCCA!P68,BLCMCA!P68,BCANCA!P68,ATBRCA!P68,CCDQCA!P68,CIBCCA!P68,NOSCCA!P68,TDOMCA!P68,ROYCCA!P68)</f>
        <v>50978.165000000008</v>
      </c>
      <c r="Q66" s="6">
        <f>SUM(SBOSCA!Q68,MCBTCA!Q68,ICICCA!Q68,HKBCCA!Q68,CUCXCA!Q68,BOFMCA!Q68,BOFACA!Q68,BNPACA!Q68,BNDCCA!Q68,BLCMCA!Q68,BCANCA!Q68,ATBRCA!Q68,CCDQCA!Q68,CIBCCA!Q68,NOSCCA!Q68,TDOMCA!Q68,ROYCCA!Q68)</f>
        <v>0</v>
      </c>
    </row>
    <row r="67" spans="1:17" ht="15.5" thickTop="1" thickBot="1" x14ac:dyDescent="0.4">
      <c r="A67" s="7" t="str">
        <f>SBOSCA!A69</f>
        <v>2028Q2</v>
      </c>
      <c r="B67" s="6">
        <f>SUM(SBOSCA!B69,MCBTCA!B69,ICICCA!B69,HKBCCA!B69,CUCXCA!B69,BOFMCA!B69,BOFACA!B69,BNPACA!B69,BNDCCA!B69,BLCMCA!B69,BCANCA!B69,ATBRCA!B69,CCDQCA!B69,CIBCCA!B69,NOSCCA!B69,TDOMCA!B69,ROYCCA!B69)</f>
        <v>0</v>
      </c>
      <c r="C67" s="9">
        <f>SUM(SBOSCA!C69,MCBTCA!C69,ICICCA!C69,HKBCCA!C69,CUCXCA!C69,BOFMCA!C69,BOFACA!C69,BNPACA!C69,BNDCCA!C69,BLCMCA!C69,BCANCA!C69,ATBRCA!C69,CCDQCA!C69,CIBCCA!C69,NOSCCA!C69,TDOMCA!C69,ROYCCA!C69)</f>
        <v>4537.1289999999999</v>
      </c>
      <c r="D67" s="6">
        <f>SUM(SBOSCA!D69,MCBTCA!D69,ICICCA!D69,HKBCCA!D69,CUCXCA!D69,BOFMCA!D69,BOFACA!D69,BNPACA!D69,BNDCCA!D69,BLCMCA!D69,BCANCA!D69,ATBRCA!D69,CCDQCA!D69,CIBCCA!D69,NOSCCA!D69,TDOMCA!D69,ROYCCA!D69)</f>
        <v>0</v>
      </c>
      <c r="E67" s="6">
        <f>SUM(SBOSCA!E69,MCBTCA!E69,ICICCA!E69,HKBCCA!E69,CUCXCA!E69,BOFMCA!E69,BOFACA!E69,BNPACA!E69,BNDCCA!E69,BLCMCA!E69,BCANCA!E69,ATBRCA!E69,CCDQCA!E69,CIBCCA!E69,NOSCCA!E69,TDOMCA!E69,ROYCCA!E69)</f>
        <v>0</v>
      </c>
      <c r="F67" s="9">
        <f>SUM(SBOSCA!F69,MCBTCA!F69,ICICCA!F69,HKBCCA!F69,CUCXCA!F69,BOFMCA!F69,BOFACA!F69,BNPACA!F69,BNDCCA!F69,BLCMCA!F69,BCANCA!F69,ATBRCA!F69,CCDQCA!F69,CIBCCA!F69,NOSCCA!F69,TDOMCA!F69,ROYCCA!F69)</f>
        <v>63174.081000000006</v>
      </c>
      <c r="G67" s="6">
        <f>SUM(SBOSCA!G69,MCBTCA!G69,ICICCA!G69,HKBCCA!G69,CUCXCA!G69,BOFMCA!G69,BOFACA!G69,BNPACA!G69,BNDCCA!G69,BLCMCA!G69,BCANCA!G69,ATBRCA!G69,CCDQCA!G69,CIBCCA!G69,NOSCCA!G69,TDOMCA!G69,ROYCCA!G69)</f>
        <v>0</v>
      </c>
      <c r="K67" s="7" t="str">
        <f>SBOSCA!K69</f>
        <v>2028Q2</v>
      </c>
      <c r="L67" s="6">
        <f>SUM(SBOSCA!L69,MCBTCA!L69,ICICCA!L69,HKBCCA!L69,CUCXCA!L69,BOFMCA!L69,BOFACA!L69,BNPACA!L69,BNDCCA!L69,BLCMCA!L69,BCANCA!L69,ATBRCA!L69,CCDQCA!L69,CIBCCA!L69,NOSCCA!L69,TDOMCA!L69,ROYCCA!L69)</f>
        <v>0</v>
      </c>
      <c r="M67" s="9">
        <f>SUM(SBOSCA!M69,MCBTCA!M69,ICICCA!M69,HKBCCA!M69,CUCXCA!M69,BOFMCA!M69,BOFACA!M69,BNPACA!M69,BNDCCA!M69,BLCMCA!M69,BCANCA!M69,ATBRCA!M69,CCDQCA!M69,CIBCCA!M69,NOSCCA!M69,TDOMCA!M69,ROYCCA!M69)</f>
        <v>4367.3310000000001</v>
      </c>
      <c r="N67" s="6">
        <f>SUM(SBOSCA!N69,MCBTCA!N69,ICICCA!N69,HKBCCA!N69,CUCXCA!N69,BOFMCA!N69,BOFACA!N69,BNPACA!N69,BNDCCA!N69,BLCMCA!N69,BCANCA!N69,ATBRCA!N69,CCDQCA!N69,CIBCCA!N69,NOSCCA!N69,TDOMCA!N69,ROYCCA!N69)</f>
        <v>0</v>
      </c>
      <c r="O67" s="6">
        <f>SUM(SBOSCA!O69,MCBTCA!O69,ICICCA!O69,HKBCCA!O69,CUCXCA!O69,BOFMCA!O69,BOFACA!O69,BNPACA!O69,BNDCCA!O69,BLCMCA!O69,BCANCA!O69,ATBRCA!O69,CCDQCA!O69,CIBCCA!O69,NOSCCA!O69,TDOMCA!O69,ROYCCA!O69)</f>
        <v>0</v>
      </c>
      <c r="P67" s="9">
        <f>SUM(SBOSCA!P69,MCBTCA!P69,ICICCA!P69,HKBCCA!P69,CUCXCA!P69,BOFMCA!P69,BOFACA!P69,BNPACA!P69,BNDCCA!P69,BLCMCA!P69,BCANCA!P69,ATBRCA!P69,CCDQCA!P69,CIBCCA!P69,NOSCCA!P69,TDOMCA!P69,ROYCCA!P69)</f>
        <v>51721.441999999995</v>
      </c>
      <c r="Q67" s="6">
        <f>SUM(SBOSCA!Q69,MCBTCA!Q69,ICICCA!Q69,HKBCCA!Q69,CUCXCA!Q69,BOFMCA!Q69,BOFACA!Q69,BNPACA!Q69,BNDCCA!Q69,BLCMCA!Q69,BCANCA!Q69,ATBRCA!Q69,CCDQCA!Q69,CIBCCA!Q69,NOSCCA!Q69,TDOMCA!Q69,ROYCCA!Q69)</f>
        <v>0</v>
      </c>
    </row>
    <row r="68" spans="1:17" ht="15.5" thickTop="1" thickBot="1" x14ac:dyDescent="0.4">
      <c r="A68" s="7" t="str">
        <f>SBOSCA!A70</f>
        <v>2028Q3</v>
      </c>
      <c r="B68" s="6">
        <f>SUM(SBOSCA!B70,MCBTCA!B70,ICICCA!B70,HKBCCA!B70,CUCXCA!B70,BOFMCA!B70,BOFACA!B70,BNPACA!B70,BNDCCA!B70,BLCMCA!B70,BCANCA!B70,ATBRCA!B70,CCDQCA!B70,CIBCCA!B70,NOSCCA!B70,TDOMCA!B70,ROYCCA!B70)</f>
        <v>0</v>
      </c>
      <c r="C68" s="9">
        <f>SUM(SBOSCA!C70,MCBTCA!C70,ICICCA!C70,HKBCCA!C70,CUCXCA!C70,BOFMCA!C70,BOFACA!C70,BNPACA!C70,BNDCCA!C70,BLCMCA!C70,BCANCA!C70,ATBRCA!C70,CCDQCA!C70,CIBCCA!C70,NOSCCA!C70,TDOMCA!C70,ROYCCA!C70)</f>
        <v>4540.2570000000005</v>
      </c>
      <c r="D68" s="6">
        <f>SUM(SBOSCA!D70,MCBTCA!D70,ICICCA!D70,HKBCCA!D70,CUCXCA!D70,BOFMCA!D70,BOFACA!D70,BNPACA!D70,BNDCCA!D70,BLCMCA!D70,BCANCA!D70,ATBRCA!D70,CCDQCA!D70,CIBCCA!D70,NOSCCA!D70,TDOMCA!D70,ROYCCA!D70)</f>
        <v>0</v>
      </c>
      <c r="E68" s="6">
        <f>SUM(SBOSCA!E70,MCBTCA!E70,ICICCA!E70,HKBCCA!E70,CUCXCA!E70,BOFMCA!E70,BOFACA!E70,BNPACA!E70,BNDCCA!E70,BLCMCA!E70,BCANCA!E70,ATBRCA!E70,CCDQCA!E70,CIBCCA!E70,NOSCCA!E70,TDOMCA!E70,ROYCCA!E70)</f>
        <v>0</v>
      </c>
      <c r="F68" s="9">
        <f>SUM(SBOSCA!F70,MCBTCA!F70,ICICCA!F70,HKBCCA!F70,CUCXCA!F70,BOFMCA!F70,BOFACA!F70,BNPACA!F70,BNDCCA!F70,BLCMCA!F70,BCANCA!F70,ATBRCA!F70,CCDQCA!F70,CIBCCA!F70,NOSCCA!F70,TDOMCA!F70,ROYCCA!F70)</f>
        <v>62796.618000000002</v>
      </c>
      <c r="G68" s="6">
        <f>SUM(SBOSCA!G70,MCBTCA!G70,ICICCA!G70,HKBCCA!G70,CUCXCA!G70,BOFMCA!G70,BOFACA!G70,BNPACA!G70,BNDCCA!G70,BLCMCA!G70,BCANCA!G70,ATBRCA!G70,CCDQCA!G70,CIBCCA!G70,NOSCCA!G70,TDOMCA!G70,ROYCCA!G70)</f>
        <v>0</v>
      </c>
      <c r="K68" s="7" t="str">
        <f>SBOSCA!K70</f>
        <v>2028Q3</v>
      </c>
      <c r="L68" s="6">
        <f>SUM(SBOSCA!L70,MCBTCA!L70,ICICCA!L70,HKBCCA!L70,CUCXCA!L70,BOFMCA!L70,BOFACA!L70,BNPACA!L70,BNDCCA!L70,BLCMCA!L70,BCANCA!L70,ATBRCA!L70,CCDQCA!L70,CIBCCA!L70,NOSCCA!L70,TDOMCA!L70,ROYCCA!L70)</f>
        <v>0</v>
      </c>
      <c r="M68" s="9">
        <f>SUM(SBOSCA!M70,MCBTCA!M70,ICICCA!M70,HKBCCA!M70,CUCXCA!M70,BOFMCA!M70,BOFACA!M70,BNPACA!M70,BNDCCA!M70,BLCMCA!M70,BCANCA!M70,ATBRCA!M70,CCDQCA!M70,CIBCCA!M70,NOSCCA!M70,TDOMCA!M70,ROYCCA!M70)</f>
        <v>4369.9870000000001</v>
      </c>
      <c r="N68" s="6">
        <f>SUM(SBOSCA!N70,MCBTCA!N70,ICICCA!N70,HKBCCA!N70,CUCXCA!N70,BOFMCA!N70,BOFACA!N70,BNPACA!N70,BNDCCA!N70,BLCMCA!N70,BCANCA!N70,ATBRCA!N70,CCDQCA!N70,CIBCCA!N70,NOSCCA!N70,TDOMCA!N70,ROYCCA!N70)</f>
        <v>0</v>
      </c>
      <c r="O68" s="6">
        <f>SUM(SBOSCA!O70,MCBTCA!O70,ICICCA!O70,HKBCCA!O70,CUCXCA!O70,BOFMCA!O70,BOFACA!O70,BNPACA!O70,BNDCCA!O70,BLCMCA!O70,BCANCA!O70,ATBRCA!O70,CCDQCA!O70,CIBCCA!O70,NOSCCA!O70,TDOMCA!O70,ROYCCA!O70)</f>
        <v>0</v>
      </c>
      <c r="P68" s="9">
        <f>SUM(SBOSCA!P70,MCBTCA!P70,ICICCA!P70,HKBCCA!P70,CUCXCA!P70,BOFMCA!P70,BOFACA!P70,BNPACA!P70,BNDCCA!P70,BLCMCA!P70,BCANCA!P70,ATBRCA!P70,CCDQCA!P70,CIBCCA!P70,NOSCCA!P70,TDOMCA!P70,ROYCCA!P70)</f>
        <v>51123.030999999995</v>
      </c>
      <c r="Q68" s="6">
        <f>SUM(SBOSCA!Q70,MCBTCA!Q70,ICICCA!Q70,HKBCCA!Q70,CUCXCA!Q70,BOFMCA!Q70,BOFACA!Q70,BNPACA!Q70,BNDCCA!Q70,BLCMCA!Q70,BCANCA!Q70,ATBRCA!Q70,CCDQCA!Q70,CIBCCA!Q70,NOSCCA!Q70,TDOMCA!Q70,ROYCCA!Q70)</f>
        <v>0</v>
      </c>
    </row>
    <row r="69" spans="1:17" ht="15.5" thickTop="1" thickBot="1" x14ac:dyDescent="0.4">
      <c r="A69" s="7" t="str">
        <f>SBOSCA!A71</f>
        <v>2028Q4</v>
      </c>
      <c r="B69" s="6">
        <f>SUM(SBOSCA!B71,MCBTCA!B71,ICICCA!B71,HKBCCA!B71,CUCXCA!B71,BOFMCA!B71,BOFACA!B71,BNPACA!B71,BNDCCA!B71,BLCMCA!B71,BCANCA!B71,ATBRCA!B71,CCDQCA!B71,CIBCCA!B71,NOSCCA!B71,TDOMCA!B71,ROYCCA!B71)</f>
        <v>0</v>
      </c>
      <c r="C69" s="9">
        <f>SUM(SBOSCA!C71,MCBTCA!C71,ICICCA!C71,HKBCCA!C71,CUCXCA!C71,BOFMCA!C71,BOFACA!C71,BNPACA!C71,BNDCCA!C71,BLCMCA!C71,BCANCA!C71,ATBRCA!C71,CCDQCA!C71,CIBCCA!C71,NOSCCA!C71,TDOMCA!C71,ROYCCA!C71)</f>
        <v>4561.9470000000001</v>
      </c>
      <c r="D69" s="6">
        <f>SUM(SBOSCA!D71,MCBTCA!D71,ICICCA!D71,HKBCCA!D71,CUCXCA!D71,BOFMCA!D71,BOFACA!D71,BNPACA!D71,BNDCCA!D71,BLCMCA!D71,BCANCA!D71,ATBRCA!D71,CCDQCA!D71,CIBCCA!D71,NOSCCA!D71,TDOMCA!D71,ROYCCA!D71)</f>
        <v>0</v>
      </c>
      <c r="E69" s="6">
        <f>SUM(SBOSCA!E71,MCBTCA!E71,ICICCA!E71,HKBCCA!E71,CUCXCA!E71,BOFMCA!E71,BOFACA!E71,BNPACA!E71,BNDCCA!E71,BLCMCA!E71,BCANCA!E71,ATBRCA!E71,CCDQCA!E71,CIBCCA!E71,NOSCCA!E71,TDOMCA!E71,ROYCCA!E71)</f>
        <v>0</v>
      </c>
      <c r="F69" s="9">
        <f>SUM(SBOSCA!F71,MCBTCA!F71,ICICCA!F71,HKBCCA!F71,CUCXCA!F71,BOFMCA!F71,BOFACA!F71,BNPACA!F71,BNDCCA!F71,BLCMCA!F71,BCANCA!F71,ATBRCA!F71,CCDQCA!F71,CIBCCA!F71,NOSCCA!F71,TDOMCA!F71,ROYCCA!F71)</f>
        <v>63179.918000000005</v>
      </c>
      <c r="G69" s="6">
        <f>SUM(SBOSCA!G71,MCBTCA!G71,ICICCA!G71,HKBCCA!G71,CUCXCA!G71,BOFMCA!G71,BOFACA!G71,BNPACA!G71,BNDCCA!G71,BLCMCA!G71,BCANCA!G71,ATBRCA!G71,CCDQCA!G71,CIBCCA!G71,NOSCCA!G71,TDOMCA!G71,ROYCCA!G71)</f>
        <v>0</v>
      </c>
      <c r="K69" s="7" t="str">
        <f>SBOSCA!K71</f>
        <v>2028Q4</v>
      </c>
      <c r="L69" s="6">
        <f>SUM(SBOSCA!L71,MCBTCA!L71,ICICCA!L71,HKBCCA!L71,CUCXCA!L71,BOFMCA!L71,BOFACA!L71,BNPACA!L71,BNDCCA!L71,BLCMCA!L71,BCANCA!L71,ATBRCA!L71,CCDQCA!L71,CIBCCA!L71,NOSCCA!L71,TDOMCA!L71,ROYCCA!L71)</f>
        <v>0</v>
      </c>
      <c r="M69" s="9">
        <f>SUM(SBOSCA!M71,MCBTCA!M71,ICICCA!M71,HKBCCA!M71,CUCXCA!M71,BOFMCA!M71,BOFACA!M71,BNPACA!M71,BNDCCA!M71,BLCMCA!M71,BCANCA!M71,ATBRCA!M71,CCDQCA!M71,CIBCCA!M71,NOSCCA!M71,TDOMCA!M71,ROYCCA!M71)</f>
        <v>4391.2470000000003</v>
      </c>
      <c r="N69" s="6">
        <f>SUM(SBOSCA!N71,MCBTCA!N71,ICICCA!N71,HKBCCA!N71,CUCXCA!N71,BOFMCA!N71,BOFACA!N71,BNPACA!N71,BNDCCA!N71,BLCMCA!N71,BCANCA!N71,ATBRCA!N71,CCDQCA!N71,CIBCCA!N71,NOSCCA!N71,TDOMCA!N71,ROYCCA!N71)</f>
        <v>0</v>
      </c>
      <c r="O69" s="6">
        <f>SUM(SBOSCA!O71,MCBTCA!O71,ICICCA!O71,HKBCCA!O71,CUCXCA!O71,BOFMCA!O71,BOFACA!O71,BNPACA!O71,BNDCCA!O71,BLCMCA!O71,BCANCA!O71,ATBRCA!O71,CCDQCA!O71,CIBCCA!O71,NOSCCA!O71,TDOMCA!O71,ROYCCA!O71)</f>
        <v>0</v>
      </c>
      <c r="P69" s="9">
        <f>SUM(SBOSCA!P71,MCBTCA!P71,ICICCA!P71,HKBCCA!P71,CUCXCA!P71,BOFMCA!P71,BOFACA!P71,BNPACA!P71,BNDCCA!P71,BLCMCA!P71,BCANCA!P71,ATBRCA!P71,CCDQCA!P71,CIBCCA!P71,NOSCCA!P71,TDOMCA!P71,ROYCCA!P71)</f>
        <v>51289.47</v>
      </c>
      <c r="Q69" s="6">
        <f>SUM(SBOSCA!Q71,MCBTCA!Q71,ICICCA!Q71,HKBCCA!Q71,CUCXCA!Q71,BOFMCA!Q71,BOFACA!Q71,BNPACA!Q71,BNDCCA!Q71,BLCMCA!Q71,BCANCA!Q71,ATBRCA!Q71,CCDQCA!Q71,CIBCCA!Q71,NOSCCA!Q71,TDOMCA!Q71,ROYCCA!Q71)</f>
        <v>0</v>
      </c>
    </row>
    <row r="70" spans="1:17" ht="15.5" thickTop="1" thickBot="1" x14ac:dyDescent="0.4">
      <c r="A70" s="7" t="str">
        <f>SBOSCA!A72</f>
        <v>2029Q1</v>
      </c>
      <c r="B70" s="6">
        <f>SUM(SBOSCA!B72,MCBTCA!B72,ICICCA!B72,HKBCCA!B72,CUCXCA!B72,BOFMCA!B72,BOFACA!B72,BNPACA!B72,BNDCCA!B72,BLCMCA!B72,BCANCA!B72,ATBRCA!B72,CCDQCA!B72,CIBCCA!B72,NOSCCA!B72,TDOMCA!B72,ROYCCA!B72)</f>
        <v>0</v>
      </c>
      <c r="C70" s="9">
        <f>SUM(SBOSCA!C72,MCBTCA!C72,ICICCA!C72,HKBCCA!C72,CUCXCA!C72,BOFMCA!C72,BOFACA!C72,BNPACA!C72,BNDCCA!C72,BLCMCA!C72,BCANCA!C72,ATBRCA!C72,CCDQCA!C72,CIBCCA!C72,NOSCCA!C72,TDOMCA!C72,ROYCCA!C72)</f>
        <v>4325.8950000000004</v>
      </c>
      <c r="D70" s="6">
        <f>SUM(SBOSCA!D72,MCBTCA!D72,ICICCA!D72,HKBCCA!D72,CUCXCA!D72,BOFMCA!D72,BOFACA!D72,BNPACA!D72,BNDCCA!D72,BLCMCA!D72,BCANCA!D72,ATBRCA!D72,CCDQCA!D72,CIBCCA!D72,NOSCCA!D72,TDOMCA!D72,ROYCCA!D72)</f>
        <v>0</v>
      </c>
      <c r="E70" s="6">
        <f>SUM(SBOSCA!E72,MCBTCA!E72,ICICCA!E72,HKBCCA!E72,CUCXCA!E72,BOFMCA!E72,BOFACA!E72,BNPACA!E72,BNDCCA!E72,BLCMCA!E72,BCANCA!E72,ATBRCA!E72,CCDQCA!E72,CIBCCA!E72,NOSCCA!E72,TDOMCA!E72,ROYCCA!E72)</f>
        <v>0</v>
      </c>
      <c r="F70" s="9">
        <f>SUM(SBOSCA!F72,MCBTCA!F72,ICICCA!F72,HKBCCA!F72,CUCXCA!F72,BOFMCA!F72,BOFACA!F72,BNPACA!F72,BNDCCA!F72,BLCMCA!F72,BCANCA!F72,ATBRCA!F72,CCDQCA!F72,CIBCCA!F72,NOSCCA!F72,TDOMCA!F72,ROYCCA!F72)</f>
        <v>63584.292000000001</v>
      </c>
      <c r="G70" s="6">
        <f>SUM(SBOSCA!G72,MCBTCA!G72,ICICCA!G72,HKBCCA!G72,CUCXCA!G72,BOFMCA!G72,BOFACA!G72,BNPACA!G72,BNDCCA!G72,BLCMCA!G72,BCANCA!G72,ATBRCA!G72,CCDQCA!G72,CIBCCA!G72,NOSCCA!G72,TDOMCA!G72,ROYCCA!G72)</f>
        <v>0</v>
      </c>
      <c r="K70" s="7" t="str">
        <f>SBOSCA!K72</f>
        <v>2029Q1</v>
      </c>
      <c r="L70" s="6">
        <f>SUM(SBOSCA!L72,MCBTCA!L72,ICICCA!L72,HKBCCA!L72,CUCXCA!L72,BOFMCA!L72,BOFACA!L72,BNPACA!L72,BNDCCA!L72,BLCMCA!L72,BCANCA!L72,ATBRCA!L72,CCDQCA!L72,CIBCCA!L72,NOSCCA!L72,TDOMCA!L72,ROYCCA!L72)</f>
        <v>0</v>
      </c>
      <c r="M70" s="9">
        <f>SUM(SBOSCA!M72,MCBTCA!M72,ICICCA!M72,HKBCCA!M72,CUCXCA!M72,BOFMCA!M72,BOFACA!M72,BNPACA!M72,BNDCCA!M72,BLCMCA!M72,BCANCA!M72,ATBRCA!M72,CCDQCA!M72,CIBCCA!M72,NOSCCA!M72,TDOMCA!M72,ROYCCA!M72)</f>
        <v>4154.7920000000004</v>
      </c>
      <c r="N70" s="6">
        <f>SUM(SBOSCA!N72,MCBTCA!N72,ICICCA!N72,HKBCCA!N72,CUCXCA!N72,BOFMCA!N72,BOFACA!N72,BNPACA!N72,BNDCCA!N72,BLCMCA!N72,BCANCA!N72,ATBRCA!N72,CCDQCA!N72,CIBCCA!N72,NOSCCA!N72,TDOMCA!N72,ROYCCA!N72)</f>
        <v>0</v>
      </c>
      <c r="O70" s="6">
        <f>SUM(SBOSCA!O72,MCBTCA!O72,ICICCA!O72,HKBCCA!O72,CUCXCA!O72,BOFMCA!O72,BOFACA!O72,BNPACA!O72,BNDCCA!O72,BLCMCA!O72,BCANCA!O72,ATBRCA!O72,CCDQCA!O72,CIBCCA!O72,NOSCCA!O72,TDOMCA!O72,ROYCCA!O72)</f>
        <v>0</v>
      </c>
      <c r="P70" s="9">
        <f>SUM(SBOSCA!P72,MCBTCA!P72,ICICCA!P72,HKBCCA!P72,CUCXCA!P72,BOFMCA!P72,BOFACA!P72,BNPACA!P72,BNDCCA!P72,BLCMCA!P72,BCANCA!P72,ATBRCA!P72,CCDQCA!P72,CIBCCA!P72,NOSCCA!P72,TDOMCA!P72,ROYCCA!P72)</f>
        <v>51480.899000000005</v>
      </c>
      <c r="Q70" s="6">
        <f>SUM(SBOSCA!Q72,MCBTCA!Q72,ICICCA!Q72,HKBCCA!Q72,CUCXCA!Q72,BOFMCA!Q72,BOFACA!Q72,BNPACA!Q72,BNDCCA!Q72,BLCMCA!Q72,BCANCA!Q72,ATBRCA!Q72,CCDQCA!Q72,CIBCCA!Q72,NOSCCA!Q72,TDOMCA!Q72,ROYCCA!Q72)</f>
        <v>0</v>
      </c>
    </row>
    <row r="71" spans="1:17" ht="15.5" thickTop="1" thickBot="1" x14ac:dyDescent="0.4">
      <c r="A71" s="7" t="str">
        <f>SBOSCA!A73</f>
        <v>2029Q2</v>
      </c>
      <c r="B71" s="6">
        <f>SUM(SBOSCA!B73,MCBTCA!B73,ICICCA!B73,HKBCCA!B73,CUCXCA!B73,BOFMCA!B73,BOFACA!B73,BNPACA!B73,BNDCCA!B73,BLCMCA!B73,BCANCA!B73,ATBRCA!B73,CCDQCA!B73,CIBCCA!B73,NOSCCA!B73,TDOMCA!B73,ROYCCA!B73)</f>
        <v>0</v>
      </c>
      <c r="C71" s="9">
        <f>SUM(SBOSCA!C73,MCBTCA!C73,ICICCA!C73,HKBCCA!C73,CUCXCA!C73,BOFMCA!C73,BOFACA!C73,BNPACA!C73,BNDCCA!C73,BLCMCA!C73,BCANCA!C73,ATBRCA!C73,CCDQCA!C73,CIBCCA!C73,NOSCCA!C73,TDOMCA!C73,ROYCCA!C73)</f>
        <v>4610.4960000000001</v>
      </c>
      <c r="D71" s="6">
        <f>SUM(SBOSCA!D73,MCBTCA!D73,ICICCA!D73,HKBCCA!D73,CUCXCA!D73,BOFMCA!D73,BOFACA!D73,BNPACA!D73,BNDCCA!D73,BLCMCA!D73,BCANCA!D73,ATBRCA!D73,CCDQCA!D73,CIBCCA!D73,NOSCCA!D73,TDOMCA!D73,ROYCCA!D73)</f>
        <v>0</v>
      </c>
      <c r="E71" s="6">
        <f>SUM(SBOSCA!E73,MCBTCA!E73,ICICCA!E73,HKBCCA!E73,CUCXCA!E73,BOFMCA!E73,BOFACA!E73,BNPACA!E73,BNDCCA!E73,BLCMCA!E73,BCANCA!E73,ATBRCA!E73,CCDQCA!E73,CIBCCA!E73,NOSCCA!E73,TDOMCA!E73,ROYCCA!E73)</f>
        <v>0</v>
      </c>
      <c r="F71" s="9">
        <f>SUM(SBOSCA!F73,MCBTCA!F73,ICICCA!F73,HKBCCA!F73,CUCXCA!F73,BOFMCA!F73,BOFACA!F73,BNPACA!F73,BNDCCA!F73,BLCMCA!F73,BCANCA!F73,ATBRCA!F73,CCDQCA!F73,CIBCCA!F73,NOSCCA!F73,TDOMCA!F73,ROYCCA!F73)</f>
        <v>64568.868000000009</v>
      </c>
      <c r="G71" s="6">
        <f>SUM(SBOSCA!G73,MCBTCA!G73,ICICCA!G73,HKBCCA!G73,CUCXCA!G73,BOFMCA!G73,BOFACA!G73,BNPACA!G73,BNDCCA!G73,BLCMCA!G73,BCANCA!G73,ATBRCA!G73,CCDQCA!G73,CIBCCA!G73,NOSCCA!G73,TDOMCA!G73,ROYCCA!G73)</f>
        <v>0</v>
      </c>
      <c r="K71" s="7" t="str">
        <f>SBOSCA!K73</f>
        <v>2029Q2</v>
      </c>
      <c r="L71" s="6">
        <f>SUM(SBOSCA!L73,MCBTCA!L73,ICICCA!L73,HKBCCA!L73,CUCXCA!L73,BOFMCA!L73,BOFACA!L73,BNPACA!L73,BNDCCA!L73,BLCMCA!L73,BCANCA!L73,ATBRCA!L73,CCDQCA!L73,CIBCCA!L73,NOSCCA!L73,TDOMCA!L73,ROYCCA!L73)</f>
        <v>0</v>
      </c>
      <c r="M71" s="9">
        <f>SUM(SBOSCA!M73,MCBTCA!M73,ICICCA!M73,HKBCCA!M73,CUCXCA!M73,BOFMCA!M73,BOFACA!M73,BNPACA!M73,BNDCCA!M73,BLCMCA!M73,BCANCA!M73,ATBRCA!M73,CCDQCA!M73,CIBCCA!M73,NOSCCA!M73,TDOMCA!M73,ROYCCA!M73)</f>
        <v>4439.0219999999999</v>
      </c>
      <c r="N71" s="6">
        <f>SUM(SBOSCA!N73,MCBTCA!N73,ICICCA!N73,HKBCCA!N73,CUCXCA!N73,BOFMCA!N73,BOFACA!N73,BNPACA!N73,BNDCCA!N73,BLCMCA!N73,BCANCA!N73,ATBRCA!N73,CCDQCA!N73,CIBCCA!N73,NOSCCA!N73,TDOMCA!N73,ROYCCA!N73)</f>
        <v>0</v>
      </c>
      <c r="O71" s="6">
        <f>SUM(SBOSCA!O73,MCBTCA!O73,ICICCA!O73,HKBCCA!O73,CUCXCA!O73,BOFMCA!O73,BOFACA!O73,BNPACA!O73,BNDCCA!O73,BLCMCA!O73,BCANCA!O73,ATBRCA!O73,CCDQCA!O73,CIBCCA!O73,NOSCCA!O73,TDOMCA!O73,ROYCCA!O73)</f>
        <v>0</v>
      </c>
      <c r="P71" s="9">
        <f>SUM(SBOSCA!P73,MCBTCA!P73,ICICCA!P73,HKBCCA!P73,CUCXCA!P73,BOFMCA!P73,BOFACA!P73,BNPACA!P73,BNDCCA!P73,BLCMCA!P73,BCANCA!P73,ATBRCA!P73,CCDQCA!P73,CIBCCA!P73,NOSCCA!P73,TDOMCA!P73,ROYCCA!P73)</f>
        <v>52256.198000000004</v>
      </c>
      <c r="Q71" s="6">
        <f>SUM(SBOSCA!Q73,MCBTCA!Q73,ICICCA!Q73,HKBCCA!Q73,CUCXCA!Q73,BOFMCA!Q73,BOFACA!Q73,BNPACA!Q73,BNDCCA!Q73,BLCMCA!Q73,BCANCA!Q73,ATBRCA!Q73,CCDQCA!Q73,CIBCCA!Q73,NOSCCA!Q73,TDOMCA!Q73,ROYCCA!Q73)</f>
        <v>0</v>
      </c>
    </row>
    <row r="72" spans="1:17" ht="15.5" thickTop="1" thickBot="1" x14ac:dyDescent="0.4">
      <c r="A72" s="7" t="str">
        <f>SBOSCA!A74</f>
        <v>2029Q3</v>
      </c>
      <c r="B72" s="6">
        <f>SUM(SBOSCA!B74,MCBTCA!B74,ICICCA!B74,HKBCCA!B74,CUCXCA!B74,BOFMCA!B74,BOFACA!B74,BNPACA!B74,BNDCCA!B74,BLCMCA!B74,BCANCA!B74,ATBRCA!B74,CCDQCA!B74,CIBCCA!B74,NOSCCA!B74,TDOMCA!B74,ROYCCA!B74)</f>
        <v>0</v>
      </c>
      <c r="C72" s="9">
        <f>SUM(SBOSCA!C74,MCBTCA!C74,ICICCA!C74,HKBCCA!C74,CUCXCA!C74,BOFMCA!C74,BOFACA!C74,BNPACA!C74,BNDCCA!C74,BLCMCA!C74,BCANCA!C74,ATBRCA!C74,CCDQCA!C74,CIBCCA!C74,NOSCCA!C74,TDOMCA!C74,ROYCCA!C74)</f>
        <v>4614.5289999999995</v>
      </c>
      <c r="D72" s="6">
        <f>SUM(SBOSCA!D74,MCBTCA!D74,ICICCA!D74,HKBCCA!D74,CUCXCA!D74,BOFMCA!D74,BOFACA!D74,BNPACA!D74,BNDCCA!D74,BLCMCA!D74,BCANCA!D74,ATBRCA!D74,CCDQCA!D74,CIBCCA!D74,NOSCCA!D74,TDOMCA!D74,ROYCCA!D74)</f>
        <v>0</v>
      </c>
      <c r="E72" s="6">
        <f>SUM(SBOSCA!E74,MCBTCA!E74,ICICCA!E74,HKBCCA!E74,CUCXCA!E74,BOFMCA!E74,BOFACA!E74,BNPACA!E74,BNDCCA!E74,BLCMCA!E74,BCANCA!E74,ATBRCA!E74,CCDQCA!E74,CIBCCA!E74,NOSCCA!E74,TDOMCA!E74,ROYCCA!E74)</f>
        <v>0</v>
      </c>
      <c r="F72" s="9">
        <f>SUM(SBOSCA!F74,MCBTCA!F74,ICICCA!F74,HKBCCA!F74,CUCXCA!F74,BOFMCA!F74,BOFACA!F74,BNPACA!F74,BNDCCA!F74,BLCMCA!F74,BCANCA!F74,ATBRCA!F74,CCDQCA!F74,CIBCCA!F74,NOSCCA!F74,TDOMCA!F74,ROYCCA!F74)</f>
        <v>64206.680000000008</v>
      </c>
      <c r="G72" s="6">
        <f>SUM(SBOSCA!G74,MCBTCA!G74,ICICCA!G74,HKBCCA!G74,CUCXCA!G74,BOFMCA!G74,BOFACA!G74,BNPACA!G74,BNDCCA!G74,BLCMCA!G74,BCANCA!G74,ATBRCA!G74,CCDQCA!G74,CIBCCA!G74,NOSCCA!G74,TDOMCA!G74,ROYCCA!G74)</f>
        <v>0</v>
      </c>
      <c r="K72" s="7" t="str">
        <f>SBOSCA!K74</f>
        <v>2029Q3</v>
      </c>
      <c r="L72" s="6">
        <f>SUM(SBOSCA!L74,MCBTCA!L74,ICICCA!L74,HKBCCA!L74,CUCXCA!L74,BOFMCA!L74,BOFACA!L74,BNPACA!L74,BNDCCA!L74,BLCMCA!L74,BCANCA!L74,ATBRCA!L74,CCDQCA!L74,CIBCCA!L74,NOSCCA!L74,TDOMCA!L74,ROYCCA!L74)</f>
        <v>0</v>
      </c>
      <c r="M72" s="9">
        <f>SUM(SBOSCA!M74,MCBTCA!M74,ICICCA!M74,HKBCCA!M74,CUCXCA!M74,BOFMCA!M74,BOFACA!M74,BNPACA!M74,BNDCCA!M74,BLCMCA!M74,BCANCA!M74,ATBRCA!M74,CCDQCA!M74,CIBCCA!M74,NOSCCA!M74,TDOMCA!M74,ROYCCA!M74)</f>
        <v>4442.7060000000001</v>
      </c>
      <c r="N72" s="6">
        <f>SUM(SBOSCA!N74,MCBTCA!N74,ICICCA!N74,HKBCCA!N74,CUCXCA!N74,BOFMCA!N74,BOFACA!N74,BNPACA!N74,BNDCCA!N74,BLCMCA!N74,BCANCA!N74,ATBRCA!N74,CCDQCA!N74,CIBCCA!N74,NOSCCA!N74,TDOMCA!N74,ROYCCA!N74)</f>
        <v>0</v>
      </c>
      <c r="O72" s="6">
        <f>SUM(SBOSCA!O74,MCBTCA!O74,ICICCA!O74,HKBCCA!O74,CUCXCA!O74,BOFMCA!O74,BOFACA!O74,BNPACA!O74,BNDCCA!O74,BLCMCA!O74,BCANCA!O74,ATBRCA!O74,CCDQCA!O74,CIBCCA!O74,NOSCCA!O74,TDOMCA!O74,ROYCCA!O74)</f>
        <v>0</v>
      </c>
      <c r="P72" s="9">
        <f>SUM(SBOSCA!P74,MCBTCA!P74,ICICCA!P74,HKBCCA!P74,CUCXCA!P74,BOFMCA!P74,BOFACA!P74,BNPACA!P74,BNDCCA!P74,BLCMCA!P74,BCANCA!P74,ATBRCA!P74,CCDQCA!P74,CIBCCA!P74,NOSCCA!P74,TDOMCA!P74,ROYCCA!P74)</f>
        <v>51688.254000000001</v>
      </c>
      <c r="Q72" s="6">
        <f>SUM(SBOSCA!Q74,MCBTCA!Q74,ICICCA!Q74,HKBCCA!Q74,CUCXCA!Q74,BOFMCA!Q74,BOFACA!Q74,BNPACA!Q74,BNDCCA!Q74,BLCMCA!Q74,BCANCA!Q74,ATBRCA!Q74,CCDQCA!Q74,CIBCCA!Q74,NOSCCA!Q74,TDOMCA!Q74,ROYCCA!Q74)</f>
        <v>0</v>
      </c>
    </row>
    <row r="73" spans="1:17" ht="15.5" thickTop="1" thickBot="1" x14ac:dyDescent="0.4">
      <c r="A73" s="7" t="str">
        <f>SBOSCA!A75</f>
        <v>2029Q4</v>
      </c>
      <c r="B73" s="6">
        <f>SUM(SBOSCA!B75,MCBTCA!B75,ICICCA!B75,HKBCCA!B75,CUCXCA!B75,BOFMCA!B75,BOFACA!B75,BNPACA!B75,BNDCCA!B75,BLCMCA!B75,BCANCA!B75,ATBRCA!B75,CCDQCA!B75,CIBCCA!B75,NOSCCA!B75,TDOMCA!B75,ROYCCA!B75)</f>
        <v>0</v>
      </c>
      <c r="C73" s="9">
        <f>SUM(SBOSCA!C75,MCBTCA!C75,ICICCA!C75,HKBCCA!C75,CUCXCA!C75,BOFMCA!C75,BOFACA!C75,BNPACA!C75,BNDCCA!C75,BLCMCA!C75,BCANCA!C75,ATBRCA!C75,CCDQCA!C75,CIBCCA!C75,NOSCCA!C75,TDOMCA!C75,ROYCCA!C75)</f>
        <v>4637.0470000000005</v>
      </c>
      <c r="D73" s="6">
        <f>SUM(SBOSCA!D75,MCBTCA!D75,ICICCA!D75,HKBCCA!D75,CUCXCA!D75,BOFMCA!D75,BOFACA!D75,BNPACA!D75,BNDCCA!D75,BLCMCA!D75,BCANCA!D75,ATBRCA!D75,CCDQCA!D75,CIBCCA!D75,NOSCCA!D75,TDOMCA!D75,ROYCCA!D75)</f>
        <v>0</v>
      </c>
      <c r="E73" s="6">
        <f>SUM(SBOSCA!E75,MCBTCA!E75,ICICCA!E75,HKBCCA!E75,CUCXCA!E75,BOFMCA!E75,BOFACA!E75,BNPACA!E75,BNDCCA!E75,BLCMCA!E75,BCANCA!E75,ATBRCA!E75,CCDQCA!E75,CIBCCA!E75,NOSCCA!E75,TDOMCA!E75,ROYCCA!E75)</f>
        <v>0</v>
      </c>
      <c r="F73" s="9">
        <f>SUM(SBOSCA!F75,MCBTCA!F75,ICICCA!F75,HKBCCA!F75,CUCXCA!F75,BOFMCA!F75,BOFACA!F75,BNPACA!F75,BNDCCA!F75,BLCMCA!F75,BCANCA!F75,ATBRCA!F75,CCDQCA!F75,CIBCCA!F75,NOSCCA!F75,TDOMCA!F75,ROYCCA!F75)</f>
        <v>64604.333000000006</v>
      </c>
      <c r="G73" s="6">
        <f>SUM(SBOSCA!G75,MCBTCA!G75,ICICCA!G75,HKBCCA!G75,CUCXCA!G75,BOFMCA!G75,BOFACA!G75,BNPACA!G75,BNDCCA!G75,BLCMCA!G75,BCANCA!G75,ATBRCA!G75,CCDQCA!G75,CIBCCA!G75,NOSCCA!G75,TDOMCA!G75,ROYCCA!G75)</f>
        <v>0</v>
      </c>
      <c r="K73" s="7" t="str">
        <f>SBOSCA!K75</f>
        <v>2029Q4</v>
      </c>
      <c r="L73" s="6">
        <f>SUM(SBOSCA!L75,MCBTCA!L75,ICICCA!L75,HKBCCA!L75,CUCXCA!L75,BOFMCA!L75,BOFACA!L75,BNPACA!L75,BNDCCA!L75,BLCMCA!L75,BCANCA!L75,ATBRCA!L75,CCDQCA!L75,CIBCCA!L75,NOSCCA!L75,TDOMCA!L75,ROYCCA!L75)</f>
        <v>0</v>
      </c>
      <c r="M73" s="9">
        <f>SUM(SBOSCA!M75,MCBTCA!M75,ICICCA!M75,HKBCCA!M75,CUCXCA!M75,BOFMCA!M75,BOFACA!M75,BNPACA!M75,BNDCCA!M75,BLCMCA!M75,BCANCA!M75,ATBRCA!M75,CCDQCA!M75,CIBCCA!M75,NOSCCA!M75,TDOMCA!M75,ROYCCA!M75)</f>
        <v>4464.9000000000005</v>
      </c>
      <c r="N73" s="6">
        <f>SUM(SBOSCA!N75,MCBTCA!N75,ICICCA!N75,HKBCCA!N75,CUCXCA!N75,BOFMCA!N75,BOFACA!N75,BNPACA!N75,BNDCCA!N75,BLCMCA!N75,BCANCA!N75,ATBRCA!N75,CCDQCA!N75,CIBCCA!N75,NOSCCA!N75,TDOMCA!N75,ROYCCA!N75)</f>
        <v>0</v>
      </c>
      <c r="O73" s="6">
        <f>SUM(SBOSCA!O75,MCBTCA!O75,ICICCA!O75,HKBCCA!O75,CUCXCA!O75,BOFMCA!O75,BOFACA!O75,BNPACA!O75,BNDCCA!O75,BLCMCA!O75,BCANCA!O75,ATBRCA!O75,CCDQCA!O75,CIBCCA!O75,NOSCCA!O75,TDOMCA!O75,ROYCCA!O75)</f>
        <v>0</v>
      </c>
      <c r="P73" s="9">
        <f>SUM(SBOSCA!P75,MCBTCA!P75,ICICCA!P75,HKBCCA!P75,CUCXCA!P75,BOFMCA!P75,BOFACA!P75,BNPACA!P75,BNDCCA!P75,BLCMCA!P75,BCANCA!P75,ATBRCA!P75,CCDQCA!P75,CIBCCA!P75,NOSCCA!P75,TDOMCA!P75,ROYCCA!P75)</f>
        <v>51883.464999999997</v>
      </c>
      <c r="Q73" s="6">
        <f>SUM(SBOSCA!Q75,MCBTCA!Q75,ICICCA!Q75,HKBCCA!Q75,CUCXCA!Q75,BOFMCA!Q75,BOFACA!Q75,BNPACA!Q75,BNDCCA!Q75,BLCMCA!Q75,BCANCA!Q75,ATBRCA!Q75,CCDQCA!Q75,CIBCCA!Q75,NOSCCA!Q75,TDOMCA!Q75,ROYCCA!Q75)</f>
        <v>0</v>
      </c>
    </row>
    <row r="74" spans="1:17" ht="15" thickTop="1" x14ac:dyDescent="0.35"/>
  </sheetData>
  <mergeCells count="12">
    <mergeCell ref="K39:Q39"/>
    <mergeCell ref="L40:N40"/>
    <mergeCell ref="O40:Q40"/>
    <mergeCell ref="A1:G1"/>
    <mergeCell ref="B2:D2"/>
    <mergeCell ref="E2:G2"/>
    <mergeCell ref="A39:G39"/>
    <mergeCell ref="B40:D40"/>
    <mergeCell ref="E40:G40"/>
    <mergeCell ref="K1:Q1"/>
    <mergeCell ref="L2:N2"/>
    <mergeCell ref="O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ROYCCA</vt:lpstr>
      <vt:lpstr>TDOMCA</vt:lpstr>
      <vt:lpstr>NOSCCA</vt:lpstr>
      <vt:lpstr>CIBCCA</vt:lpstr>
      <vt:lpstr>CCDQCA</vt:lpstr>
      <vt:lpstr>ATBRCA</vt:lpstr>
      <vt:lpstr>BCANCA</vt:lpstr>
      <vt:lpstr>BLCMCA</vt:lpstr>
      <vt:lpstr>BNDCCA</vt:lpstr>
      <vt:lpstr>BNPACA</vt:lpstr>
      <vt:lpstr>BOFACA</vt:lpstr>
      <vt:lpstr>BOFMCA</vt:lpstr>
      <vt:lpstr>CUCXCA</vt:lpstr>
      <vt:lpstr>HKBCCA</vt:lpstr>
      <vt:lpstr>ICICCA</vt:lpstr>
      <vt:lpstr>MCBTCA</vt:lpstr>
      <vt:lpstr>SBOSCA</vt:lpstr>
      <vt:lpstr>Porfolio Forecast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Bewaji</dc:creator>
  <cp:lastModifiedBy>Segun Bewaji</cp:lastModifiedBy>
  <dcterms:created xsi:type="dcterms:W3CDTF">2016-04-20T14:56:00Z</dcterms:created>
  <dcterms:modified xsi:type="dcterms:W3CDTF">2022-01-14T20:50:11Z</dcterms:modified>
</cp:coreProperties>
</file>