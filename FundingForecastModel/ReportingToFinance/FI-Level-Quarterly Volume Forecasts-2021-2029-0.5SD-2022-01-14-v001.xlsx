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sbewaji\Documents\Transactions Volume Forecast Model\Production - 2021\"/>
    </mc:Choice>
  </mc:AlternateContent>
  <xr:revisionPtr revIDLastSave="0" documentId="13_ncr:1_{17A42421-7465-4CDA-82F6-CC069A25F267}" xr6:coauthVersionLast="36" xr6:coauthVersionMax="36" xr10:uidLastSave="{00000000-0000-0000-0000-000000000000}"/>
  <bookViews>
    <workbookView xWindow="0" yWindow="15000" windowWidth="20330" windowHeight="3340" tabRatio="781" xr2:uid="{00000000-000D-0000-FFFF-FFFF00000000}"/>
  </bookViews>
  <sheets>
    <sheet name="ROYCCA" sheetId="17" r:id="rId1"/>
    <sheet name="TDOMCA" sheetId="19" r:id="rId2"/>
    <sheet name="NOSCCA" sheetId="16" r:id="rId3"/>
    <sheet name="CIBCCA" sheetId="13" r:id="rId4"/>
    <sheet name="CCDQCA" sheetId="12" r:id="rId5"/>
    <sheet name="ATBRCA" sheetId="6" r:id="rId6"/>
    <sheet name="BCANCA" sheetId="3" r:id="rId7"/>
    <sheet name="BLCMCA" sheetId="8" r:id="rId8"/>
    <sheet name="BNDCCA" sheetId="7" r:id="rId9"/>
    <sheet name="BNPACA" sheetId="9" r:id="rId10"/>
    <sheet name="BOFACA" sheetId="10" r:id="rId11"/>
    <sheet name="BOFMCA" sheetId="11" r:id="rId12"/>
    <sheet name="CUCXCA" sheetId="14" r:id="rId13"/>
    <sheet name="HKBCCA" sheetId="15" r:id="rId14"/>
    <sheet name="ICICCA" sheetId="22" r:id="rId15"/>
    <sheet name="MCBTCA" sheetId="20" r:id="rId16"/>
    <sheet name="SBOSCA" sheetId="18" r:id="rId17"/>
    <sheet name="Porfolio Forecast" sheetId="24" r:id="rId18"/>
    <sheet name="Totals" sheetId="23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3" i="24" l="1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V3" i="17" l="1"/>
  <c r="W3" i="17"/>
  <c r="X3" i="17"/>
  <c r="V4" i="17"/>
  <c r="W4" i="17"/>
  <c r="X4" i="17"/>
  <c r="V5" i="17"/>
  <c r="W5" i="17"/>
  <c r="X5" i="17"/>
  <c r="R34" i="17" l="1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R3" i="19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R3" i="12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R6" i="11"/>
  <c r="R5" i="11"/>
  <c r="R4" i="11"/>
  <c r="R3" i="11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/>
  <c r="R34" i="22"/>
  <c r="R33" i="22"/>
  <c r="R32" i="22"/>
  <c r="R31" i="22"/>
  <c r="R30" i="22"/>
  <c r="R29" i="22"/>
  <c r="R28" i="22"/>
  <c r="R27" i="22"/>
  <c r="R26" i="22"/>
  <c r="R25" i="22"/>
  <c r="R24" i="22"/>
  <c r="R23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R5" i="22"/>
  <c r="R4" i="22"/>
  <c r="R3" i="22"/>
  <c r="R34" i="20"/>
  <c r="R33" i="20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R9" i="20"/>
  <c r="R8" i="20"/>
  <c r="R7" i="20"/>
  <c r="R6" i="20"/>
  <c r="R5" i="20"/>
  <c r="R4" i="20"/>
  <c r="R3" i="20"/>
  <c r="R34" i="18"/>
  <c r="R33" i="18"/>
  <c r="R32" i="18"/>
  <c r="R31" i="18"/>
  <c r="R30" i="18"/>
  <c r="R29" i="18"/>
  <c r="R28" i="18"/>
  <c r="R27" i="18"/>
  <c r="R26" i="18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R3" i="18"/>
  <c r="R34" i="24"/>
  <c r="F43" i="24"/>
  <c r="A35" i="24"/>
  <c r="X34" i="24"/>
  <c r="G35" i="24" s="1"/>
  <c r="W34" i="24"/>
  <c r="F35" i="24" s="1"/>
  <c r="V34" i="24"/>
  <c r="E35" i="24" s="1"/>
  <c r="Q34" i="24"/>
  <c r="D35" i="24" s="1"/>
  <c r="P34" i="24"/>
  <c r="C35" i="24" s="1"/>
  <c r="O34" i="24"/>
  <c r="B35" i="24" s="1"/>
  <c r="A34" i="24"/>
  <c r="K74" i="24" s="1"/>
  <c r="X33" i="24"/>
  <c r="G34" i="24" s="1"/>
  <c r="W33" i="24"/>
  <c r="F34" i="24" s="1"/>
  <c r="V33" i="24"/>
  <c r="E34" i="24" s="1"/>
  <c r="Q33" i="24"/>
  <c r="D34" i="24" s="1"/>
  <c r="P33" i="24"/>
  <c r="C34" i="24" s="1"/>
  <c r="O33" i="24"/>
  <c r="B34" i="24" s="1"/>
  <c r="A33" i="24"/>
  <c r="X32" i="24"/>
  <c r="G33" i="24" s="1"/>
  <c r="W32" i="24"/>
  <c r="F33" i="24" s="1"/>
  <c r="V32" i="24"/>
  <c r="E33" i="24" s="1"/>
  <c r="Q32" i="24"/>
  <c r="D33" i="24" s="1"/>
  <c r="P32" i="24"/>
  <c r="C33" i="24" s="1"/>
  <c r="O32" i="24"/>
  <c r="B33" i="24" s="1"/>
  <c r="A32" i="24"/>
  <c r="K72" i="24" s="1"/>
  <c r="X31" i="24"/>
  <c r="G32" i="24" s="1"/>
  <c r="W31" i="24"/>
  <c r="F32" i="24" s="1"/>
  <c r="V31" i="24"/>
  <c r="E32" i="24" s="1"/>
  <c r="Q31" i="24"/>
  <c r="D32" i="24" s="1"/>
  <c r="P31" i="24"/>
  <c r="C32" i="24" s="1"/>
  <c r="O31" i="24"/>
  <c r="B32" i="24" s="1"/>
  <c r="A31" i="24"/>
  <c r="X30" i="24"/>
  <c r="G31" i="24" s="1"/>
  <c r="W30" i="24"/>
  <c r="F31" i="24" s="1"/>
  <c r="V30" i="24"/>
  <c r="E31" i="24" s="1"/>
  <c r="Q30" i="24"/>
  <c r="D31" i="24" s="1"/>
  <c r="P30" i="24"/>
  <c r="C31" i="24" s="1"/>
  <c r="O30" i="24"/>
  <c r="B31" i="24" s="1"/>
  <c r="A30" i="24"/>
  <c r="K70" i="24" s="1"/>
  <c r="X29" i="24"/>
  <c r="G30" i="24" s="1"/>
  <c r="W29" i="24"/>
  <c r="F30" i="24" s="1"/>
  <c r="V29" i="24"/>
  <c r="E30" i="24" s="1"/>
  <c r="Q29" i="24"/>
  <c r="D30" i="24" s="1"/>
  <c r="P29" i="24"/>
  <c r="C30" i="24" s="1"/>
  <c r="O29" i="24"/>
  <c r="B30" i="24" s="1"/>
  <c r="A29" i="24"/>
  <c r="X28" i="24"/>
  <c r="G29" i="24" s="1"/>
  <c r="W28" i="24"/>
  <c r="F29" i="24" s="1"/>
  <c r="V28" i="24"/>
  <c r="E29" i="24" s="1"/>
  <c r="Q28" i="24"/>
  <c r="D29" i="24" s="1"/>
  <c r="P28" i="24"/>
  <c r="C29" i="24" s="1"/>
  <c r="O28" i="24"/>
  <c r="B29" i="24" s="1"/>
  <c r="A28" i="24"/>
  <c r="K68" i="24" s="1"/>
  <c r="X27" i="24"/>
  <c r="G28" i="24" s="1"/>
  <c r="W27" i="24"/>
  <c r="F28" i="24" s="1"/>
  <c r="V27" i="24"/>
  <c r="E28" i="24" s="1"/>
  <c r="Q27" i="24"/>
  <c r="D28" i="24" s="1"/>
  <c r="P27" i="24"/>
  <c r="C28" i="24" s="1"/>
  <c r="O27" i="24"/>
  <c r="B28" i="24" s="1"/>
  <c r="A27" i="24"/>
  <c r="X26" i="24"/>
  <c r="G27" i="24" s="1"/>
  <c r="W26" i="24"/>
  <c r="F27" i="24" s="1"/>
  <c r="V26" i="24"/>
  <c r="E27" i="24" s="1"/>
  <c r="Q26" i="24"/>
  <c r="D27" i="24" s="1"/>
  <c r="P26" i="24"/>
  <c r="C27" i="24" s="1"/>
  <c r="O26" i="24"/>
  <c r="B27" i="24" s="1"/>
  <c r="A26" i="24"/>
  <c r="K66" i="24" s="1"/>
  <c r="X25" i="24"/>
  <c r="G26" i="24" s="1"/>
  <c r="W25" i="24"/>
  <c r="F26" i="24" s="1"/>
  <c r="V25" i="24"/>
  <c r="E26" i="24" s="1"/>
  <c r="Q25" i="24"/>
  <c r="D26" i="24" s="1"/>
  <c r="P25" i="24"/>
  <c r="C26" i="24" s="1"/>
  <c r="O25" i="24"/>
  <c r="B26" i="24" s="1"/>
  <c r="A25" i="24"/>
  <c r="X24" i="24"/>
  <c r="G25" i="24" s="1"/>
  <c r="W24" i="24"/>
  <c r="F25" i="24" s="1"/>
  <c r="V24" i="24"/>
  <c r="E25" i="24" s="1"/>
  <c r="Q24" i="24"/>
  <c r="D25" i="24" s="1"/>
  <c r="P24" i="24"/>
  <c r="C25" i="24" s="1"/>
  <c r="O24" i="24"/>
  <c r="B25" i="24" s="1"/>
  <c r="A24" i="24"/>
  <c r="K64" i="24" s="1"/>
  <c r="X23" i="24"/>
  <c r="G24" i="24" s="1"/>
  <c r="W23" i="24"/>
  <c r="F24" i="24" s="1"/>
  <c r="V23" i="24"/>
  <c r="E24" i="24" s="1"/>
  <c r="Q23" i="24"/>
  <c r="D24" i="24" s="1"/>
  <c r="P23" i="24"/>
  <c r="C24" i="24" s="1"/>
  <c r="O23" i="24"/>
  <c r="B24" i="24" s="1"/>
  <c r="A23" i="24"/>
  <c r="X22" i="24"/>
  <c r="G23" i="24" s="1"/>
  <c r="W22" i="24"/>
  <c r="F23" i="24" s="1"/>
  <c r="V22" i="24"/>
  <c r="E23" i="24" s="1"/>
  <c r="Q22" i="24"/>
  <c r="D23" i="24" s="1"/>
  <c r="P22" i="24"/>
  <c r="C23" i="24" s="1"/>
  <c r="O22" i="24"/>
  <c r="B23" i="24" s="1"/>
  <c r="A22" i="24"/>
  <c r="K62" i="24" s="1"/>
  <c r="X21" i="24"/>
  <c r="G22" i="24" s="1"/>
  <c r="W21" i="24"/>
  <c r="F22" i="24" s="1"/>
  <c r="V21" i="24"/>
  <c r="E22" i="24" s="1"/>
  <c r="Q21" i="24"/>
  <c r="D22" i="24" s="1"/>
  <c r="P21" i="24"/>
  <c r="C22" i="24" s="1"/>
  <c r="O21" i="24"/>
  <c r="B22" i="24" s="1"/>
  <c r="A21" i="24"/>
  <c r="X20" i="24"/>
  <c r="G21" i="24" s="1"/>
  <c r="W20" i="24"/>
  <c r="F21" i="24" s="1"/>
  <c r="V20" i="24"/>
  <c r="E21" i="24" s="1"/>
  <c r="Q20" i="24"/>
  <c r="D21" i="24" s="1"/>
  <c r="P20" i="24"/>
  <c r="C21" i="24" s="1"/>
  <c r="O20" i="24"/>
  <c r="B21" i="24" s="1"/>
  <c r="A20" i="24"/>
  <c r="K60" i="24" s="1"/>
  <c r="X19" i="24"/>
  <c r="G20" i="24" s="1"/>
  <c r="W19" i="24"/>
  <c r="F20" i="24" s="1"/>
  <c r="V19" i="24"/>
  <c r="E20" i="24" s="1"/>
  <c r="Q19" i="24"/>
  <c r="D20" i="24" s="1"/>
  <c r="P19" i="24"/>
  <c r="C20" i="24" s="1"/>
  <c r="O19" i="24"/>
  <c r="B20" i="24" s="1"/>
  <c r="A19" i="24"/>
  <c r="X18" i="24"/>
  <c r="G19" i="24" s="1"/>
  <c r="W18" i="24"/>
  <c r="F19" i="24" s="1"/>
  <c r="V18" i="24"/>
  <c r="E19" i="24" s="1"/>
  <c r="Q18" i="24"/>
  <c r="D19" i="24" s="1"/>
  <c r="P18" i="24"/>
  <c r="C19" i="24" s="1"/>
  <c r="O18" i="24"/>
  <c r="B19" i="24" s="1"/>
  <c r="A18" i="24"/>
  <c r="K58" i="24" s="1"/>
  <c r="X17" i="24"/>
  <c r="G18" i="24" s="1"/>
  <c r="W17" i="24"/>
  <c r="F18" i="24" s="1"/>
  <c r="V17" i="24"/>
  <c r="E18" i="24" s="1"/>
  <c r="Q17" i="24"/>
  <c r="D18" i="24" s="1"/>
  <c r="P17" i="24"/>
  <c r="C18" i="24" s="1"/>
  <c r="O17" i="24"/>
  <c r="B18" i="24" s="1"/>
  <c r="A17" i="24"/>
  <c r="X16" i="24"/>
  <c r="G17" i="24" s="1"/>
  <c r="W16" i="24"/>
  <c r="F17" i="24" s="1"/>
  <c r="V16" i="24"/>
  <c r="E17" i="24" s="1"/>
  <c r="Q16" i="24"/>
  <c r="D17" i="24" s="1"/>
  <c r="P16" i="24"/>
  <c r="C17" i="24" s="1"/>
  <c r="O16" i="24"/>
  <c r="B17" i="24" s="1"/>
  <c r="A16" i="24"/>
  <c r="K56" i="24" s="1"/>
  <c r="X15" i="24"/>
  <c r="G16" i="24" s="1"/>
  <c r="W15" i="24"/>
  <c r="F16" i="24" s="1"/>
  <c r="V15" i="24"/>
  <c r="E16" i="24" s="1"/>
  <c r="Q15" i="24"/>
  <c r="D16" i="24" s="1"/>
  <c r="P15" i="24"/>
  <c r="C16" i="24" s="1"/>
  <c r="O15" i="24"/>
  <c r="B16" i="24" s="1"/>
  <c r="A15" i="24"/>
  <c r="X14" i="24"/>
  <c r="G15" i="24" s="1"/>
  <c r="W14" i="24"/>
  <c r="F15" i="24" s="1"/>
  <c r="V14" i="24"/>
  <c r="E15" i="24" s="1"/>
  <c r="Q14" i="24"/>
  <c r="D15" i="24" s="1"/>
  <c r="P14" i="24"/>
  <c r="C15" i="24" s="1"/>
  <c r="O14" i="24"/>
  <c r="B15" i="24" s="1"/>
  <c r="A14" i="24"/>
  <c r="K54" i="24" s="1"/>
  <c r="X13" i="24"/>
  <c r="G14" i="24" s="1"/>
  <c r="W13" i="24"/>
  <c r="F14" i="24" s="1"/>
  <c r="V13" i="24"/>
  <c r="E14" i="24" s="1"/>
  <c r="Q13" i="24"/>
  <c r="D14" i="24" s="1"/>
  <c r="P13" i="24"/>
  <c r="C14" i="24" s="1"/>
  <c r="O13" i="24"/>
  <c r="B14" i="24" s="1"/>
  <c r="A13" i="24"/>
  <c r="X12" i="24"/>
  <c r="G13" i="24" s="1"/>
  <c r="W12" i="24"/>
  <c r="F13" i="24" s="1"/>
  <c r="V12" i="24"/>
  <c r="E13" i="24" s="1"/>
  <c r="Q12" i="24"/>
  <c r="D13" i="24" s="1"/>
  <c r="P12" i="24"/>
  <c r="C13" i="24" s="1"/>
  <c r="O12" i="24"/>
  <c r="B13" i="24" s="1"/>
  <c r="A12" i="24"/>
  <c r="X11" i="24"/>
  <c r="G12" i="24" s="1"/>
  <c r="W11" i="24"/>
  <c r="F12" i="24" s="1"/>
  <c r="V11" i="24"/>
  <c r="E12" i="24" s="1"/>
  <c r="Q11" i="24"/>
  <c r="D12" i="24" s="1"/>
  <c r="P11" i="24"/>
  <c r="C12" i="24" s="1"/>
  <c r="O11" i="24"/>
  <c r="B12" i="24" s="1"/>
  <c r="A11" i="24"/>
  <c r="X10" i="24"/>
  <c r="G11" i="24" s="1"/>
  <c r="W10" i="24"/>
  <c r="F11" i="24" s="1"/>
  <c r="V10" i="24"/>
  <c r="E11" i="24" s="1"/>
  <c r="Q10" i="24"/>
  <c r="D11" i="24" s="1"/>
  <c r="P10" i="24"/>
  <c r="C11" i="24" s="1"/>
  <c r="O10" i="24"/>
  <c r="B11" i="24" s="1"/>
  <c r="A10" i="24"/>
  <c r="K50" i="24" s="1"/>
  <c r="X9" i="24"/>
  <c r="G10" i="24" s="1"/>
  <c r="W9" i="24"/>
  <c r="F10" i="24" s="1"/>
  <c r="V9" i="24"/>
  <c r="E10" i="24" s="1"/>
  <c r="Q9" i="24"/>
  <c r="D10" i="24" s="1"/>
  <c r="P9" i="24"/>
  <c r="C10" i="24" s="1"/>
  <c r="O9" i="24"/>
  <c r="B10" i="24" s="1"/>
  <c r="A9" i="24"/>
  <c r="X8" i="24"/>
  <c r="G9" i="24" s="1"/>
  <c r="W8" i="24"/>
  <c r="F9" i="24" s="1"/>
  <c r="V8" i="24"/>
  <c r="E9" i="24" s="1"/>
  <c r="Q8" i="24"/>
  <c r="D9" i="24" s="1"/>
  <c r="P8" i="24"/>
  <c r="C9" i="24" s="1"/>
  <c r="O8" i="24"/>
  <c r="B9" i="24" s="1"/>
  <c r="A8" i="24"/>
  <c r="X7" i="24"/>
  <c r="G8" i="24" s="1"/>
  <c r="W7" i="24"/>
  <c r="F8" i="24" s="1"/>
  <c r="V7" i="24"/>
  <c r="E8" i="24" s="1"/>
  <c r="Q7" i="24"/>
  <c r="D8" i="24" s="1"/>
  <c r="P7" i="24"/>
  <c r="C8" i="24" s="1"/>
  <c r="O7" i="24"/>
  <c r="B8" i="24" s="1"/>
  <c r="A7" i="24"/>
  <c r="X6" i="24"/>
  <c r="G7" i="24" s="1"/>
  <c r="W6" i="24"/>
  <c r="F7" i="24" s="1"/>
  <c r="V6" i="24"/>
  <c r="E7" i="24" s="1"/>
  <c r="Q6" i="24"/>
  <c r="D7" i="24" s="1"/>
  <c r="P6" i="24"/>
  <c r="C7" i="24" s="1"/>
  <c r="O6" i="24"/>
  <c r="B7" i="24" s="1"/>
  <c r="A6" i="24"/>
  <c r="K46" i="24" s="1"/>
  <c r="X5" i="24"/>
  <c r="G6" i="24" s="1"/>
  <c r="W5" i="24"/>
  <c r="F6" i="24" s="1"/>
  <c r="V5" i="24"/>
  <c r="E6" i="24" s="1"/>
  <c r="Q5" i="24"/>
  <c r="D6" i="24" s="1"/>
  <c r="P5" i="24"/>
  <c r="C6" i="24" s="1"/>
  <c r="O5" i="24"/>
  <c r="B6" i="24" s="1"/>
  <c r="A5" i="24"/>
  <c r="X4" i="24"/>
  <c r="G5" i="24" s="1"/>
  <c r="W4" i="24"/>
  <c r="F5" i="24" s="1"/>
  <c r="V4" i="24"/>
  <c r="E5" i="24" s="1"/>
  <c r="Q4" i="24"/>
  <c r="D5" i="24" s="1"/>
  <c r="P4" i="24"/>
  <c r="C5" i="24" s="1"/>
  <c r="O4" i="24"/>
  <c r="B5" i="24" s="1"/>
  <c r="A4" i="24"/>
  <c r="K44" i="24" s="1"/>
  <c r="X3" i="24"/>
  <c r="G4" i="24" s="1"/>
  <c r="W3" i="24"/>
  <c r="F4" i="24" s="1"/>
  <c r="V3" i="24"/>
  <c r="E4" i="24" s="1"/>
  <c r="Q3" i="24"/>
  <c r="D4" i="24" s="1"/>
  <c r="P3" i="24"/>
  <c r="C4" i="24" s="1"/>
  <c r="O3" i="24"/>
  <c r="B4" i="24" s="1"/>
  <c r="F55" i="24" l="1"/>
  <c r="P51" i="24"/>
  <c r="P73" i="24"/>
  <c r="P47" i="24"/>
  <c r="M58" i="24"/>
  <c r="M66" i="24"/>
  <c r="M74" i="24"/>
  <c r="A62" i="24"/>
  <c r="A70" i="24"/>
  <c r="M54" i="24"/>
  <c r="M72" i="24"/>
  <c r="M62" i="24"/>
  <c r="M70" i="24"/>
  <c r="M56" i="24"/>
  <c r="M64" i="24"/>
  <c r="M60" i="24"/>
  <c r="M68" i="24"/>
  <c r="F60" i="24"/>
  <c r="F68" i="24"/>
  <c r="F56" i="24"/>
  <c r="F64" i="24"/>
  <c r="F72" i="24"/>
  <c r="P71" i="24"/>
  <c r="P75" i="24"/>
  <c r="P55" i="24"/>
  <c r="F75" i="24"/>
  <c r="A44" i="24"/>
  <c r="A56" i="24"/>
  <c r="A64" i="24"/>
  <c r="A72" i="24"/>
  <c r="A50" i="24"/>
  <c r="A58" i="24"/>
  <c r="A66" i="24"/>
  <c r="A74" i="24"/>
  <c r="A54" i="24"/>
  <c r="A60" i="24"/>
  <c r="A68" i="24"/>
  <c r="M52" i="24"/>
  <c r="P44" i="24"/>
  <c r="F44" i="24"/>
  <c r="C49" i="24"/>
  <c r="M49" i="24"/>
  <c r="P45" i="24"/>
  <c r="I5" i="24"/>
  <c r="F45" i="24"/>
  <c r="K53" i="24"/>
  <c r="A53" i="24"/>
  <c r="K55" i="24"/>
  <c r="A55" i="24"/>
  <c r="K57" i="24"/>
  <c r="A57" i="24"/>
  <c r="K59" i="24"/>
  <c r="A59" i="24"/>
  <c r="K61" i="24"/>
  <c r="A61" i="24"/>
  <c r="K63" i="24"/>
  <c r="A63" i="24"/>
  <c r="K65" i="24"/>
  <c r="A65" i="24"/>
  <c r="K67" i="24"/>
  <c r="A67" i="24"/>
  <c r="K69" i="24"/>
  <c r="A69" i="24"/>
  <c r="K71" i="24"/>
  <c r="A71" i="24"/>
  <c r="K73" i="24"/>
  <c r="A73" i="24"/>
  <c r="K75" i="24"/>
  <c r="A75" i="24"/>
  <c r="F38" i="24"/>
  <c r="A46" i="24"/>
  <c r="F51" i="24"/>
  <c r="C44" i="24"/>
  <c r="C38" i="24"/>
  <c r="C51" i="24"/>
  <c r="M51" i="24"/>
  <c r="K48" i="24"/>
  <c r="A48" i="24"/>
  <c r="P49" i="24"/>
  <c r="I6" i="24"/>
  <c r="F49" i="24"/>
  <c r="K52" i="24"/>
  <c r="A52" i="24"/>
  <c r="C46" i="24"/>
  <c r="M46" i="24"/>
  <c r="C48" i="24"/>
  <c r="C50" i="24"/>
  <c r="M50" i="24"/>
  <c r="M53" i="24"/>
  <c r="M57" i="24"/>
  <c r="M61" i="24"/>
  <c r="M65" i="24"/>
  <c r="M69" i="24"/>
  <c r="M73" i="24"/>
  <c r="F47" i="24"/>
  <c r="C45" i="24"/>
  <c r="M45" i="24"/>
  <c r="C47" i="24"/>
  <c r="M47" i="24"/>
  <c r="M44" i="24"/>
  <c r="K45" i="24"/>
  <c r="A45" i="24"/>
  <c r="P46" i="24"/>
  <c r="F46" i="24"/>
  <c r="K47" i="24"/>
  <c r="A47" i="24"/>
  <c r="P48" i="24"/>
  <c r="F48" i="24"/>
  <c r="K49" i="24"/>
  <c r="A49" i="24"/>
  <c r="P50" i="24"/>
  <c r="F50" i="24"/>
  <c r="K51" i="24"/>
  <c r="A51" i="24"/>
  <c r="P52" i="24"/>
  <c r="F52" i="24"/>
  <c r="P53" i="24"/>
  <c r="I7" i="24"/>
  <c r="F53" i="24"/>
  <c r="P57" i="24"/>
  <c r="I8" i="24"/>
  <c r="F57" i="24"/>
  <c r="P59" i="24"/>
  <c r="F59" i="24"/>
  <c r="P61" i="24"/>
  <c r="I9" i="24"/>
  <c r="F61" i="24"/>
  <c r="P63" i="24"/>
  <c r="F63" i="24"/>
  <c r="P65" i="24"/>
  <c r="I10" i="24"/>
  <c r="F65" i="24"/>
  <c r="P67" i="24"/>
  <c r="F67" i="24"/>
  <c r="P69" i="24"/>
  <c r="I11" i="24"/>
  <c r="F69" i="24"/>
  <c r="M48" i="24"/>
  <c r="F73" i="24"/>
  <c r="F71" i="24"/>
  <c r="C52" i="24"/>
  <c r="C53" i="24"/>
  <c r="C54" i="24"/>
  <c r="P54" i="24"/>
  <c r="C55" i="24"/>
  <c r="C56" i="24"/>
  <c r="P56" i="24"/>
  <c r="C57" i="24"/>
  <c r="C58" i="24"/>
  <c r="P58" i="24"/>
  <c r="C59" i="24"/>
  <c r="C60" i="24"/>
  <c r="P60" i="24"/>
  <c r="C61" i="24"/>
  <c r="C62" i="24"/>
  <c r="P62" i="24"/>
  <c r="C63" i="24"/>
  <c r="C64" i="24"/>
  <c r="P64" i="24"/>
  <c r="C65" i="24"/>
  <c r="C66" i="24"/>
  <c r="P66" i="24"/>
  <c r="C67" i="24"/>
  <c r="C68" i="24"/>
  <c r="P68" i="24"/>
  <c r="C69" i="24"/>
  <c r="C70" i="24"/>
  <c r="P70" i="24"/>
  <c r="C71" i="24"/>
  <c r="C72" i="24"/>
  <c r="P72" i="24"/>
  <c r="C73" i="24"/>
  <c r="C74" i="24"/>
  <c r="P74" i="24"/>
  <c r="C75" i="24"/>
  <c r="F54" i="24"/>
  <c r="M55" i="24"/>
  <c r="F58" i="24"/>
  <c r="M59" i="24"/>
  <c r="F62" i="24"/>
  <c r="M63" i="24"/>
  <c r="F66" i="24"/>
  <c r="M67" i="24"/>
  <c r="F70" i="24"/>
  <c r="M71" i="24"/>
  <c r="F74" i="24"/>
  <c r="M75" i="24"/>
  <c r="X34" i="18" l="1"/>
  <c r="G35" i="18" s="1"/>
  <c r="W34" i="18"/>
  <c r="F35" i="18" s="1"/>
  <c r="V34" i="18"/>
  <c r="E35" i="18" s="1"/>
  <c r="X33" i="18"/>
  <c r="G34" i="18" s="1"/>
  <c r="W33" i="18"/>
  <c r="V33" i="18"/>
  <c r="E34" i="18" s="1"/>
  <c r="X32" i="18"/>
  <c r="G33" i="18" s="1"/>
  <c r="W32" i="18"/>
  <c r="F33" i="18" s="1"/>
  <c r="V32" i="18"/>
  <c r="E33" i="18" s="1"/>
  <c r="X31" i="18"/>
  <c r="G32" i="18" s="1"/>
  <c r="W31" i="18"/>
  <c r="F32" i="18" s="1"/>
  <c r="V31" i="18"/>
  <c r="E32" i="18" s="1"/>
  <c r="X30" i="18"/>
  <c r="W30" i="18"/>
  <c r="F31" i="18" s="1"/>
  <c r="V30" i="18"/>
  <c r="E31" i="18" s="1"/>
  <c r="X29" i="18"/>
  <c r="G30" i="18" s="1"/>
  <c r="W29" i="18"/>
  <c r="V29" i="18"/>
  <c r="E30" i="18" s="1"/>
  <c r="X28" i="18"/>
  <c r="G29" i="18" s="1"/>
  <c r="W28" i="18"/>
  <c r="F29" i="18" s="1"/>
  <c r="V28" i="18"/>
  <c r="E29" i="18" s="1"/>
  <c r="X27" i="18"/>
  <c r="G28" i="18" s="1"/>
  <c r="W27" i="18"/>
  <c r="F28" i="18" s="1"/>
  <c r="V27" i="18"/>
  <c r="E28" i="18" s="1"/>
  <c r="X26" i="18"/>
  <c r="W26" i="18"/>
  <c r="F27" i="18" s="1"/>
  <c r="V26" i="18"/>
  <c r="E27" i="18" s="1"/>
  <c r="X25" i="18"/>
  <c r="G26" i="18" s="1"/>
  <c r="W25" i="18"/>
  <c r="V25" i="18"/>
  <c r="E26" i="18" s="1"/>
  <c r="X24" i="18"/>
  <c r="G25" i="18" s="1"/>
  <c r="W24" i="18"/>
  <c r="F25" i="18" s="1"/>
  <c r="V24" i="18"/>
  <c r="E25" i="18" s="1"/>
  <c r="X23" i="18"/>
  <c r="G24" i="18" s="1"/>
  <c r="W23" i="18"/>
  <c r="F24" i="18" s="1"/>
  <c r="V23" i="18"/>
  <c r="E24" i="18" s="1"/>
  <c r="X22" i="18"/>
  <c r="G23" i="18" s="1"/>
  <c r="W22" i="18"/>
  <c r="F23" i="18" s="1"/>
  <c r="V22" i="18"/>
  <c r="E23" i="18" s="1"/>
  <c r="X21" i="18"/>
  <c r="G22" i="18" s="1"/>
  <c r="W21" i="18"/>
  <c r="V21" i="18"/>
  <c r="E22" i="18" s="1"/>
  <c r="X20" i="18"/>
  <c r="G21" i="18" s="1"/>
  <c r="W20" i="18"/>
  <c r="F21" i="18" s="1"/>
  <c r="V20" i="18"/>
  <c r="E21" i="18" s="1"/>
  <c r="X19" i="18"/>
  <c r="G20" i="18" s="1"/>
  <c r="W19" i="18"/>
  <c r="F20" i="18" s="1"/>
  <c r="V19" i="18"/>
  <c r="E20" i="18" s="1"/>
  <c r="X18" i="18"/>
  <c r="G19" i="18" s="1"/>
  <c r="W18" i="18"/>
  <c r="F19" i="18" s="1"/>
  <c r="V18" i="18"/>
  <c r="E19" i="18" s="1"/>
  <c r="X17" i="18"/>
  <c r="G18" i="18" s="1"/>
  <c r="W17" i="18"/>
  <c r="V17" i="18"/>
  <c r="E18" i="18" s="1"/>
  <c r="X16" i="18"/>
  <c r="G17" i="18" s="1"/>
  <c r="W16" i="18"/>
  <c r="F17" i="18" s="1"/>
  <c r="V16" i="18"/>
  <c r="E17" i="18" s="1"/>
  <c r="X15" i="18"/>
  <c r="G16" i="18" s="1"/>
  <c r="W15" i="18"/>
  <c r="F16" i="18" s="1"/>
  <c r="V15" i="18"/>
  <c r="E16" i="18" s="1"/>
  <c r="X14" i="18"/>
  <c r="G15" i="18" s="1"/>
  <c r="W14" i="18"/>
  <c r="F15" i="18" s="1"/>
  <c r="V14" i="18"/>
  <c r="E15" i="18" s="1"/>
  <c r="X13" i="18"/>
  <c r="G14" i="18" s="1"/>
  <c r="W13" i="18"/>
  <c r="F14" i="18" s="1"/>
  <c r="V13" i="18"/>
  <c r="E14" i="18" s="1"/>
  <c r="X12" i="18"/>
  <c r="G13" i="18" s="1"/>
  <c r="W12" i="18"/>
  <c r="F13" i="18" s="1"/>
  <c r="V12" i="18"/>
  <c r="E13" i="18" s="1"/>
  <c r="X11" i="18"/>
  <c r="G12" i="18" s="1"/>
  <c r="W11" i="18"/>
  <c r="F12" i="18" s="1"/>
  <c r="V11" i="18"/>
  <c r="E12" i="18" s="1"/>
  <c r="X10" i="18"/>
  <c r="G11" i="18" s="1"/>
  <c r="W10" i="18"/>
  <c r="F11" i="18" s="1"/>
  <c r="F51" i="18" s="1"/>
  <c r="V10" i="18"/>
  <c r="E11" i="18" s="1"/>
  <c r="X9" i="18"/>
  <c r="G10" i="18" s="1"/>
  <c r="W9" i="18"/>
  <c r="V9" i="18"/>
  <c r="E10" i="18" s="1"/>
  <c r="X8" i="18"/>
  <c r="G9" i="18" s="1"/>
  <c r="W8" i="18"/>
  <c r="F9" i="18" s="1"/>
  <c r="V8" i="18"/>
  <c r="E9" i="18" s="1"/>
  <c r="X7" i="18"/>
  <c r="G8" i="18" s="1"/>
  <c r="W7" i="18"/>
  <c r="F8" i="18" s="1"/>
  <c r="V7" i="18"/>
  <c r="E8" i="18" s="1"/>
  <c r="X6" i="18"/>
  <c r="G7" i="18" s="1"/>
  <c r="W6" i="18"/>
  <c r="F7" i="18" s="1"/>
  <c r="V6" i="18"/>
  <c r="E7" i="18" s="1"/>
  <c r="X5" i="18"/>
  <c r="G6" i="18" s="1"/>
  <c r="W5" i="18"/>
  <c r="V5" i="18"/>
  <c r="E6" i="18" s="1"/>
  <c r="X4" i="18"/>
  <c r="G5" i="18" s="1"/>
  <c r="W4" i="18"/>
  <c r="F5" i="18" s="1"/>
  <c r="V4" i="18"/>
  <c r="E5" i="18" s="1"/>
  <c r="X3" i="18"/>
  <c r="G4" i="18" s="1"/>
  <c r="W3" i="18"/>
  <c r="F4" i="18" s="1"/>
  <c r="V3" i="18"/>
  <c r="E4" i="18" s="1"/>
  <c r="Q34" i="18"/>
  <c r="P34" i="18"/>
  <c r="O34" i="18"/>
  <c r="Q33" i="18"/>
  <c r="P33" i="18"/>
  <c r="O33" i="18"/>
  <c r="Q32" i="18"/>
  <c r="P32" i="18"/>
  <c r="O32" i="18"/>
  <c r="Q31" i="18"/>
  <c r="P31" i="18"/>
  <c r="O31" i="18"/>
  <c r="Q30" i="18"/>
  <c r="P30" i="18"/>
  <c r="O30" i="18"/>
  <c r="Q29" i="18"/>
  <c r="P29" i="18"/>
  <c r="O29" i="18"/>
  <c r="Q28" i="18"/>
  <c r="P28" i="18"/>
  <c r="O28" i="18"/>
  <c r="Q27" i="18"/>
  <c r="P27" i="18"/>
  <c r="O27" i="18"/>
  <c r="Q26" i="18"/>
  <c r="P26" i="18"/>
  <c r="O26" i="18"/>
  <c r="Q25" i="18"/>
  <c r="P25" i="18"/>
  <c r="O25" i="18"/>
  <c r="Q24" i="18"/>
  <c r="P24" i="18"/>
  <c r="O24" i="18"/>
  <c r="Q23" i="18"/>
  <c r="P23" i="18"/>
  <c r="O23" i="18"/>
  <c r="Q22" i="18"/>
  <c r="P22" i="18"/>
  <c r="O22" i="18"/>
  <c r="Q21" i="18"/>
  <c r="P21" i="18"/>
  <c r="O21" i="18"/>
  <c r="Q20" i="18"/>
  <c r="P20" i="18"/>
  <c r="O20" i="18"/>
  <c r="Q19" i="18"/>
  <c r="P19" i="18"/>
  <c r="O19" i="18"/>
  <c r="Q18" i="18"/>
  <c r="P18" i="18"/>
  <c r="O18" i="18"/>
  <c r="Q17" i="18"/>
  <c r="P17" i="18"/>
  <c r="O17" i="18"/>
  <c r="Q16" i="18"/>
  <c r="P16" i="18"/>
  <c r="O16" i="18"/>
  <c r="Q15" i="18"/>
  <c r="P15" i="18"/>
  <c r="O15" i="18"/>
  <c r="Q14" i="18"/>
  <c r="P14" i="18"/>
  <c r="O14" i="18"/>
  <c r="Q13" i="18"/>
  <c r="P13" i="18"/>
  <c r="O13" i="18"/>
  <c r="Q12" i="18"/>
  <c r="P12" i="18"/>
  <c r="O12" i="18"/>
  <c r="Q11" i="18"/>
  <c r="P11" i="18"/>
  <c r="O11" i="18"/>
  <c r="Q10" i="18"/>
  <c r="P10" i="18"/>
  <c r="O10" i="18"/>
  <c r="Q9" i="18"/>
  <c r="P9" i="18"/>
  <c r="O9" i="18"/>
  <c r="Q8" i="18"/>
  <c r="P8" i="18"/>
  <c r="O8" i="18"/>
  <c r="Q7" i="18"/>
  <c r="P7" i="18"/>
  <c r="O7" i="18"/>
  <c r="Q6" i="18"/>
  <c r="P6" i="18"/>
  <c r="O6" i="18"/>
  <c r="Q5" i="18"/>
  <c r="P5" i="18"/>
  <c r="O5" i="18"/>
  <c r="Q4" i="18"/>
  <c r="P4" i="18"/>
  <c r="O4" i="18"/>
  <c r="Q3" i="18"/>
  <c r="P3" i="18"/>
  <c r="O3" i="18"/>
  <c r="X34" i="20"/>
  <c r="G35" i="20" s="1"/>
  <c r="W34" i="20"/>
  <c r="F35" i="20" s="1"/>
  <c r="V34" i="20"/>
  <c r="E35" i="20" s="1"/>
  <c r="X33" i="20"/>
  <c r="G34" i="20" s="1"/>
  <c r="W33" i="20"/>
  <c r="V33" i="20"/>
  <c r="E34" i="20" s="1"/>
  <c r="X32" i="20"/>
  <c r="G33" i="20" s="1"/>
  <c r="W32" i="20"/>
  <c r="F33" i="20" s="1"/>
  <c r="V32" i="20"/>
  <c r="X31" i="20"/>
  <c r="G32" i="20" s="1"/>
  <c r="W31" i="20"/>
  <c r="F32" i="20" s="1"/>
  <c r="V31" i="20"/>
  <c r="E32" i="20" s="1"/>
  <c r="X30" i="20"/>
  <c r="G31" i="20" s="1"/>
  <c r="W30" i="20"/>
  <c r="F31" i="20" s="1"/>
  <c r="V30" i="20"/>
  <c r="E31" i="20" s="1"/>
  <c r="X29" i="20"/>
  <c r="G30" i="20" s="1"/>
  <c r="W29" i="20"/>
  <c r="V29" i="20"/>
  <c r="E30" i="20" s="1"/>
  <c r="X28" i="20"/>
  <c r="G29" i="20" s="1"/>
  <c r="W28" i="20"/>
  <c r="F29" i="20" s="1"/>
  <c r="V28" i="20"/>
  <c r="X27" i="20"/>
  <c r="G28" i="20" s="1"/>
  <c r="W27" i="20"/>
  <c r="F28" i="20" s="1"/>
  <c r="V27" i="20"/>
  <c r="E28" i="20" s="1"/>
  <c r="X26" i="20"/>
  <c r="W26" i="20"/>
  <c r="F27" i="20" s="1"/>
  <c r="V26" i="20"/>
  <c r="E27" i="20" s="1"/>
  <c r="X25" i="20"/>
  <c r="G26" i="20" s="1"/>
  <c r="W25" i="20"/>
  <c r="V25" i="20"/>
  <c r="E26" i="20" s="1"/>
  <c r="X24" i="20"/>
  <c r="G25" i="20" s="1"/>
  <c r="W24" i="20"/>
  <c r="F25" i="20" s="1"/>
  <c r="V24" i="20"/>
  <c r="X23" i="20"/>
  <c r="G24" i="20" s="1"/>
  <c r="W23" i="20"/>
  <c r="F24" i="20" s="1"/>
  <c r="V23" i="20"/>
  <c r="E24" i="20" s="1"/>
  <c r="X22" i="20"/>
  <c r="W22" i="20"/>
  <c r="F23" i="20" s="1"/>
  <c r="V22" i="20"/>
  <c r="E23" i="20" s="1"/>
  <c r="X21" i="20"/>
  <c r="G22" i="20" s="1"/>
  <c r="W21" i="20"/>
  <c r="V21" i="20"/>
  <c r="E22" i="20" s="1"/>
  <c r="X20" i="20"/>
  <c r="G21" i="20" s="1"/>
  <c r="W20" i="20"/>
  <c r="F21" i="20" s="1"/>
  <c r="V20" i="20"/>
  <c r="X19" i="20"/>
  <c r="G20" i="20" s="1"/>
  <c r="W19" i="20"/>
  <c r="F20" i="20" s="1"/>
  <c r="V19" i="20"/>
  <c r="E20" i="20" s="1"/>
  <c r="X18" i="20"/>
  <c r="W18" i="20"/>
  <c r="F19" i="20" s="1"/>
  <c r="V18" i="20"/>
  <c r="E19" i="20" s="1"/>
  <c r="X17" i="20"/>
  <c r="G18" i="20" s="1"/>
  <c r="W17" i="20"/>
  <c r="F18" i="20" s="1"/>
  <c r="V17" i="20"/>
  <c r="E18" i="20" s="1"/>
  <c r="X16" i="20"/>
  <c r="G17" i="20" s="1"/>
  <c r="W16" i="20"/>
  <c r="F17" i="20" s="1"/>
  <c r="V16" i="20"/>
  <c r="E17" i="20" s="1"/>
  <c r="X15" i="20"/>
  <c r="G16" i="20" s="1"/>
  <c r="W15" i="20"/>
  <c r="F16" i="20" s="1"/>
  <c r="V15" i="20"/>
  <c r="E16" i="20" s="1"/>
  <c r="X14" i="20"/>
  <c r="W14" i="20"/>
  <c r="F15" i="20" s="1"/>
  <c r="V14" i="20"/>
  <c r="E15" i="20" s="1"/>
  <c r="X13" i="20"/>
  <c r="G14" i="20" s="1"/>
  <c r="W13" i="20"/>
  <c r="F14" i="20" s="1"/>
  <c r="V13" i="20"/>
  <c r="E14" i="20" s="1"/>
  <c r="X12" i="20"/>
  <c r="G13" i="20" s="1"/>
  <c r="W12" i="20"/>
  <c r="F13" i="20" s="1"/>
  <c r="V12" i="20"/>
  <c r="E13" i="20" s="1"/>
  <c r="X11" i="20"/>
  <c r="G12" i="20" s="1"/>
  <c r="W11" i="20"/>
  <c r="F12" i="20" s="1"/>
  <c r="V11" i="20"/>
  <c r="E12" i="20" s="1"/>
  <c r="X10" i="20"/>
  <c r="G11" i="20" s="1"/>
  <c r="W10" i="20"/>
  <c r="F11" i="20" s="1"/>
  <c r="V10" i="20"/>
  <c r="E11" i="20" s="1"/>
  <c r="X9" i="20"/>
  <c r="G10" i="20" s="1"/>
  <c r="W9" i="20"/>
  <c r="V9" i="20"/>
  <c r="E10" i="20" s="1"/>
  <c r="X8" i="20"/>
  <c r="G9" i="20" s="1"/>
  <c r="W8" i="20"/>
  <c r="F9" i="20" s="1"/>
  <c r="V8" i="20"/>
  <c r="X7" i="20"/>
  <c r="G8" i="20" s="1"/>
  <c r="W7" i="20"/>
  <c r="F8" i="20" s="1"/>
  <c r="V7" i="20"/>
  <c r="E8" i="20" s="1"/>
  <c r="X6" i="20"/>
  <c r="W6" i="20"/>
  <c r="F7" i="20" s="1"/>
  <c r="V6" i="20"/>
  <c r="E7" i="20" s="1"/>
  <c r="X5" i="20"/>
  <c r="G6" i="20" s="1"/>
  <c r="W5" i="20"/>
  <c r="F6" i="20" s="1"/>
  <c r="V5" i="20"/>
  <c r="E6" i="20" s="1"/>
  <c r="X4" i="20"/>
  <c r="G5" i="20" s="1"/>
  <c r="W4" i="20"/>
  <c r="F5" i="20" s="1"/>
  <c r="V4" i="20"/>
  <c r="E5" i="20" s="1"/>
  <c r="X3" i="20"/>
  <c r="G4" i="20" s="1"/>
  <c r="W3" i="20"/>
  <c r="F4" i="20" s="1"/>
  <c r="V3" i="20"/>
  <c r="E4" i="20" s="1"/>
  <c r="Q34" i="20"/>
  <c r="P34" i="20"/>
  <c r="O34" i="20"/>
  <c r="Q33" i="20"/>
  <c r="P33" i="20"/>
  <c r="O33" i="20"/>
  <c r="Q32" i="20"/>
  <c r="P32" i="20"/>
  <c r="O32" i="20"/>
  <c r="Q31" i="20"/>
  <c r="P31" i="20"/>
  <c r="O31" i="20"/>
  <c r="Q30" i="20"/>
  <c r="P30" i="20"/>
  <c r="O30" i="20"/>
  <c r="Q29" i="20"/>
  <c r="P29" i="20"/>
  <c r="O29" i="20"/>
  <c r="Q28" i="20"/>
  <c r="P28" i="20"/>
  <c r="O28" i="20"/>
  <c r="Q27" i="20"/>
  <c r="P27" i="20"/>
  <c r="O27" i="20"/>
  <c r="Q26" i="20"/>
  <c r="P26" i="20"/>
  <c r="O26" i="20"/>
  <c r="Q25" i="20"/>
  <c r="P25" i="20"/>
  <c r="O25" i="20"/>
  <c r="Q24" i="20"/>
  <c r="P24" i="20"/>
  <c r="O24" i="20"/>
  <c r="Q23" i="20"/>
  <c r="P23" i="20"/>
  <c r="O23" i="20"/>
  <c r="Q22" i="20"/>
  <c r="P22" i="20"/>
  <c r="O22" i="20"/>
  <c r="Q21" i="20"/>
  <c r="P21" i="20"/>
  <c r="O21" i="20"/>
  <c r="Q20" i="20"/>
  <c r="P20" i="20"/>
  <c r="O20" i="20"/>
  <c r="Q19" i="20"/>
  <c r="P19" i="20"/>
  <c r="O19" i="20"/>
  <c r="Q18" i="20"/>
  <c r="P18" i="20"/>
  <c r="O18" i="20"/>
  <c r="Q17" i="20"/>
  <c r="P17" i="20"/>
  <c r="O17" i="20"/>
  <c r="Q16" i="20"/>
  <c r="P16" i="20"/>
  <c r="O16" i="20"/>
  <c r="Q15" i="20"/>
  <c r="P15" i="20"/>
  <c r="O15" i="20"/>
  <c r="Q14" i="20"/>
  <c r="P14" i="20"/>
  <c r="O14" i="20"/>
  <c r="Q13" i="20"/>
  <c r="P13" i="20"/>
  <c r="O13" i="20"/>
  <c r="Q12" i="20"/>
  <c r="P12" i="20"/>
  <c r="O12" i="20"/>
  <c r="Q11" i="20"/>
  <c r="P11" i="20"/>
  <c r="O11" i="20"/>
  <c r="Q10" i="20"/>
  <c r="P10" i="20"/>
  <c r="O10" i="20"/>
  <c r="Q9" i="20"/>
  <c r="P9" i="20"/>
  <c r="O9" i="20"/>
  <c r="Q8" i="20"/>
  <c r="P8" i="20"/>
  <c r="O8" i="20"/>
  <c r="Q7" i="20"/>
  <c r="P7" i="20"/>
  <c r="O7" i="20"/>
  <c r="Q6" i="20"/>
  <c r="P6" i="20"/>
  <c r="O6" i="20"/>
  <c r="Q5" i="20"/>
  <c r="P5" i="20"/>
  <c r="O5" i="20"/>
  <c r="Q4" i="20"/>
  <c r="P4" i="20"/>
  <c r="O4" i="20"/>
  <c r="Q3" i="20"/>
  <c r="P3" i="20"/>
  <c r="O3" i="20"/>
  <c r="X34" i="22"/>
  <c r="G35" i="22" s="1"/>
  <c r="W34" i="22"/>
  <c r="F35" i="22" s="1"/>
  <c r="V34" i="22"/>
  <c r="E35" i="22" s="1"/>
  <c r="X33" i="22"/>
  <c r="G34" i="22" s="1"/>
  <c r="W33" i="22"/>
  <c r="V33" i="22"/>
  <c r="E34" i="22" s="1"/>
  <c r="X32" i="22"/>
  <c r="G33" i="22" s="1"/>
  <c r="W32" i="22"/>
  <c r="F33" i="22" s="1"/>
  <c r="V32" i="22"/>
  <c r="E33" i="22" s="1"/>
  <c r="X31" i="22"/>
  <c r="G32" i="22" s="1"/>
  <c r="W31" i="22"/>
  <c r="F32" i="22" s="1"/>
  <c r="V31" i="22"/>
  <c r="E32" i="22" s="1"/>
  <c r="X30" i="22"/>
  <c r="G31" i="22" s="1"/>
  <c r="W30" i="22"/>
  <c r="F31" i="22" s="1"/>
  <c r="V30" i="22"/>
  <c r="E31" i="22" s="1"/>
  <c r="X29" i="22"/>
  <c r="G30" i="22" s="1"/>
  <c r="W29" i="22"/>
  <c r="F30" i="22" s="1"/>
  <c r="V29" i="22"/>
  <c r="E30" i="22" s="1"/>
  <c r="X28" i="22"/>
  <c r="G29" i="22" s="1"/>
  <c r="W28" i="22"/>
  <c r="F29" i="22" s="1"/>
  <c r="V28" i="22"/>
  <c r="E29" i="22" s="1"/>
  <c r="X27" i="22"/>
  <c r="G28" i="22" s="1"/>
  <c r="W27" i="22"/>
  <c r="F28" i="22" s="1"/>
  <c r="V27" i="22"/>
  <c r="E28" i="22" s="1"/>
  <c r="X26" i="22"/>
  <c r="G27" i="22" s="1"/>
  <c r="W26" i="22"/>
  <c r="F27" i="22" s="1"/>
  <c r="V26" i="22"/>
  <c r="E27" i="22" s="1"/>
  <c r="X25" i="22"/>
  <c r="G26" i="22" s="1"/>
  <c r="W25" i="22"/>
  <c r="F26" i="22" s="1"/>
  <c r="V25" i="22"/>
  <c r="E26" i="22" s="1"/>
  <c r="X24" i="22"/>
  <c r="G25" i="22" s="1"/>
  <c r="W24" i="22"/>
  <c r="F25" i="22" s="1"/>
  <c r="V24" i="22"/>
  <c r="E25" i="22" s="1"/>
  <c r="X23" i="22"/>
  <c r="G24" i="22" s="1"/>
  <c r="W23" i="22"/>
  <c r="F24" i="22" s="1"/>
  <c r="V23" i="22"/>
  <c r="E24" i="22" s="1"/>
  <c r="X22" i="22"/>
  <c r="G23" i="22" s="1"/>
  <c r="W22" i="22"/>
  <c r="F23" i="22" s="1"/>
  <c r="V22" i="22"/>
  <c r="E23" i="22" s="1"/>
  <c r="X21" i="22"/>
  <c r="G22" i="22" s="1"/>
  <c r="W21" i="22"/>
  <c r="F22" i="22" s="1"/>
  <c r="V21" i="22"/>
  <c r="E22" i="22" s="1"/>
  <c r="X20" i="22"/>
  <c r="G21" i="22" s="1"/>
  <c r="W20" i="22"/>
  <c r="F21" i="22" s="1"/>
  <c r="V20" i="22"/>
  <c r="E21" i="22" s="1"/>
  <c r="X19" i="22"/>
  <c r="G20" i="22" s="1"/>
  <c r="W19" i="22"/>
  <c r="F20" i="22" s="1"/>
  <c r="V19" i="22"/>
  <c r="E20" i="22" s="1"/>
  <c r="X18" i="22"/>
  <c r="G19" i="22" s="1"/>
  <c r="W18" i="22"/>
  <c r="F19" i="22" s="1"/>
  <c r="V18" i="22"/>
  <c r="E19" i="22" s="1"/>
  <c r="X17" i="22"/>
  <c r="G18" i="22" s="1"/>
  <c r="W17" i="22"/>
  <c r="F18" i="22" s="1"/>
  <c r="V17" i="22"/>
  <c r="E18" i="22" s="1"/>
  <c r="X16" i="22"/>
  <c r="G17" i="22" s="1"/>
  <c r="W16" i="22"/>
  <c r="F17" i="22" s="1"/>
  <c r="V16" i="22"/>
  <c r="E17" i="22" s="1"/>
  <c r="X15" i="22"/>
  <c r="G16" i="22" s="1"/>
  <c r="W15" i="22"/>
  <c r="F16" i="22" s="1"/>
  <c r="V15" i="22"/>
  <c r="E16" i="22" s="1"/>
  <c r="X14" i="22"/>
  <c r="G15" i="22" s="1"/>
  <c r="W14" i="22"/>
  <c r="F15" i="22" s="1"/>
  <c r="V14" i="22"/>
  <c r="E15" i="22" s="1"/>
  <c r="X13" i="22"/>
  <c r="G14" i="22" s="1"/>
  <c r="W13" i="22"/>
  <c r="F14" i="22" s="1"/>
  <c r="V13" i="22"/>
  <c r="E14" i="22" s="1"/>
  <c r="X12" i="22"/>
  <c r="G13" i="22" s="1"/>
  <c r="W12" i="22"/>
  <c r="F13" i="22" s="1"/>
  <c r="V12" i="22"/>
  <c r="E13" i="22" s="1"/>
  <c r="X11" i="22"/>
  <c r="G12" i="22" s="1"/>
  <c r="W11" i="22"/>
  <c r="F12" i="22" s="1"/>
  <c r="V11" i="22"/>
  <c r="E12" i="22" s="1"/>
  <c r="X10" i="22"/>
  <c r="W10" i="22"/>
  <c r="F11" i="22" s="1"/>
  <c r="V10" i="22"/>
  <c r="E11" i="22" s="1"/>
  <c r="X9" i="22"/>
  <c r="G10" i="22" s="1"/>
  <c r="W9" i="22"/>
  <c r="F10" i="22" s="1"/>
  <c r="V9" i="22"/>
  <c r="E10" i="22" s="1"/>
  <c r="X8" i="22"/>
  <c r="G9" i="22" s="1"/>
  <c r="W8" i="22"/>
  <c r="F9" i="22" s="1"/>
  <c r="V8" i="22"/>
  <c r="E9" i="22" s="1"/>
  <c r="X7" i="22"/>
  <c r="W7" i="22"/>
  <c r="F8" i="22" s="1"/>
  <c r="V7" i="22"/>
  <c r="E8" i="22" s="1"/>
  <c r="X6" i="22"/>
  <c r="G7" i="22" s="1"/>
  <c r="W6" i="22"/>
  <c r="F7" i="22" s="1"/>
  <c r="V6" i="22"/>
  <c r="E7" i="22" s="1"/>
  <c r="X5" i="22"/>
  <c r="G6" i="22" s="1"/>
  <c r="W5" i="22"/>
  <c r="F6" i="22" s="1"/>
  <c r="V5" i="22"/>
  <c r="E6" i="22" s="1"/>
  <c r="X4" i="22"/>
  <c r="G5" i="22" s="1"/>
  <c r="W4" i="22"/>
  <c r="F5" i="22" s="1"/>
  <c r="V4" i="22"/>
  <c r="E5" i="22" s="1"/>
  <c r="X3" i="22"/>
  <c r="G4" i="22" s="1"/>
  <c r="W3" i="22"/>
  <c r="F4" i="22" s="1"/>
  <c r="V3" i="22"/>
  <c r="E4" i="22" s="1"/>
  <c r="Q34" i="22"/>
  <c r="P34" i="22"/>
  <c r="O34" i="22"/>
  <c r="Q33" i="22"/>
  <c r="P33" i="22"/>
  <c r="O33" i="22"/>
  <c r="Q32" i="22"/>
  <c r="P32" i="22"/>
  <c r="O32" i="22"/>
  <c r="Q31" i="22"/>
  <c r="P31" i="22"/>
  <c r="O31" i="22"/>
  <c r="Q30" i="22"/>
  <c r="P30" i="22"/>
  <c r="O30" i="22"/>
  <c r="Q29" i="22"/>
  <c r="P29" i="22"/>
  <c r="O29" i="22"/>
  <c r="Q28" i="22"/>
  <c r="P28" i="22"/>
  <c r="O28" i="22"/>
  <c r="Q27" i="22"/>
  <c r="P27" i="22"/>
  <c r="O27" i="22"/>
  <c r="Q26" i="22"/>
  <c r="P26" i="22"/>
  <c r="O26" i="22"/>
  <c r="Q25" i="22"/>
  <c r="P25" i="22"/>
  <c r="O25" i="22"/>
  <c r="Q24" i="22"/>
  <c r="P24" i="22"/>
  <c r="O24" i="22"/>
  <c r="Q23" i="22"/>
  <c r="P23" i="22"/>
  <c r="O23" i="22"/>
  <c r="Q22" i="22"/>
  <c r="P22" i="22"/>
  <c r="O22" i="22"/>
  <c r="Q21" i="22"/>
  <c r="P21" i="22"/>
  <c r="O21" i="22"/>
  <c r="Q20" i="22"/>
  <c r="P20" i="22"/>
  <c r="O20" i="22"/>
  <c r="Q19" i="22"/>
  <c r="P19" i="22"/>
  <c r="O19" i="22"/>
  <c r="Q18" i="22"/>
  <c r="P18" i="22"/>
  <c r="O18" i="22"/>
  <c r="Q17" i="22"/>
  <c r="P17" i="22"/>
  <c r="O17" i="22"/>
  <c r="Q16" i="22"/>
  <c r="P16" i="22"/>
  <c r="O16" i="22"/>
  <c r="Q15" i="22"/>
  <c r="P15" i="22"/>
  <c r="O15" i="22"/>
  <c r="Q14" i="22"/>
  <c r="P14" i="22"/>
  <c r="O14" i="22"/>
  <c r="Q13" i="22"/>
  <c r="P13" i="22"/>
  <c r="O13" i="22"/>
  <c r="Q12" i="22"/>
  <c r="P12" i="22"/>
  <c r="O12" i="22"/>
  <c r="Q11" i="22"/>
  <c r="P11" i="22"/>
  <c r="O11" i="22"/>
  <c r="Q10" i="22"/>
  <c r="P10" i="22"/>
  <c r="O10" i="22"/>
  <c r="Q9" i="22"/>
  <c r="P9" i="22"/>
  <c r="O9" i="22"/>
  <c r="Q8" i="22"/>
  <c r="P8" i="22"/>
  <c r="O8" i="22"/>
  <c r="Q7" i="22"/>
  <c r="P7" i="22"/>
  <c r="O7" i="22"/>
  <c r="Q6" i="22"/>
  <c r="P6" i="22"/>
  <c r="O6" i="22"/>
  <c r="Q5" i="22"/>
  <c r="P5" i="22"/>
  <c r="O5" i="22"/>
  <c r="Q4" i="22"/>
  <c r="P4" i="22"/>
  <c r="O4" i="22"/>
  <c r="Q3" i="22"/>
  <c r="P3" i="22"/>
  <c r="O3" i="22"/>
  <c r="X34" i="15"/>
  <c r="W34" i="15"/>
  <c r="F35" i="15" s="1"/>
  <c r="V34" i="15"/>
  <c r="E35" i="15" s="1"/>
  <c r="X33" i="15"/>
  <c r="G34" i="15" s="1"/>
  <c r="W33" i="15"/>
  <c r="F34" i="15" s="1"/>
  <c r="V33" i="15"/>
  <c r="E34" i="15" s="1"/>
  <c r="X32" i="15"/>
  <c r="G33" i="15" s="1"/>
  <c r="W32" i="15"/>
  <c r="F33" i="15" s="1"/>
  <c r="V32" i="15"/>
  <c r="E33" i="15" s="1"/>
  <c r="X31" i="15"/>
  <c r="G32" i="15" s="1"/>
  <c r="W31" i="15"/>
  <c r="F32" i="15" s="1"/>
  <c r="V31" i="15"/>
  <c r="E32" i="15" s="1"/>
  <c r="X30" i="15"/>
  <c r="W30" i="15"/>
  <c r="F31" i="15" s="1"/>
  <c r="V30" i="15"/>
  <c r="E31" i="15" s="1"/>
  <c r="X29" i="15"/>
  <c r="G30" i="15" s="1"/>
  <c r="W29" i="15"/>
  <c r="V29" i="15"/>
  <c r="E30" i="15" s="1"/>
  <c r="X28" i="15"/>
  <c r="W28" i="15"/>
  <c r="F29" i="15" s="1"/>
  <c r="V28" i="15"/>
  <c r="X27" i="15"/>
  <c r="G28" i="15" s="1"/>
  <c r="W27" i="15"/>
  <c r="F28" i="15" s="1"/>
  <c r="V27" i="15"/>
  <c r="E28" i="15" s="1"/>
  <c r="X26" i="15"/>
  <c r="W26" i="15"/>
  <c r="F27" i="15" s="1"/>
  <c r="V26" i="15"/>
  <c r="E27" i="15" s="1"/>
  <c r="X25" i="15"/>
  <c r="G26" i="15" s="1"/>
  <c r="W25" i="15"/>
  <c r="V25" i="15"/>
  <c r="E26" i="15" s="1"/>
  <c r="X24" i="15"/>
  <c r="G25" i="15" s="1"/>
  <c r="W24" i="15"/>
  <c r="F25" i="15" s="1"/>
  <c r="V24" i="15"/>
  <c r="X23" i="15"/>
  <c r="G24" i="15" s="1"/>
  <c r="W23" i="15"/>
  <c r="F24" i="15" s="1"/>
  <c r="V23" i="15"/>
  <c r="E24" i="15" s="1"/>
  <c r="X22" i="15"/>
  <c r="W22" i="15"/>
  <c r="F23" i="15" s="1"/>
  <c r="V22" i="15"/>
  <c r="E23" i="15" s="1"/>
  <c r="X21" i="15"/>
  <c r="G22" i="15" s="1"/>
  <c r="W21" i="15"/>
  <c r="F22" i="15" s="1"/>
  <c r="V21" i="15"/>
  <c r="E22" i="15" s="1"/>
  <c r="X20" i="15"/>
  <c r="G21" i="15" s="1"/>
  <c r="W20" i="15"/>
  <c r="F21" i="15" s="1"/>
  <c r="V20" i="15"/>
  <c r="E21" i="15" s="1"/>
  <c r="X19" i="15"/>
  <c r="G20" i="15" s="1"/>
  <c r="W19" i="15"/>
  <c r="F20" i="15" s="1"/>
  <c r="V19" i="15"/>
  <c r="E20" i="15" s="1"/>
  <c r="X18" i="15"/>
  <c r="W18" i="15"/>
  <c r="F19" i="15" s="1"/>
  <c r="V18" i="15"/>
  <c r="E19" i="15" s="1"/>
  <c r="X17" i="15"/>
  <c r="G18" i="15" s="1"/>
  <c r="W17" i="15"/>
  <c r="V17" i="15"/>
  <c r="E18" i="15" s="1"/>
  <c r="X16" i="15"/>
  <c r="G17" i="15" s="1"/>
  <c r="W16" i="15"/>
  <c r="F17" i="15" s="1"/>
  <c r="V16" i="15"/>
  <c r="X15" i="15"/>
  <c r="G16" i="15" s="1"/>
  <c r="W15" i="15"/>
  <c r="F16" i="15" s="1"/>
  <c r="V15" i="15"/>
  <c r="E16" i="15" s="1"/>
  <c r="X14" i="15"/>
  <c r="W14" i="15"/>
  <c r="F15" i="15" s="1"/>
  <c r="V14" i="15"/>
  <c r="E15" i="15" s="1"/>
  <c r="X13" i="15"/>
  <c r="G14" i="15" s="1"/>
  <c r="W13" i="15"/>
  <c r="V13" i="15"/>
  <c r="E14" i="15" s="1"/>
  <c r="X12" i="15"/>
  <c r="G13" i="15" s="1"/>
  <c r="W12" i="15"/>
  <c r="F13" i="15" s="1"/>
  <c r="V12" i="15"/>
  <c r="X11" i="15"/>
  <c r="G12" i="15" s="1"/>
  <c r="W11" i="15"/>
  <c r="F12" i="15" s="1"/>
  <c r="V11" i="15"/>
  <c r="E12" i="15" s="1"/>
  <c r="X10" i="15"/>
  <c r="W10" i="15"/>
  <c r="F11" i="15" s="1"/>
  <c r="V10" i="15"/>
  <c r="E11" i="15" s="1"/>
  <c r="X9" i="15"/>
  <c r="G10" i="15" s="1"/>
  <c r="W9" i="15"/>
  <c r="V9" i="15"/>
  <c r="E10" i="15" s="1"/>
  <c r="X8" i="15"/>
  <c r="G9" i="15" s="1"/>
  <c r="W8" i="15"/>
  <c r="F9" i="15" s="1"/>
  <c r="V8" i="15"/>
  <c r="X7" i="15"/>
  <c r="G8" i="15" s="1"/>
  <c r="W7" i="15"/>
  <c r="F8" i="15" s="1"/>
  <c r="V7" i="15"/>
  <c r="E8" i="15" s="1"/>
  <c r="X6" i="15"/>
  <c r="G7" i="15" s="1"/>
  <c r="W6" i="15"/>
  <c r="F7" i="15" s="1"/>
  <c r="V6" i="15"/>
  <c r="E7" i="15" s="1"/>
  <c r="X5" i="15"/>
  <c r="G6" i="15" s="1"/>
  <c r="W5" i="15"/>
  <c r="F6" i="15" s="1"/>
  <c r="V5" i="15"/>
  <c r="E6" i="15" s="1"/>
  <c r="X4" i="15"/>
  <c r="G5" i="15" s="1"/>
  <c r="W4" i="15"/>
  <c r="F5" i="15" s="1"/>
  <c r="V4" i="15"/>
  <c r="E5" i="15" s="1"/>
  <c r="X3" i="15"/>
  <c r="G4" i="15" s="1"/>
  <c r="W3" i="15"/>
  <c r="F4" i="15" s="1"/>
  <c r="V3" i="15"/>
  <c r="E4" i="15" s="1"/>
  <c r="Q34" i="15"/>
  <c r="D35" i="15" s="1"/>
  <c r="P34" i="15"/>
  <c r="C35" i="15" s="1"/>
  <c r="O34" i="15"/>
  <c r="B35" i="15" s="1"/>
  <c r="Q33" i="15"/>
  <c r="D34" i="15" s="1"/>
  <c r="P33" i="15"/>
  <c r="O33" i="15"/>
  <c r="B34" i="15" s="1"/>
  <c r="Q32" i="15"/>
  <c r="D33" i="15" s="1"/>
  <c r="P32" i="15"/>
  <c r="C33" i="15" s="1"/>
  <c r="O32" i="15"/>
  <c r="B33" i="15" s="1"/>
  <c r="Q31" i="15"/>
  <c r="D32" i="15" s="1"/>
  <c r="P31" i="15"/>
  <c r="C32" i="15" s="1"/>
  <c r="O31" i="15"/>
  <c r="B32" i="15" s="1"/>
  <c r="Q30" i="15"/>
  <c r="D31" i="15" s="1"/>
  <c r="P30" i="15"/>
  <c r="C31" i="15" s="1"/>
  <c r="O30" i="15"/>
  <c r="B31" i="15" s="1"/>
  <c r="Q29" i="15"/>
  <c r="D30" i="15" s="1"/>
  <c r="P29" i="15"/>
  <c r="C30" i="15" s="1"/>
  <c r="O29" i="15"/>
  <c r="B30" i="15" s="1"/>
  <c r="Q28" i="15"/>
  <c r="D29" i="15" s="1"/>
  <c r="P28" i="15"/>
  <c r="C29" i="15" s="1"/>
  <c r="O28" i="15"/>
  <c r="B29" i="15" s="1"/>
  <c r="Q27" i="15"/>
  <c r="D28" i="15" s="1"/>
  <c r="P27" i="15"/>
  <c r="C28" i="15" s="1"/>
  <c r="O27" i="15"/>
  <c r="B28" i="15" s="1"/>
  <c r="Q26" i="15"/>
  <c r="D27" i="15" s="1"/>
  <c r="P26" i="15"/>
  <c r="C27" i="15" s="1"/>
  <c r="O26" i="15"/>
  <c r="B27" i="15" s="1"/>
  <c r="Q25" i="15"/>
  <c r="D26" i="15" s="1"/>
  <c r="P25" i="15"/>
  <c r="O25" i="15"/>
  <c r="B26" i="15" s="1"/>
  <c r="Q24" i="15"/>
  <c r="D25" i="15" s="1"/>
  <c r="P24" i="15"/>
  <c r="C25" i="15" s="1"/>
  <c r="O24" i="15"/>
  <c r="B25" i="15" s="1"/>
  <c r="Q23" i="15"/>
  <c r="D24" i="15" s="1"/>
  <c r="P23" i="15"/>
  <c r="C24" i="15" s="1"/>
  <c r="O23" i="15"/>
  <c r="B24" i="15" s="1"/>
  <c r="Q22" i="15"/>
  <c r="D23" i="15" s="1"/>
  <c r="P22" i="15"/>
  <c r="C23" i="15" s="1"/>
  <c r="O22" i="15"/>
  <c r="B23" i="15" s="1"/>
  <c r="Q21" i="15"/>
  <c r="D22" i="15" s="1"/>
  <c r="P21" i="15"/>
  <c r="C22" i="15" s="1"/>
  <c r="O21" i="15"/>
  <c r="B22" i="15" s="1"/>
  <c r="Q20" i="15"/>
  <c r="D21" i="15" s="1"/>
  <c r="P20" i="15"/>
  <c r="C21" i="15" s="1"/>
  <c r="O20" i="15"/>
  <c r="B21" i="15" s="1"/>
  <c r="Q19" i="15"/>
  <c r="P19" i="15"/>
  <c r="C20" i="15" s="1"/>
  <c r="O19" i="15"/>
  <c r="B20" i="15" s="1"/>
  <c r="Q18" i="15"/>
  <c r="P18" i="15"/>
  <c r="C19" i="15" s="1"/>
  <c r="O18" i="15"/>
  <c r="B19" i="15" s="1"/>
  <c r="Q17" i="15"/>
  <c r="D18" i="15" s="1"/>
  <c r="P17" i="15"/>
  <c r="C18" i="15" s="1"/>
  <c r="O17" i="15"/>
  <c r="B18" i="15" s="1"/>
  <c r="Q16" i="15"/>
  <c r="D17" i="15" s="1"/>
  <c r="P16" i="15"/>
  <c r="C17" i="15" s="1"/>
  <c r="O16" i="15"/>
  <c r="B17" i="15" s="1"/>
  <c r="Q15" i="15"/>
  <c r="D16" i="15" s="1"/>
  <c r="P15" i="15"/>
  <c r="C16" i="15" s="1"/>
  <c r="O15" i="15"/>
  <c r="B16" i="15" s="1"/>
  <c r="Q14" i="15"/>
  <c r="D15" i="15" s="1"/>
  <c r="P14" i="15"/>
  <c r="C15" i="15" s="1"/>
  <c r="O14" i="15"/>
  <c r="B15" i="15" s="1"/>
  <c r="Q13" i="15"/>
  <c r="D14" i="15" s="1"/>
  <c r="P13" i="15"/>
  <c r="C14" i="15" s="1"/>
  <c r="O13" i="15"/>
  <c r="B14" i="15" s="1"/>
  <c r="Q12" i="15"/>
  <c r="D13" i="15" s="1"/>
  <c r="P12" i="15"/>
  <c r="C13" i="15" s="1"/>
  <c r="O12" i="15"/>
  <c r="Q11" i="15"/>
  <c r="D12" i="15" s="1"/>
  <c r="P11" i="15"/>
  <c r="C12" i="15" s="1"/>
  <c r="O11" i="15"/>
  <c r="B12" i="15" s="1"/>
  <c r="Q10" i="15"/>
  <c r="P10" i="15"/>
  <c r="C11" i="15" s="1"/>
  <c r="O10" i="15"/>
  <c r="B11" i="15" s="1"/>
  <c r="Q9" i="15"/>
  <c r="D10" i="15" s="1"/>
  <c r="P9" i="15"/>
  <c r="C10" i="15" s="1"/>
  <c r="O9" i="15"/>
  <c r="B10" i="15" s="1"/>
  <c r="Q8" i="15"/>
  <c r="D9" i="15" s="1"/>
  <c r="P8" i="15"/>
  <c r="C9" i="15" s="1"/>
  <c r="O8" i="15"/>
  <c r="B9" i="15" s="1"/>
  <c r="Q7" i="15"/>
  <c r="D8" i="15" s="1"/>
  <c r="P7" i="15"/>
  <c r="C8" i="15" s="1"/>
  <c r="O7" i="15"/>
  <c r="B8" i="15" s="1"/>
  <c r="Q6" i="15"/>
  <c r="D7" i="15" s="1"/>
  <c r="P6" i="15"/>
  <c r="C7" i="15" s="1"/>
  <c r="O6" i="15"/>
  <c r="B7" i="15" s="1"/>
  <c r="Q5" i="15"/>
  <c r="D6" i="15" s="1"/>
  <c r="P5" i="15"/>
  <c r="C6" i="15" s="1"/>
  <c r="O5" i="15"/>
  <c r="B6" i="15" s="1"/>
  <c r="Q4" i="15"/>
  <c r="D5" i="15" s="1"/>
  <c r="P4" i="15"/>
  <c r="C5" i="15" s="1"/>
  <c r="O4" i="15"/>
  <c r="B5" i="15" s="1"/>
  <c r="Q3" i="15"/>
  <c r="D4" i="15" s="1"/>
  <c r="P3" i="15"/>
  <c r="O3" i="15"/>
  <c r="B4" i="15" s="1"/>
  <c r="X34" i="14"/>
  <c r="G35" i="14" s="1"/>
  <c r="W34" i="14"/>
  <c r="F35" i="14" s="1"/>
  <c r="V34" i="14"/>
  <c r="E35" i="14" s="1"/>
  <c r="X33" i="14"/>
  <c r="G34" i="14" s="1"/>
  <c r="W33" i="14"/>
  <c r="V33" i="14"/>
  <c r="E34" i="14" s="1"/>
  <c r="X32" i="14"/>
  <c r="G33" i="14" s="1"/>
  <c r="W32" i="14"/>
  <c r="F33" i="14" s="1"/>
  <c r="V32" i="14"/>
  <c r="E33" i="14" s="1"/>
  <c r="X31" i="14"/>
  <c r="G32" i="14" s="1"/>
  <c r="W31" i="14"/>
  <c r="F32" i="14" s="1"/>
  <c r="V31" i="14"/>
  <c r="E32" i="14" s="1"/>
  <c r="X30" i="14"/>
  <c r="G31" i="14" s="1"/>
  <c r="W30" i="14"/>
  <c r="F31" i="14" s="1"/>
  <c r="V30" i="14"/>
  <c r="E31" i="14" s="1"/>
  <c r="X29" i="14"/>
  <c r="G30" i="14" s="1"/>
  <c r="W29" i="14"/>
  <c r="F30" i="14" s="1"/>
  <c r="V29" i="14"/>
  <c r="E30" i="14" s="1"/>
  <c r="X28" i="14"/>
  <c r="G29" i="14" s="1"/>
  <c r="W28" i="14"/>
  <c r="F29" i="14" s="1"/>
  <c r="V28" i="14"/>
  <c r="E29" i="14" s="1"/>
  <c r="X27" i="14"/>
  <c r="G28" i="14" s="1"/>
  <c r="W27" i="14"/>
  <c r="F28" i="14" s="1"/>
  <c r="V27" i="14"/>
  <c r="E28" i="14" s="1"/>
  <c r="X26" i="14"/>
  <c r="G27" i="14" s="1"/>
  <c r="W26" i="14"/>
  <c r="F27" i="14" s="1"/>
  <c r="V26" i="14"/>
  <c r="E27" i="14" s="1"/>
  <c r="X25" i="14"/>
  <c r="G26" i="14" s="1"/>
  <c r="W25" i="14"/>
  <c r="F26" i="14" s="1"/>
  <c r="V25" i="14"/>
  <c r="E26" i="14" s="1"/>
  <c r="X24" i="14"/>
  <c r="G25" i="14" s="1"/>
  <c r="W24" i="14"/>
  <c r="F25" i="14" s="1"/>
  <c r="V24" i="14"/>
  <c r="X23" i="14"/>
  <c r="G24" i="14" s="1"/>
  <c r="W23" i="14"/>
  <c r="F24" i="14" s="1"/>
  <c r="V23" i="14"/>
  <c r="E24" i="14" s="1"/>
  <c r="X22" i="14"/>
  <c r="G23" i="14" s="1"/>
  <c r="W22" i="14"/>
  <c r="F23" i="14" s="1"/>
  <c r="V22" i="14"/>
  <c r="E23" i="14" s="1"/>
  <c r="X21" i="14"/>
  <c r="G22" i="14" s="1"/>
  <c r="W21" i="14"/>
  <c r="V21" i="14"/>
  <c r="X20" i="14"/>
  <c r="G21" i="14" s="1"/>
  <c r="W20" i="14"/>
  <c r="F21" i="14" s="1"/>
  <c r="V20" i="14"/>
  <c r="X19" i="14"/>
  <c r="G20" i="14" s="1"/>
  <c r="W19" i="14"/>
  <c r="V19" i="14"/>
  <c r="E20" i="14" s="1"/>
  <c r="X18" i="14"/>
  <c r="W18" i="14"/>
  <c r="F19" i="14" s="1"/>
  <c r="V18" i="14"/>
  <c r="E19" i="14" s="1"/>
  <c r="X17" i="14"/>
  <c r="G18" i="14" s="1"/>
  <c r="W17" i="14"/>
  <c r="V17" i="14"/>
  <c r="X16" i="14"/>
  <c r="G17" i="14" s="1"/>
  <c r="W16" i="14"/>
  <c r="F17" i="14" s="1"/>
  <c r="V16" i="14"/>
  <c r="X15" i="14"/>
  <c r="G16" i="14" s="1"/>
  <c r="W15" i="14"/>
  <c r="F16" i="14" s="1"/>
  <c r="V15" i="14"/>
  <c r="E16" i="14" s="1"/>
  <c r="X14" i="14"/>
  <c r="G15" i="14" s="1"/>
  <c r="W14" i="14"/>
  <c r="F15" i="14" s="1"/>
  <c r="V14" i="14"/>
  <c r="X13" i="14"/>
  <c r="G14" i="14" s="1"/>
  <c r="W13" i="14"/>
  <c r="V13" i="14"/>
  <c r="E14" i="14" s="1"/>
  <c r="X12" i="14"/>
  <c r="G13" i="14" s="1"/>
  <c r="W12" i="14"/>
  <c r="F13" i="14" s="1"/>
  <c r="V12" i="14"/>
  <c r="E13" i="14" s="1"/>
  <c r="X11" i="14"/>
  <c r="G12" i="14" s="1"/>
  <c r="W11" i="14"/>
  <c r="F12" i="14" s="1"/>
  <c r="V11" i="14"/>
  <c r="E12" i="14" s="1"/>
  <c r="X10" i="14"/>
  <c r="W10" i="14"/>
  <c r="F11" i="14" s="1"/>
  <c r="V10" i="14"/>
  <c r="E11" i="14" s="1"/>
  <c r="X9" i="14"/>
  <c r="G10" i="14" s="1"/>
  <c r="W9" i="14"/>
  <c r="V9" i="14"/>
  <c r="E10" i="14" s="1"/>
  <c r="X8" i="14"/>
  <c r="G9" i="14" s="1"/>
  <c r="W8" i="14"/>
  <c r="F9" i="14" s="1"/>
  <c r="V8" i="14"/>
  <c r="X7" i="14"/>
  <c r="G8" i="14" s="1"/>
  <c r="W7" i="14"/>
  <c r="F8" i="14" s="1"/>
  <c r="V7" i="14"/>
  <c r="E8" i="14" s="1"/>
  <c r="X6" i="14"/>
  <c r="W6" i="14"/>
  <c r="F7" i="14" s="1"/>
  <c r="V6" i="14"/>
  <c r="E7" i="14" s="1"/>
  <c r="X5" i="14"/>
  <c r="G6" i="14" s="1"/>
  <c r="W5" i="14"/>
  <c r="V5" i="14"/>
  <c r="E6" i="14" s="1"/>
  <c r="X4" i="14"/>
  <c r="G5" i="14" s="1"/>
  <c r="W4" i="14"/>
  <c r="F5" i="14" s="1"/>
  <c r="V4" i="14"/>
  <c r="X3" i="14"/>
  <c r="G4" i="14" s="1"/>
  <c r="W3" i="14"/>
  <c r="F4" i="14" s="1"/>
  <c r="V3" i="14"/>
  <c r="E4" i="14" s="1"/>
  <c r="Q34" i="14"/>
  <c r="P34" i="14"/>
  <c r="C35" i="14" s="1"/>
  <c r="O34" i="14"/>
  <c r="B35" i="14" s="1"/>
  <c r="Q33" i="14"/>
  <c r="D34" i="14" s="1"/>
  <c r="P33" i="14"/>
  <c r="C34" i="14" s="1"/>
  <c r="O33" i="14"/>
  <c r="B34" i="14" s="1"/>
  <c r="Q32" i="14"/>
  <c r="D33" i="14" s="1"/>
  <c r="P32" i="14"/>
  <c r="C33" i="14" s="1"/>
  <c r="O32" i="14"/>
  <c r="B33" i="14" s="1"/>
  <c r="Q31" i="14"/>
  <c r="D32" i="14" s="1"/>
  <c r="P31" i="14"/>
  <c r="C32" i="14" s="1"/>
  <c r="O31" i="14"/>
  <c r="B32" i="14" s="1"/>
  <c r="Q30" i="14"/>
  <c r="D31" i="14" s="1"/>
  <c r="P30" i="14"/>
  <c r="C31" i="14" s="1"/>
  <c r="O30" i="14"/>
  <c r="B31" i="14" s="1"/>
  <c r="Q29" i="14"/>
  <c r="D30" i="14" s="1"/>
  <c r="P29" i="14"/>
  <c r="C30" i="14" s="1"/>
  <c r="O29" i="14"/>
  <c r="B30" i="14" s="1"/>
  <c r="Q28" i="14"/>
  <c r="D29" i="14" s="1"/>
  <c r="P28" i="14"/>
  <c r="C29" i="14" s="1"/>
  <c r="O28" i="14"/>
  <c r="B29" i="14" s="1"/>
  <c r="Q27" i="14"/>
  <c r="D28" i="14" s="1"/>
  <c r="P27" i="14"/>
  <c r="C28" i="14" s="1"/>
  <c r="O27" i="14"/>
  <c r="B28" i="14" s="1"/>
  <c r="Q26" i="14"/>
  <c r="D27" i="14" s="1"/>
  <c r="P26" i="14"/>
  <c r="C27" i="14" s="1"/>
  <c r="O26" i="14"/>
  <c r="B27" i="14" s="1"/>
  <c r="Q25" i="14"/>
  <c r="D26" i="14" s="1"/>
  <c r="P25" i="14"/>
  <c r="O25" i="14"/>
  <c r="B26" i="14" s="1"/>
  <c r="Q24" i="14"/>
  <c r="D25" i="14" s="1"/>
  <c r="P24" i="14"/>
  <c r="C25" i="14" s="1"/>
  <c r="O24" i="14"/>
  <c r="B25" i="14" s="1"/>
  <c r="Q23" i="14"/>
  <c r="D24" i="14" s="1"/>
  <c r="P23" i="14"/>
  <c r="C24" i="14" s="1"/>
  <c r="O23" i="14"/>
  <c r="B24" i="14" s="1"/>
  <c r="Q22" i="14"/>
  <c r="D23" i="14" s="1"/>
  <c r="P22" i="14"/>
  <c r="C23" i="14" s="1"/>
  <c r="O22" i="14"/>
  <c r="B23" i="14" s="1"/>
  <c r="Q21" i="14"/>
  <c r="D22" i="14" s="1"/>
  <c r="P21" i="14"/>
  <c r="C22" i="14" s="1"/>
  <c r="O21" i="14"/>
  <c r="B22" i="14" s="1"/>
  <c r="Q20" i="14"/>
  <c r="D21" i="14" s="1"/>
  <c r="P20" i="14"/>
  <c r="C21" i="14" s="1"/>
  <c r="O20" i="14"/>
  <c r="B21" i="14" s="1"/>
  <c r="Q19" i="14"/>
  <c r="D20" i="14" s="1"/>
  <c r="P19" i="14"/>
  <c r="C20" i="14" s="1"/>
  <c r="O19" i="14"/>
  <c r="B20" i="14" s="1"/>
  <c r="Q18" i="14"/>
  <c r="D19" i="14" s="1"/>
  <c r="P18" i="14"/>
  <c r="C19" i="14" s="1"/>
  <c r="O18" i="14"/>
  <c r="B19" i="14" s="1"/>
  <c r="Q17" i="14"/>
  <c r="D18" i="14" s="1"/>
  <c r="P17" i="14"/>
  <c r="C18" i="14" s="1"/>
  <c r="O17" i="14"/>
  <c r="B18" i="14" s="1"/>
  <c r="Q16" i="14"/>
  <c r="D17" i="14" s="1"/>
  <c r="P16" i="14"/>
  <c r="C17" i="14" s="1"/>
  <c r="O16" i="14"/>
  <c r="B17" i="14" s="1"/>
  <c r="Q15" i="14"/>
  <c r="D16" i="14" s="1"/>
  <c r="P15" i="14"/>
  <c r="C16" i="14" s="1"/>
  <c r="O15" i="14"/>
  <c r="B16" i="14" s="1"/>
  <c r="Q14" i="14"/>
  <c r="D15" i="14" s="1"/>
  <c r="P14" i="14"/>
  <c r="C15" i="14" s="1"/>
  <c r="O14" i="14"/>
  <c r="B15" i="14" s="1"/>
  <c r="Q13" i="14"/>
  <c r="D14" i="14" s="1"/>
  <c r="P13" i="14"/>
  <c r="C14" i="14" s="1"/>
  <c r="O13" i="14"/>
  <c r="B14" i="14" s="1"/>
  <c r="Q12" i="14"/>
  <c r="D13" i="14" s="1"/>
  <c r="P12" i="14"/>
  <c r="C13" i="14" s="1"/>
  <c r="O12" i="14"/>
  <c r="B13" i="14" s="1"/>
  <c r="Q11" i="14"/>
  <c r="D12" i="14" s="1"/>
  <c r="P11" i="14"/>
  <c r="C12" i="14" s="1"/>
  <c r="O11" i="14"/>
  <c r="B12" i="14" s="1"/>
  <c r="Q10" i="14"/>
  <c r="D11" i="14" s="1"/>
  <c r="P10" i="14"/>
  <c r="C11" i="14" s="1"/>
  <c r="O10" i="14"/>
  <c r="B11" i="14" s="1"/>
  <c r="Q9" i="14"/>
  <c r="D10" i="14" s="1"/>
  <c r="P9" i="14"/>
  <c r="C10" i="14" s="1"/>
  <c r="O9" i="14"/>
  <c r="B10" i="14" s="1"/>
  <c r="Q8" i="14"/>
  <c r="D9" i="14" s="1"/>
  <c r="P8" i="14"/>
  <c r="C9" i="14" s="1"/>
  <c r="O8" i="14"/>
  <c r="B9" i="14" s="1"/>
  <c r="Q7" i="14"/>
  <c r="D8" i="14" s="1"/>
  <c r="P7" i="14"/>
  <c r="C8" i="14" s="1"/>
  <c r="O7" i="14"/>
  <c r="B8" i="14" s="1"/>
  <c r="Q6" i="14"/>
  <c r="D7" i="14" s="1"/>
  <c r="P6" i="14"/>
  <c r="C7" i="14" s="1"/>
  <c r="O6" i="14"/>
  <c r="B7" i="14" s="1"/>
  <c r="Q5" i="14"/>
  <c r="D6" i="14" s="1"/>
  <c r="P5" i="14"/>
  <c r="C6" i="14" s="1"/>
  <c r="O5" i="14"/>
  <c r="B6" i="14" s="1"/>
  <c r="Q4" i="14"/>
  <c r="D5" i="14" s="1"/>
  <c r="P4" i="14"/>
  <c r="C5" i="14" s="1"/>
  <c r="O4" i="14"/>
  <c r="B5" i="14" s="1"/>
  <c r="Q3" i="14"/>
  <c r="D4" i="14" s="1"/>
  <c r="P3" i="14"/>
  <c r="C4" i="14" s="1"/>
  <c r="O3" i="14"/>
  <c r="B4" i="14" s="1"/>
  <c r="X34" i="11"/>
  <c r="G35" i="11" s="1"/>
  <c r="W34" i="11"/>
  <c r="V34" i="11"/>
  <c r="X33" i="11"/>
  <c r="G34" i="11" s="1"/>
  <c r="W33" i="11"/>
  <c r="F34" i="11" s="1"/>
  <c r="V33" i="11"/>
  <c r="E34" i="11" s="1"/>
  <c r="X32" i="11"/>
  <c r="G33" i="11" s="1"/>
  <c r="W32" i="11"/>
  <c r="F33" i="11" s="1"/>
  <c r="V32" i="11"/>
  <c r="E33" i="11" s="1"/>
  <c r="X31" i="11"/>
  <c r="G32" i="11" s="1"/>
  <c r="W31" i="11"/>
  <c r="F32" i="11" s="1"/>
  <c r="V31" i="11"/>
  <c r="E32" i="11" s="1"/>
  <c r="X30" i="11"/>
  <c r="G31" i="11" s="1"/>
  <c r="W30" i="11"/>
  <c r="V30" i="11"/>
  <c r="E31" i="11" s="1"/>
  <c r="X29" i="11"/>
  <c r="G30" i="11" s="1"/>
  <c r="W29" i="11"/>
  <c r="F30" i="11" s="1"/>
  <c r="V29" i="11"/>
  <c r="E30" i="11" s="1"/>
  <c r="X28" i="11"/>
  <c r="G29" i="11" s="1"/>
  <c r="W28" i="11"/>
  <c r="F29" i="11" s="1"/>
  <c r="V28" i="11"/>
  <c r="E29" i="11" s="1"/>
  <c r="X27" i="11"/>
  <c r="G28" i="11" s="1"/>
  <c r="W27" i="11"/>
  <c r="F28" i="11" s="1"/>
  <c r="V27" i="11"/>
  <c r="E28" i="11" s="1"/>
  <c r="X26" i="11"/>
  <c r="G27" i="11" s="1"/>
  <c r="W26" i="11"/>
  <c r="F27" i="11" s="1"/>
  <c r="V26" i="11"/>
  <c r="E27" i="11" s="1"/>
  <c r="X25" i="11"/>
  <c r="G26" i="11" s="1"/>
  <c r="W25" i="11"/>
  <c r="F26" i="11" s="1"/>
  <c r="V25" i="11"/>
  <c r="E26" i="11" s="1"/>
  <c r="X24" i="11"/>
  <c r="G25" i="11" s="1"/>
  <c r="W24" i="11"/>
  <c r="F25" i="11" s="1"/>
  <c r="V24" i="11"/>
  <c r="E25" i="11" s="1"/>
  <c r="X23" i="11"/>
  <c r="G24" i="11" s="1"/>
  <c r="W23" i="11"/>
  <c r="F24" i="11" s="1"/>
  <c r="V23" i="11"/>
  <c r="E24" i="11" s="1"/>
  <c r="X22" i="11"/>
  <c r="G23" i="11" s="1"/>
  <c r="W22" i="11"/>
  <c r="F23" i="11" s="1"/>
  <c r="V22" i="11"/>
  <c r="E23" i="11" s="1"/>
  <c r="X21" i="11"/>
  <c r="G22" i="11" s="1"/>
  <c r="W21" i="11"/>
  <c r="V21" i="11"/>
  <c r="E22" i="11" s="1"/>
  <c r="X20" i="11"/>
  <c r="G21" i="11" s="1"/>
  <c r="W20" i="11"/>
  <c r="F21" i="11" s="1"/>
  <c r="V20" i="11"/>
  <c r="E21" i="11" s="1"/>
  <c r="X19" i="11"/>
  <c r="W19" i="11"/>
  <c r="F20" i="11" s="1"/>
  <c r="V19" i="11"/>
  <c r="E20" i="11" s="1"/>
  <c r="X18" i="11"/>
  <c r="G19" i="11" s="1"/>
  <c r="W18" i="11"/>
  <c r="F19" i="11" s="1"/>
  <c r="V18" i="11"/>
  <c r="E19" i="11" s="1"/>
  <c r="X17" i="11"/>
  <c r="G18" i="11" s="1"/>
  <c r="W17" i="11"/>
  <c r="F18" i="11" s="1"/>
  <c r="V17" i="11"/>
  <c r="E18" i="11" s="1"/>
  <c r="X16" i="11"/>
  <c r="G17" i="11" s="1"/>
  <c r="W16" i="11"/>
  <c r="F17" i="11" s="1"/>
  <c r="V16" i="11"/>
  <c r="E17" i="11" s="1"/>
  <c r="X15" i="11"/>
  <c r="G16" i="11" s="1"/>
  <c r="W15" i="11"/>
  <c r="F16" i="11" s="1"/>
  <c r="V15" i="11"/>
  <c r="E16" i="11" s="1"/>
  <c r="X14" i="11"/>
  <c r="G15" i="11" s="1"/>
  <c r="W14" i="11"/>
  <c r="F15" i="11" s="1"/>
  <c r="V14" i="11"/>
  <c r="E15" i="11" s="1"/>
  <c r="X13" i="11"/>
  <c r="G14" i="11" s="1"/>
  <c r="W13" i="11"/>
  <c r="F14" i="11" s="1"/>
  <c r="V13" i="11"/>
  <c r="E14" i="11" s="1"/>
  <c r="X12" i="11"/>
  <c r="G13" i="11" s="1"/>
  <c r="W12" i="11"/>
  <c r="F13" i="11" s="1"/>
  <c r="V12" i="11"/>
  <c r="X11" i="11"/>
  <c r="G12" i="11" s="1"/>
  <c r="W11" i="11"/>
  <c r="F12" i="11" s="1"/>
  <c r="V11" i="11"/>
  <c r="E12" i="11" s="1"/>
  <c r="X10" i="11"/>
  <c r="W10" i="11"/>
  <c r="F11" i="11" s="1"/>
  <c r="V10" i="11"/>
  <c r="E11" i="11" s="1"/>
  <c r="X9" i="11"/>
  <c r="G10" i="11" s="1"/>
  <c r="W9" i="11"/>
  <c r="F10" i="11" s="1"/>
  <c r="V9" i="11"/>
  <c r="E10" i="11" s="1"/>
  <c r="X8" i="11"/>
  <c r="G9" i="11" s="1"/>
  <c r="W8" i="11"/>
  <c r="F9" i="11" s="1"/>
  <c r="V8" i="11"/>
  <c r="E9" i="11" s="1"/>
  <c r="X7" i="11"/>
  <c r="G8" i="11" s="1"/>
  <c r="W7" i="11"/>
  <c r="F8" i="11" s="1"/>
  <c r="V7" i="11"/>
  <c r="E8" i="11" s="1"/>
  <c r="X6" i="11"/>
  <c r="G7" i="11" s="1"/>
  <c r="W6" i="11"/>
  <c r="F7" i="11" s="1"/>
  <c r="V6" i="11"/>
  <c r="E7" i="11" s="1"/>
  <c r="X5" i="11"/>
  <c r="G6" i="11" s="1"/>
  <c r="W5" i="11"/>
  <c r="F6" i="11" s="1"/>
  <c r="V5" i="11"/>
  <c r="E6" i="11" s="1"/>
  <c r="X4" i="11"/>
  <c r="G5" i="11" s="1"/>
  <c r="W4" i="11"/>
  <c r="F5" i="11" s="1"/>
  <c r="V4" i="11"/>
  <c r="X3" i="11"/>
  <c r="G4" i="11" s="1"/>
  <c r="W3" i="11"/>
  <c r="F4" i="11" s="1"/>
  <c r="V3" i="11"/>
  <c r="E4" i="11" s="1"/>
  <c r="Q34" i="11"/>
  <c r="P34" i="11"/>
  <c r="C35" i="11" s="1"/>
  <c r="O34" i="11"/>
  <c r="B35" i="11" s="1"/>
  <c r="Q33" i="11"/>
  <c r="D34" i="11" s="1"/>
  <c r="P33" i="11"/>
  <c r="C34" i="11" s="1"/>
  <c r="O33" i="11"/>
  <c r="B34" i="11" s="1"/>
  <c r="Q32" i="11"/>
  <c r="D33" i="11" s="1"/>
  <c r="P32" i="11"/>
  <c r="C33" i="11" s="1"/>
  <c r="O32" i="11"/>
  <c r="Q31" i="11"/>
  <c r="D32" i="11" s="1"/>
  <c r="P31" i="11"/>
  <c r="C32" i="11" s="1"/>
  <c r="O31" i="11"/>
  <c r="B32" i="11" s="1"/>
  <c r="Q30" i="11"/>
  <c r="P30" i="11"/>
  <c r="C31" i="11" s="1"/>
  <c r="O30" i="11"/>
  <c r="B31" i="11" s="1"/>
  <c r="Q29" i="11"/>
  <c r="D30" i="11" s="1"/>
  <c r="P29" i="11"/>
  <c r="C30" i="11" s="1"/>
  <c r="O29" i="11"/>
  <c r="B30" i="11" s="1"/>
  <c r="Q28" i="11"/>
  <c r="D29" i="11" s="1"/>
  <c r="P28" i="11"/>
  <c r="C29" i="11" s="1"/>
  <c r="O28" i="11"/>
  <c r="Q27" i="11"/>
  <c r="D28" i="11" s="1"/>
  <c r="P27" i="11"/>
  <c r="C28" i="11" s="1"/>
  <c r="O27" i="11"/>
  <c r="B28" i="11" s="1"/>
  <c r="Q26" i="11"/>
  <c r="P26" i="11"/>
  <c r="C27" i="11" s="1"/>
  <c r="O26" i="11"/>
  <c r="B27" i="11" s="1"/>
  <c r="Q25" i="11"/>
  <c r="D26" i="11" s="1"/>
  <c r="P25" i="11"/>
  <c r="C26" i="11" s="1"/>
  <c r="O25" i="11"/>
  <c r="B26" i="11" s="1"/>
  <c r="Q24" i="11"/>
  <c r="D25" i="11" s="1"/>
  <c r="P24" i="11"/>
  <c r="C25" i="11" s="1"/>
  <c r="O24" i="11"/>
  <c r="Q23" i="11"/>
  <c r="D24" i="11" s="1"/>
  <c r="P23" i="11"/>
  <c r="C24" i="11" s="1"/>
  <c r="O23" i="11"/>
  <c r="B24" i="11" s="1"/>
  <c r="Q22" i="11"/>
  <c r="D23" i="11" s="1"/>
  <c r="P22" i="11"/>
  <c r="C23" i="11" s="1"/>
  <c r="O22" i="11"/>
  <c r="B23" i="11" s="1"/>
  <c r="Q21" i="11"/>
  <c r="D22" i="11" s="1"/>
  <c r="P21" i="11"/>
  <c r="C22" i="11" s="1"/>
  <c r="O21" i="11"/>
  <c r="B22" i="11" s="1"/>
  <c r="Q20" i="11"/>
  <c r="D21" i="11" s="1"/>
  <c r="P20" i="11"/>
  <c r="C21" i="11" s="1"/>
  <c r="O20" i="11"/>
  <c r="Q19" i="11"/>
  <c r="P19" i="11"/>
  <c r="C20" i="11" s="1"/>
  <c r="O19" i="11"/>
  <c r="B20" i="11" s="1"/>
  <c r="Q18" i="11"/>
  <c r="P18" i="11"/>
  <c r="C19" i="11" s="1"/>
  <c r="O18" i="11"/>
  <c r="B19" i="11" s="1"/>
  <c r="Q17" i="11"/>
  <c r="D18" i="11" s="1"/>
  <c r="P17" i="11"/>
  <c r="C18" i="11" s="1"/>
  <c r="O17" i="11"/>
  <c r="B18" i="11" s="1"/>
  <c r="Q16" i="11"/>
  <c r="D17" i="11" s="1"/>
  <c r="P16" i="11"/>
  <c r="C17" i="11" s="1"/>
  <c r="O16" i="11"/>
  <c r="Q15" i="11"/>
  <c r="D16" i="11" s="1"/>
  <c r="P15" i="11"/>
  <c r="C16" i="11" s="1"/>
  <c r="O15" i="11"/>
  <c r="B16" i="11" s="1"/>
  <c r="Q14" i="11"/>
  <c r="P14" i="11"/>
  <c r="C15" i="11" s="1"/>
  <c r="O14" i="11"/>
  <c r="B15" i="11" s="1"/>
  <c r="Q13" i="11"/>
  <c r="D14" i="11" s="1"/>
  <c r="P13" i="11"/>
  <c r="C14" i="11" s="1"/>
  <c r="O13" i="11"/>
  <c r="B14" i="11" s="1"/>
  <c r="Q12" i="11"/>
  <c r="D13" i="11" s="1"/>
  <c r="P12" i="11"/>
  <c r="C13" i="11" s="1"/>
  <c r="O12" i="11"/>
  <c r="Q11" i="11"/>
  <c r="D12" i="11" s="1"/>
  <c r="P11" i="11"/>
  <c r="C12" i="11" s="1"/>
  <c r="O11" i="11"/>
  <c r="B12" i="11" s="1"/>
  <c r="Q10" i="11"/>
  <c r="P10" i="11"/>
  <c r="C11" i="11" s="1"/>
  <c r="O10" i="11"/>
  <c r="B11" i="11" s="1"/>
  <c r="Q9" i="11"/>
  <c r="D10" i="11" s="1"/>
  <c r="P9" i="11"/>
  <c r="C10" i="11" s="1"/>
  <c r="O9" i="11"/>
  <c r="B10" i="11" s="1"/>
  <c r="Q8" i="11"/>
  <c r="D9" i="11" s="1"/>
  <c r="P8" i="11"/>
  <c r="C9" i="11" s="1"/>
  <c r="O8" i="11"/>
  <c r="Q7" i="11"/>
  <c r="D8" i="11" s="1"/>
  <c r="P7" i="11"/>
  <c r="C8" i="11" s="1"/>
  <c r="O7" i="11"/>
  <c r="B8" i="11" s="1"/>
  <c r="Q6" i="11"/>
  <c r="P6" i="11"/>
  <c r="C7" i="11" s="1"/>
  <c r="O6" i="11"/>
  <c r="B7" i="11" s="1"/>
  <c r="Q5" i="11"/>
  <c r="D6" i="11" s="1"/>
  <c r="P5" i="11"/>
  <c r="C6" i="11" s="1"/>
  <c r="O5" i="11"/>
  <c r="B6" i="11" s="1"/>
  <c r="Q4" i="11"/>
  <c r="D5" i="11" s="1"/>
  <c r="P4" i="11"/>
  <c r="C5" i="11" s="1"/>
  <c r="O4" i="11"/>
  <c r="Q3" i="11"/>
  <c r="D4" i="11" s="1"/>
  <c r="P3" i="11"/>
  <c r="C4" i="11" s="1"/>
  <c r="O3" i="11"/>
  <c r="B4" i="11" s="1"/>
  <c r="X34" i="10"/>
  <c r="W34" i="10"/>
  <c r="F35" i="10" s="1"/>
  <c r="V34" i="10"/>
  <c r="E35" i="10" s="1"/>
  <c r="X33" i="10"/>
  <c r="G34" i="10" s="1"/>
  <c r="W33" i="10"/>
  <c r="V33" i="10"/>
  <c r="E34" i="10" s="1"/>
  <c r="X32" i="10"/>
  <c r="G33" i="10" s="1"/>
  <c r="W32" i="10"/>
  <c r="F33" i="10" s="1"/>
  <c r="V32" i="10"/>
  <c r="E33" i="10" s="1"/>
  <c r="X31" i="10"/>
  <c r="G32" i="10" s="1"/>
  <c r="W31" i="10"/>
  <c r="F32" i="10" s="1"/>
  <c r="V31" i="10"/>
  <c r="E32" i="10" s="1"/>
  <c r="X30" i="10"/>
  <c r="W30" i="10"/>
  <c r="V30" i="10"/>
  <c r="E31" i="10" s="1"/>
  <c r="X29" i="10"/>
  <c r="G30" i="10" s="1"/>
  <c r="W29" i="10"/>
  <c r="F30" i="10" s="1"/>
  <c r="V29" i="10"/>
  <c r="E30" i="10" s="1"/>
  <c r="X28" i="10"/>
  <c r="G29" i="10" s="1"/>
  <c r="W28" i="10"/>
  <c r="F29" i="10" s="1"/>
  <c r="V28" i="10"/>
  <c r="E29" i="10" s="1"/>
  <c r="X27" i="10"/>
  <c r="G28" i="10" s="1"/>
  <c r="W27" i="10"/>
  <c r="F28" i="10" s="1"/>
  <c r="V27" i="10"/>
  <c r="E28" i="10" s="1"/>
  <c r="X26" i="10"/>
  <c r="G27" i="10" s="1"/>
  <c r="W26" i="10"/>
  <c r="V26" i="10"/>
  <c r="E27" i="10" s="1"/>
  <c r="X25" i="10"/>
  <c r="G26" i="10" s="1"/>
  <c r="W25" i="10"/>
  <c r="V25" i="10"/>
  <c r="E26" i="10" s="1"/>
  <c r="X24" i="10"/>
  <c r="G25" i="10" s="1"/>
  <c r="W24" i="10"/>
  <c r="F25" i="10" s="1"/>
  <c r="V24" i="10"/>
  <c r="E25" i="10" s="1"/>
  <c r="X23" i="10"/>
  <c r="G24" i="10" s="1"/>
  <c r="W23" i="10"/>
  <c r="F24" i="10" s="1"/>
  <c r="V23" i="10"/>
  <c r="E24" i="10" s="1"/>
  <c r="X22" i="10"/>
  <c r="G23" i="10" s="1"/>
  <c r="W22" i="10"/>
  <c r="F23" i="10" s="1"/>
  <c r="V22" i="10"/>
  <c r="E23" i="10" s="1"/>
  <c r="X21" i="10"/>
  <c r="G22" i="10" s="1"/>
  <c r="W21" i="10"/>
  <c r="F22" i="10" s="1"/>
  <c r="V21" i="10"/>
  <c r="E22" i="10" s="1"/>
  <c r="X20" i="10"/>
  <c r="G21" i="10" s="1"/>
  <c r="W20" i="10"/>
  <c r="F21" i="10" s="1"/>
  <c r="V20" i="10"/>
  <c r="E21" i="10" s="1"/>
  <c r="X19" i="10"/>
  <c r="G20" i="10" s="1"/>
  <c r="W19" i="10"/>
  <c r="F20" i="10" s="1"/>
  <c r="V19" i="10"/>
  <c r="E20" i="10" s="1"/>
  <c r="X18" i="10"/>
  <c r="G19" i="10" s="1"/>
  <c r="W18" i="10"/>
  <c r="V18" i="10"/>
  <c r="E19" i="10" s="1"/>
  <c r="X17" i="10"/>
  <c r="G18" i="10" s="1"/>
  <c r="W17" i="10"/>
  <c r="V17" i="10"/>
  <c r="E18" i="10" s="1"/>
  <c r="X16" i="10"/>
  <c r="G17" i="10" s="1"/>
  <c r="W16" i="10"/>
  <c r="F17" i="10" s="1"/>
  <c r="V16" i="10"/>
  <c r="E17" i="10" s="1"/>
  <c r="X15" i="10"/>
  <c r="G16" i="10" s="1"/>
  <c r="W15" i="10"/>
  <c r="F16" i="10" s="1"/>
  <c r="V15" i="10"/>
  <c r="E16" i="10" s="1"/>
  <c r="X14" i="10"/>
  <c r="W14" i="10"/>
  <c r="F15" i="10" s="1"/>
  <c r="V14" i="10"/>
  <c r="E15" i="10" s="1"/>
  <c r="X13" i="10"/>
  <c r="G14" i="10" s="1"/>
  <c r="W13" i="10"/>
  <c r="V13" i="10"/>
  <c r="E14" i="10" s="1"/>
  <c r="X12" i="10"/>
  <c r="G13" i="10" s="1"/>
  <c r="W12" i="10"/>
  <c r="F13" i="10" s="1"/>
  <c r="V12" i="10"/>
  <c r="E13" i="10" s="1"/>
  <c r="X11" i="10"/>
  <c r="G12" i="10" s="1"/>
  <c r="W11" i="10"/>
  <c r="F12" i="10" s="1"/>
  <c r="V11" i="10"/>
  <c r="E12" i="10" s="1"/>
  <c r="X10" i="10"/>
  <c r="G11" i="10" s="1"/>
  <c r="W10" i="10"/>
  <c r="F11" i="10" s="1"/>
  <c r="V10" i="10"/>
  <c r="E11" i="10" s="1"/>
  <c r="X9" i="10"/>
  <c r="G10" i="10" s="1"/>
  <c r="W9" i="10"/>
  <c r="F10" i="10" s="1"/>
  <c r="V9" i="10"/>
  <c r="E10" i="10" s="1"/>
  <c r="X8" i="10"/>
  <c r="G9" i="10" s="1"/>
  <c r="W8" i="10"/>
  <c r="F9" i="10" s="1"/>
  <c r="V8" i="10"/>
  <c r="E9" i="10" s="1"/>
  <c r="X7" i="10"/>
  <c r="G8" i="10" s="1"/>
  <c r="W7" i="10"/>
  <c r="F8" i="10" s="1"/>
  <c r="V7" i="10"/>
  <c r="E8" i="10" s="1"/>
  <c r="X6" i="10"/>
  <c r="G7" i="10" s="1"/>
  <c r="W6" i="10"/>
  <c r="V6" i="10"/>
  <c r="E7" i="10" s="1"/>
  <c r="X5" i="10"/>
  <c r="G6" i="10" s="1"/>
  <c r="W5" i="10"/>
  <c r="F6" i="10" s="1"/>
  <c r="V5" i="10"/>
  <c r="E6" i="10" s="1"/>
  <c r="X4" i="10"/>
  <c r="G5" i="10" s="1"/>
  <c r="W4" i="10"/>
  <c r="F5" i="10" s="1"/>
  <c r="V4" i="10"/>
  <c r="E5" i="10" s="1"/>
  <c r="X3" i="10"/>
  <c r="G4" i="10" s="1"/>
  <c r="W3" i="10"/>
  <c r="F4" i="10" s="1"/>
  <c r="V3" i="10"/>
  <c r="E4" i="10" s="1"/>
  <c r="Q34" i="10"/>
  <c r="P34" i="10"/>
  <c r="O34" i="10"/>
  <c r="Q33" i="10"/>
  <c r="P33" i="10"/>
  <c r="O33" i="10"/>
  <c r="Q32" i="10"/>
  <c r="P32" i="10"/>
  <c r="O32" i="10"/>
  <c r="Q31" i="10"/>
  <c r="P31" i="10"/>
  <c r="O31" i="10"/>
  <c r="Q30" i="10"/>
  <c r="P30" i="10"/>
  <c r="O30" i="10"/>
  <c r="Q29" i="10"/>
  <c r="P29" i="10"/>
  <c r="O29" i="10"/>
  <c r="Q28" i="10"/>
  <c r="P28" i="10"/>
  <c r="O28" i="10"/>
  <c r="Q27" i="10"/>
  <c r="P27" i="10"/>
  <c r="O27" i="10"/>
  <c r="Q26" i="10"/>
  <c r="P26" i="10"/>
  <c r="O26" i="10"/>
  <c r="Q25" i="10"/>
  <c r="P25" i="10"/>
  <c r="O25" i="10"/>
  <c r="Q24" i="10"/>
  <c r="P24" i="10"/>
  <c r="O24" i="10"/>
  <c r="Q23" i="10"/>
  <c r="P23" i="10"/>
  <c r="O23" i="10"/>
  <c r="Q22" i="10"/>
  <c r="P22" i="10"/>
  <c r="O22" i="10"/>
  <c r="Q21" i="10"/>
  <c r="P21" i="10"/>
  <c r="O21" i="10"/>
  <c r="Q20" i="10"/>
  <c r="P20" i="10"/>
  <c r="O20" i="10"/>
  <c r="Q19" i="10"/>
  <c r="P19" i="10"/>
  <c r="O19" i="10"/>
  <c r="Q18" i="10"/>
  <c r="P18" i="10"/>
  <c r="O18" i="10"/>
  <c r="Q17" i="10"/>
  <c r="P17" i="10"/>
  <c r="O17" i="10"/>
  <c r="Q16" i="10"/>
  <c r="P16" i="10"/>
  <c r="O16" i="10"/>
  <c r="Q15" i="10"/>
  <c r="P15" i="10"/>
  <c r="O15" i="10"/>
  <c r="Q14" i="10"/>
  <c r="P14" i="10"/>
  <c r="O14" i="10"/>
  <c r="Q13" i="10"/>
  <c r="P13" i="10"/>
  <c r="O13" i="10"/>
  <c r="Q12" i="10"/>
  <c r="P12" i="10"/>
  <c r="O12" i="10"/>
  <c r="Q11" i="10"/>
  <c r="P11" i="10"/>
  <c r="O11" i="10"/>
  <c r="Q10" i="10"/>
  <c r="P10" i="10"/>
  <c r="O10" i="10"/>
  <c r="Q9" i="10"/>
  <c r="P9" i="10"/>
  <c r="O9" i="10"/>
  <c r="Q8" i="10"/>
  <c r="P8" i="10"/>
  <c r="O8" i="10"/>
  <c r="Q7" i="10"/>
  <c r="P7" i="10"/>
  <c r="O7" i="10"/>
  <c r="Q6" i="10"/>
  <c r="P6" i="10"/>
  <c r="O6" i="10"/>
  <c r="Q5" i="10"/>
  <c r="P5" i="10"/>
  <c r="O5" i="10"/>
  <c r="Q4" i="10"/>
  <c r="P4" i="10"/>
  <c r="O4" i="10"/>
  <c r="Q3" i="10"/>
  <c r="P3" i="10"/>
  <c r="O3" i="10"/>
  <c r="X34" i="17"/>
  <c r="W34" i="17"/>
  <c r="F35" i="17" s="1"/>
  <c r="V34" i="17"/>
  <c r="E35" i="17" s="1"/>
  <c r="X33" i="17"/>
  <c r="G34" i="17" s="1"/>
  <c r="W33" i="17"/>
  <c r="V33" i="17"/>
  <c r="E34" i="17" s="1"/>
  <c r="X32" i="17"/>
  <c r="G33" i="17" s="1"/>
  <c r="W32" i="17"/>
  <c r="F33" i="17" s="1"/>
  <c r="V32" i="17"/>
  <c r="X31" i="17"/>
  <c r="G32" i="17" s="1"/>
  <c r="W31" i="17"/>
  <c r="F32" i="17" s="1"/>
  <c r="V31" i="17"/>
  <c r="E32" i="17" s="1"/>
  <c r="X30" i="17"/>
  <c r="W30" i="17"/>
  <c r="F31" i="17" s="1"/>
  <c r="V30" i="17"/>
  <c r="E31" i="17" s="1"/>
  <c r="X29" i="17"/>
  <c r="G30" i="17" s="1"/>
  <c r="W29" i="17"/>
  <c r="V29" i="17"/>
  <c r="E30" i="17" s="1"/>
  <c r="X28" i="17"/>
  <c r="G29" i="17" s="1"/>
  <c r="W28" i="17"/>
  <c r="F29" i="17" s="1"/>
  <c r="V28" i="17"/>
  <c r="X27" i="17"/>
  <c r="G28" i="17" s="1"/>
  <c r="W27" i="17"/>
  <c r="F28" i="17" s="1"/>
  <c r="V27" i="17"/>
  <c r="E28" i="17" s="1"/>
  <c r="X26" i="17"/>
  <c r="W26" i="17"/>
  <c r="F27" i="17" s="1"/>
  <c r="V26" i="17"/>
  <c r="E27" i="17" s="1"/>
  <c r="X25" i="17"/>
  <c r="G26" i="17" s="1"/>
  <c r="W25" i="17"/>
  <c r="V25" i="17"/>
  <c r="E26" i="17" s="1"/>
  <c r="X24" i="17"/>
  <c r="G25" i="17" s="1"/>
  <c r="W24" i="17"/>
  <c r="F25" i="17" s="1"/>
  <c r="V24" i="17"/>
  <c r="X23" i="17"/>
  <c r="G24" i="17" s="1"/>
  <c r="W23" i="17"/>
  <c r="F24" i="17" s="1"/>
  <c r="V23" i="17"/>
  <c r="E24" i="17" s="1"/>
  <c r="X22" i="17"/>
  <c r="W22" i="17"/>
  <c r="F23" i="17" s="1"/>
  <c r="V22" i="17"/>
  <c r="E23" i="17" s="1"/>
  <c r="X21" i="17"/>
  <c r="G22" i="17" s="1"/>
  <c r="W21" i="17"/>
  <c r="V21" i="17"/>
  <c r="E22" i="17" s="1"/>
  <c r="X20" i="17"/>
  <c r="G21" i="17" s="1"/>
  <c r="W20" i="17"/>
  <c r="F21" i="17" s="1"/>
  <c r="V20" i="17"/>
  <c r="X19" i="17"/>
  <c r="G20" i="17" s="1"/>
  <c r="W19" i="17"/>
  <c r="F20" i="17" s="1"/>
  <c r="V19" i="17"/>
  <c r="E20" i="17" s="1"/>
  <c r="X18" i="17"/>
  <c r="W18" i="17"/>
  <c r="F19" i="17" s="1"/>
  <c r="V18" i="17"/>
  <c r="E19" i="17" s="1"/>
  <c r="X17" i="17"/>
  <c r="G18" i="17" s="1"/>
  <c r="W17" i="17"/>
  <c r="V17" i="17"/>
  <c r="E18" i="17" s="1"/>
  <c r="X16" i="17"/>
  <c r="G17" i="17" s="1"/>
  <c r="W16" i="17"/>
  <c r="F17" i="17" s="1"/>
  <c r="V16" i="17"/>
  <c r="X15" i="17"/>
  <c r="G16" i="17" s="1"/>
  <c r="W15" i="17"/>
  <c r="F16" i="17" s="1"/>
  <c r="V15" i="17"/>
  <c r="E16" i="17" s="1"/>
  <c r="X14" i="17"/>
  <c r="W14" i="17"/>
  <c r="V14" i="17"/>
  <c r="X13" i="17"/>
  <c r="W13" i="17"/>
  <c r="V13" i="17"/>
  <c r="X12" i="17"/>
  <c r="W12" i="17"/>
  <c r="V12" i="17"/>
  <c r="X11" i="17"/>
  <c r="W11" i="17"/>
  <c r="V11" i="17"/>
  <c r="X10" i="17"/>
  <c r="W10" i="17"/>
  <c r="V10" i="17"/>
  <c r="X9" i="17"/>
  <c r="W9" i="17"/>
  <c r="V9" i="17"/>
  <c r="X8" i="17"/>
  <c r="W8" i="17"/>
  <c r="V8" i="17"/>
  <c r="X7" i="17"/>
  <c r="W7" i="17"/>
  <c r="V7" i="17"/>
  <c r="X6" i="17"/>
  <c r="W6" i="17"/>
  <c r="V6" i="17"/>
  <c r="Q34" i="17"/>
  <c r="D35" i="17" s="1"/>
  <c r="P34" i="17"/>
  <c r="C35" i="17" s="1"/>
  <c r="O34" i="17"/>
  <c r="B35" i="17" s="1"/>
  <c r="Q33" i="17"/>
  <c r="D34" i="17" s="1"/>
  <c r="P33" i="17"/>
  <c r="C34" i="17" s="1"/>
  <c r="O33" i="17"/>
  <c r="B34" i="17" s="1"/>
  <c r="Q32" i="17"/>
  <c r="D33" i="17" s="1"/>
  <c r="P32" i="17"/>
  <c r="C33" i="17" s="1"/>
  <c r="O32" i="17"/>
  <c r="B33" i="17" s="1"/>
  <c r="Q31" i="17"/>
  <c r="D32" i="17" s="1"/>
  <c r="P31" i="17"/>
  <c r="C32" i="17" s="1"/>
  <c r="O31" i="17"/>
  <c r="B32" i="17" s="1"/>
  <c r="Q30" i="17"/>
  <c r="D31" i="17" s="1"/>
  <c r="P30" i="17"/>
  <c r="C31" i="17" s="1"/>
  <c r="O30" i="17"/>
  <c r="B31" i="17" s="1"/>
  <c r="Q29" i="17"/>
  <c r="D30" i="17" s="1"/>
  <c r="P29" i="17"/>
  <c r="C30" i="17" s="1"/>
  <c r="O29" i="17"/>
  <c r="B30" i="17" s="1"/>
  <c r="Q28" i="17"/>
  <c r="D29" i="17" s="1"/>
  <c r="P28" i="17"/>
  <c r="C29" i="17" s="1"/>
  <c r="O28" i="17"/>
  <c r="B29" i="17" s="1"/>
  <c r="Q27" i="17"/>
  <c r="D28" i="17" s="1"/>
  <c r="P27" i="17"/>
  <c r="C28" i="17" s="1"/>
  <c r="O27" i="17"/>
  <c r="B28" i="17" s="1"/>
  <c r="Q26" i="17"/>
  <c r="D27" i="17" s="1"/>
  <c r="P26" i="17"/>
  <c r="C27" i="17" s="1"/>
  <c r="O26" i="17"/>
  <c r="B27" i="17" s="1"/>
  <c r="Q25" i="17"/>
  <c r="D26" i="17" s="1"/>
  <c r="P25" i="17"/>
  <c r="C26" i="17" s="1"/>
  <c r="O25" i="17"/>
  <c r="B26" i="17" s="1"/>
  <c r="Q24" i="17"/>
  <c r="D25" i="17" s="1"/>
  <c r="P24" i="17"/>
  <c r="C25" i="17" s="1"/>
  <c r="O24" i="17"/>
  <c r="B25" i="17" s="1"/>
  <c r="Q23" i="17"/>
  <c r="D24" i="17" s="1"/>
  <c r="P23" i="17"/>
  <c r="C24" i="17" s="1"/>
  <c r="O23" i="17"/>
  <c r="B24" i="17" s="1"/>
  <c r="Q22" i="17"/>
  <c r="D23" i="17" s="1"/>
  <c r="P22" i="17"/>
  <c r="C23" i="17" s="1"/>
  <c r="O22" i="17"/>
  <c r="B23" i="17" s="1"/>
  <c r="Q21" i="17"/>
  <c r="D22" i="17" s="1"/>
  <c r="P21" i="17"/>
  <c r="C22" i="17" s="1"/>
  <c r="O21" i="17"/>
  <c r="B22" i="17" s="1"/>
  <c r="Q20" i="17"/>
  <c r="D21" i="17" s="1"/>
  <c r="P20" i="17"/>
  <c r="C21" i="17" s="1"/>
  <c r="O20" i="17"/>
  <c r="B21" i="17" s="1"/>
  <c r="Q19" i="17"/>
  <c r="D20" i="17" s="1"/>
  <c r="P19" i="17"/>
  <c r="C20" i="17" s="1"/>
  <c r="O19" i="17"/>
  <c r="B20" i="17" s="1"/>
  <c r="Q18" i="17"/>
  <c r="D19" i="17" s="1"/>
  <c r="P18" i="17"/>
  <c r="C19" i="17" s="1"/>
  <c r="O18" i="17"/>
  <c r="B19" i="17" s="1"/>
  <c r="Q17" i="17"/>
  <c r="D18" i="17" s="1"/>
  <c r="P17" i="17"/>
  <c r="C18" i="17" s="1"/>
  <c r="O17" i="17"/>
  <c r="B18" i="17" s="1"/>
  <c r="Q16" i="17"/>
  <c r="D17" i="17" s="1"/>
  <c r="P16" i="17"/>
  <c r="C17" i="17" s="1"/>
  <c r="O16" i="17"/>
  <c r="B17" i="17" s="1"/>
  <c r="Q15" i="17"/>
  <c r="D16" i="17" s="1"/>
  <c r="P15" i="17"/>
  <c r="C16" i="17" s="1"/>
  <c r="O15" i="17"/>
  <c r="B16" i="17" s="1"/>
  <c r="Q14" i="17"/>
  <c r="D15" i="17" s="1"/>
  <c r="P14" i="17"/>
  <c r="C15" i="17" s="1"/>
  <c r="O14" i="17"/>
  <c r="B15" i="17" s="1"/>
  <c r="Q13" i="17"/>
  <c r="D14" i="17" s="1"/>
  <c r="P13" i="17"/>
  <c r="C14" i="17" s="1"/>
  <c r="O13" i="17"/>
  <c r="B14" i="17" s="1"/>
  <c r="Q12" i="17"/>
  <c r="D13" i="17" s="1"/>
  <c r="P12" i="17"/>
  <c r="C13" i="17" s="1"/>
  <c r="O12" i="17"/>
  <c r="B13" i="17" s="1"/>
  <c r="Q11" i="17"/>
  <c r="D12" i="17" s="1"/>
  <c r="P11" i="17"/>
  <c r="C12" i="17" s="1"/>
  <c r="O11" i="17"/>
  <c r="B12" i="17" s="1"/>
  <c r="Q10" i="17"/>
  <c r="D11" i="17" s="1"/>
  <c r="P10" i="17"/>
  <c r="C11" i="17" s="1"/>
  <c r="O10" i="17"/>
  <c r="B11" i="17" s="1"/>
  <c r="Q9" i="17"/>
  <c r="D10" i="17" s="1"/>
  <c r="P9" i="17"/>
  <c r="C10" i="17" s="1"/>
  <c r="O9" i="17"/>
  <c r="B10" i="17" s="1"/>
  <c r="Q8" i="17"/>
  <c r="D9" i="17" s="1"/>
  <c r="P8" i="17"/>
  <c r="C9" i="17" s="1"/>
  <c r="O8" i="17"/>
  <c r="B9" i="17" s="1"/>
  <c r="Q7" i="17"/>
  <c r="D8" i="17" s="1"/>
  <c r="P7" i="17"/>
  <c r="C8" i="17" s="1"/>
  <c r="O7" i="17"/>
  <c r="B8" i="17" s="1"/>
  <c r="Q6" i="17"/>
  <c r="D7" i="17" s="1"/>
  <c r="P6" i="17"/>
  <c r="C7" i="17" s="1"/>
  <c r="O6" i="17"/>
  <c r="B7" i="17" s="1"/>
  <c r="Q5" i="17"/>
  <c r="D6" i="17" s="1"/>
  <c r="P5" i="17"/>
  <c r="C6" i="17" s="1"/>
  <c r="O5" i="17"/>
  <c r="B6" i="17" s="1"/>
  <c r="Q4" i="17"/>
  <c r="D5" i="17" s="1"/>
  <c r="P4" i="17"/>
  <c r="C5" i="17" s="1"/>
  <c r="O4" i="17"/>
  <c r="B5" i="17" s="1"/>
  <c r="Q3" i="17"/>
  <c r="D4" i="17" s="1"/>
  <c r="P3" i="17"/>
  <c r="C4" i="17" s="1"/>
  <c r="O3" i="17"/>
  <c r="B4" i="17" s="1"/>
  <c r="X34" i="19"/>
  <c r="G35" i="19" s="1"/>
  <c r="W34" i="19"/>
  <c r="V34" i="19"/>
  <c r="E35" i="19" s="1"/>
  <c r="X33" i="19"/>
  <c r="G34" i="19" s="1"/>
  <c r="W33" i="19"/>
  <c r="F34" i="19" s="1"/>
  <c r="V33" i="19"/>
  <c r="E34" i="19" s="1"/>
  <c r="X32" i="19"/>
  <c r="G33" i="19" s="1"/>
  <c r="W32" i="19"/>
  <c r="F33" i="19" s="1"/>
  <c r="V32" i="19"/>
  <c r="E33" i="19" s="1"/>
  <c r="X31" i="19"/>
  <c r="G32" i="19" s="1"/>
  <c r="W31" i="19"/>
  <c r="F32" i="19" s="1"/>
  <c r="V31" i="19"/>
  <c r="E32" i="19" s="1"/>
  <c r="X30" i="19"/>
  <c r="G31" i="19" s="1"/>
  <c r="W30" i="19"/>
  <c r="V30" i="19"/>
  <c r="E31" i="19" s="1"/>
  <c r="X29" i="19"/>
  <c r="G30" i="19" s="1"/>
  <c r="W29" i="19"/>
  <c r="F30" i="19" s="1"/>
  <c r="V29" i="19"/>
  <c r="X28" i="19"/>
  <c r="G29" i="19" s="1"/>
  <c r="W28" i="19"/>
  <c r="F29" i="19" s="1"/>
  <c r="V28" i="19"/>
  <c r="E29" i="19" s="1"/>
  <c r="X27" i="19"/>
  <c r="W27" i="19"/>
  <c r="F28" i="19" s="1"/>
  <c r="V27" i="19"/>
  <c r="E28" i="19" s="1"/>
  <c r="X26" i="19"/>
  <c r="G27" i="19" s="1"/>
  <c r="W26" i="19"/>
  <c r="V26" i="19"/>
  <c r="E27" i="19" s="1"/>
  <c r="X25" i="19"/>
  <c r="G26" i="19" s="1"/>
  <c r="W25" i="19"/>
  <c r="F26" i="19" s="1"/>
  <c r="V25" i="19"/>
  <c r="E26" i="19" s="1"/>
  <c r="X24" i="19"/>
  <c r="G25" i="19" s="1"/>
  <c r="W24" i="19"/>
  <c r="F25" i="19" s="1"/>
  <c r="V24" i="19"/>
  <c r="E25" i="19" s="1"/>
  <c r="X23" i="19"/>
  <c r="G24" i="19" s="1"/>
  <c r="W23" i="19"/>
  <c r="F24" i="19" s="1"/>
  <c r="V23" i="19"/>
  <c r="E24" i="19" s="1"/>
  <c r="X22" i="19"/>
  <c r="G23" i="19" s="1"/>
  <c r="W22" i="19"/>
  <c r="V22" i="19"/>
  <c r="E23" i="19" s="1"/>
  <c r="X21" i="19"/>
  <c r="G22" i="19" s="1"/>
  <c r="W21" i="19"/>
  <c r="F22" i="19" s="1"/>
  <c r="V21" i="19"/>
  <c r="X20" i="19"/>
  <c r="G21" i="19" s="1"/>
  <c r="W20" i="19"/>
  <c r="F21" i="19" s="1"/>
  <c r="V20" i="19"/>
  <c r="E21" i="19" s="1"/>
  <c r="X19" i="19"/>
  <c r="G20" i="19" s="1"/>
  <c r="W19" i="19"/>
  <c r="F20" i="19" s="1"/>
  <c r="V19" i="19"/>
  <c r="E20" i="19" s="1"/>
  <c r="X18" i="19"/>
  <c r="G19" i="19" s="1"/>
  <c r="W18" i="19"/>
  <c r="V18" i="19"/>
  <c r="E19" i="19" s="1"/>
  <c r="X17" i="19"/>
  <c r="G18" i="19" s="1"/>
  <c r="W17" i="19"/>
  <c r="F18" i="19" s="1"/>
  <c r="V17" i="19"/>
  <c r="X16" i="19"/>
  <c r="G17" i="19" s="1"/>
  <c r="W16" i="19"/>
  <c r="F17" i="19" s="1"/>
  <c r="V16" i="19"/>
  <c r="E17" i="19" s="1"/>
  <c r="X15" i="19"/>
  <c r="W15" i="19"/>
  <c r="F16" i="19" s="1"/>
  <c r="V15" i="19"/>
  <c r="E16" i="19" s="1"/>
  <c r="X14" i="19"/>
  <c r="G15" i="19" s="1"/>
  <c r="W14" i="19"/>
  <c r="V14" i="19"/>
  <c r="E15" i="19" s="1"/>
  <c r="X13" i="19"/>
  <c r="G14" i="19" s="1"/>
  <c r="W13" i="19"/>
  <c r="F14" i="19" s="1"/>
  <c r="V13" i="19"/>
  <c r="E14" i="19" s="1"/>
  <c r="X12" i="19"/>
  <c r="G13" i="19" s="1"/>
  <c r="W12" i="19"/>
  <c r="F13" i="19" s="1"/>
  <c r="V12" i="19"/>
  <c r="E13" i="19" s="1"/>
  <c r="X11" i="19"/>
  <c r="W11" i="19"/>
  <c r="F12" i="19" s="1"/>
  <c r="V11" i="19"/>
  <c r="E12" i="19" s="1"/>
  <c r="X10" i="19"/>
  <c r="G11" i="19" s="1"/>
  <c r="W10" i="19"/>
  <c r="F11" i="19" s="1"/>
  <c r="V10" i="19"/>
  <c r="E11" i="19" s="1"/>
  <c r="X9" i="19"/>
  <c r="G10" i="19" s="1"/>
  <c r="W9" i="19"/>
  <c r="F10" i="19" s="1"/>
  <c r="V9" i="19"/>
  <c r="X8" i="19"/>
  <c r="G9" i="19" s="1"/>
  <c r="W8" i="19"/>
  <c r="F9" i="19" s="1"/>
  <c r="V8" i="19"/>
  <c r="E9" i="19" s="1"/>
  <c r="X7" i="19"/>
  <c r="W7" i="19"/>
  <c r="F8" i="19" s="1"/>
  <c r="V7" i="19"/>
  <c r="E8" i="19" s="1"/>
  <c r="X6" i="19"/>
  <c r="G7" i="19" s="1"/>
  <c r="W6" i="19"/>
  <c r="F7" i="19" s="1"/>
  <c r="V6" i="19"/>
  <c r="E7" i="19" s="1"/>
  <c r="X5" i="19"/>
  <c r="G6" i="19" s="1"/>
  <c r="W5" i="19"/>
  <c r="F6" i="19" s="1"/>
  <c r="V5" i="19"/>
  <c r="X4" i="19"/>
  <c r="G5" i="19" s="1"/>
  <c r="W4" i="19"/>
  <c r="F5" i="19" s="1"/>
  <c r="V4" i="19"/>
  <c r="E5" i="19" s="1"/>
  <c r="X3" i="19"/>
  <c r="W3" i="19"/>
  <c r="F4" i="19" s="1"/>
  <c r="V3" i="19"/>
  <c r="E4" i="19" s="1"/>
  <c r="Q34" i="19"/>
  <c r="D35" i="19" s="1"/>
  <c r="P34" i="19"/>
  <c r="C35" i="19" s="1"/>
  <c r="O34" i="19"/>
  <c r="B35" i="19" s="1"/>
  <c r="Q33" i="19"/>
  <c r="D34" i="19" s="1"/>
  <c r="P33" i="19"/>
  <c r="C34" i="19" s="1"/>
  <c r="O33" i="19"/>
  <c r="B34" i="19" s="1"/>
  <c r="Q32" i="19"/>
  <c r="D33" i="19" s="1"/>
  <c r="P32" i="19"/>
  <c r="C33" i="19" s="1"/>
  <c r="O32" i="19"/>
  <c r="B33" i="19" s="1"/>
  <c r="Q31" i="19"/>
  <c r="D32" i="19" s="1"/>
  <c r="P31" i="19"/>
  <c r="C32" i="19" s="1"/>
  <c r="O31" i="19"/>
  <c r="B32" i="19" s="1"/>
  <c r="Q30" i="19"/>
  <c r="D31" i="19" s="1"/>
  <c r="P30" i="19"/>
  <c r="C31" i="19" s="1"/>
  <c r="O30" i="19"/>
  <c r="B31" i="19" s="1"/>
  <c r="Q29" i="19"/>
  <c r="D30" i="19" s="1"/>
  <c r="P29" i="19"/>
  <c r="C30" i="19" s="1"/>
  <c r="O29" i="19"/>
  <c r="Q28" i="19"/>
  <c r="D29" i="19" s="1"/>
  <c r="P28" i="19"/>
  <c r="C29" i="19" s="1"/>
  <c r="O28" i="19"/>
  <c r="B29" i="19" s="1"/>
  <c r="Q27" i="19"/>
  <c r="D28" i="19" s="1"/>
  <c r="P27" i="19"/>
  <c r="C28" i="19" s="1"/>
  <c r="O27" i="19"/>
  <c r="B28" i="19" s="1"/>
  <c r="Q26" i="19"/>
  <c r="D27" i="19" s="1"/>
  <c r="P26" i="19"/>
  <c r="C27" i="19" s="1"/>
  <c r="O26" i="19"/>
  <c r="B27" i="19" s="1"/>
  <c r="Q25" i="19"/>
  <c r="D26" i="19" s="1"/>
  <c r="P25" i="19"/>
  <c r="C26" i="19" s="1"/>
  <c r="O25" i="19"/>
  <c r="B26" i="19" s="1"/>
  <c r="Q24" i="19"/>
  <c r="D25" i="19" s="1"/>
  <c r="P24" i="19"/>
  <c r="C25" i="19" s="1"/>
  <c r="O24" i="19"/>
  <c r="B25" i="19" s="1"/>
  <c r="Q23" i="19"/>
  <c r="D24" i="19" s="1"/>
  <c r="P23" i="19"/>
  <c r="C24" i="19" s="1"/>
  <c r="O23" i="19"/>
  <c r="B24" i="19" s="1"/>
  <c r="Q22" i="19"/>
  <c r="D23" i="19" s="1"/>
  <c r="P22" i="19"/>
  <c r="O22" i="19"/>
  <c r="B23" i="19" s="1"/>
  <c r="Q21" i="19"/>
  <c r="D22" i="19" s="1"/>
  <c r="P21" i="19"/>
  <c r="C22" i="19" s="1"/>
  <c r="O21" i="19"/>
  <c r="B22" i="19" s="1"/>
  <c r="Q20" i="19"/>
  <c r="D21" i="19" s="1"/>
  <c r="P20" i="19"/>
  <c r="C21" i="19" s="1"/>
  <c r="O20" i="19"/>
  <c r="B21" i="19" s="1"/>
  <c r="Q19" i="19"/>
  <c r="D20" i="19" s="1"/>
  <c r="P19" i="19"/>
  <c r="C20" i="19" s="1"/>
  <c r="O19" i="19"/>
  <c r="B20" i="19" s="1"/>
  <c r="Q18" i="19"/>
  <c r="D19" i="19" s="1"/>
  <c r="P18" i="19"/>
  <c r="C19" i="19" s="1"/>
  <c r="O18" i="19"/>
  <c r="B19" i="19" s="1"/>
  <c r="Q17" i="19"/>
  <c r="D18" i="19" s="1"/>
  <c r="P17" i="19"/>
  <c r="C18" i="19" s="1"/>
  <c r="O17" i="19"/>
  <c r="B18" i="19" s="1"/>
  <c r="Q16" i="19"/>
  <c r="D17" i="19" s="1"/>
  <c r="P16" i="19"/>
  <c r="C17" i="19" s="1"/>
  <c r="O16" i="19"/>
  <c r="B17" i="19" s="1"/>
  <c r="Q15" i="19"/>
  <c r="D16" i="19" s="1"/>
  <c r="P15" i="19"/>
  <c r="C16" i="19" s="1"/>
  <c r="O15" i="19"/>
  <c r="B16" i="19" s="1"/>
  <c r="Q14" i="19"/>
  <c r="D15" i="19" s="1"/>
  <c r="P14" i="19"/>
  <c r="C15" i="19" s="1"/>
  <c r="O14" i="19"/>
  <c r="B15" i="19" s="1"/>
  <c r="Q13" i="19"/>
  <c r="D14" i="19" s="1"/>
  <c r="P13" i="19"/>
  <c r="C14" i="19" s="1"/>
  <c r="O13" i="19"/>
  <c r="B14" i="19" s="1"/>
  <c r="Q12" i="19"/>
  <c r="D13" i="19" s="1"/>
  <c r="P12" i="19"/>
  <c r="C13" i="19" s="1"/>
  <c r="O12" i="19"/>
  <c r="B13" i="19" s="1"/>
  <c r="Q11" i="19"/>
  <c r="D12" i="19" s="1"/>
  <c r="P11" i="19"/>
  <c r="C12" i="19" s="1"/>
  <c r="O11" i="19"/>
  <c r="B12" i="19" s="1"/>
  <c r="Q10" i="19"/>
  <c r="D11" i="19" s="1"/>
  <c r="P10" i="19"/>
  <c r="C11" i="19" s="1"/>
  <c r="O10" i="19"/>
  <c r="B11" i="19" s="1"/>
  <c r="Q9" i="19"/>
  <c r="D10" i="19" s="1"/>
  <c r="P9" i="19"/>
  <c r="C10" i="19" s="1"/>
  <c r="O9" i="19"/>
  <c r="B10" i="19" s="1"/>
  <c r="Q8" i="19"/>
  <c r="D9" i="19" s="1"/>
  <c r="P8" i="19"/>
  <c r="C9" i="19" s="1"/>
  <c r="O8" i="19"/>
  <c r="B9" i="19" s="1"/>
  <c r="Q7" i="19"/>
  <c r="D8" i="19" s="1"/>
  <c r="P7" i="19"/>
  <c r="C8" i="19" s="1"/>
  <c r="O7" i="19"/>
  <c r="B8" i="19" s="1"/>
  <c r="Q6" i="19"/>
  <c r="D7" i="19" s="1"/>
  <c r="P6" i="19"/>
  <c r="C7" i="19" s="1"/>
  <c r="O6" i="19"/>
  <c r="B7" i="19" s="1"/>
  <c r="Q5" i="19"/>
  <c r="D6" i="19" s="1"/>
  <c r="P5" i="19"/>
  <c r="C6" i="19" s="1"/>
  <c r="O5" i="19"/>
  <c r="B6" i="19" s="1"/>
  <c r="Q4" i="19"/>
  <c r="D5" i="19" s="1"/>
  <c r="P4" i="19"/>
  <c r="C5" i="19" s="1"/>
  <c r="O4" i="19"/>
  <c r="B5" i="19" s="1"/>
  <c r="Q3" i="19"/>
  <c r="D4" i="19" s="1"/>
  <c r="P3" i="19"/>
  <c r="C4" i="19" s="1"/>
  <c r="O3" i="19"/>
  <c r="B4" i="19" s="1"/>
  <c r="X34" i="16"/>
  <c r="G35" i="16" s="1"/>
  <c r="W34" i="16"/>
  <c r="F35" i="16" s="1"/>
  <c r="V34" i="16"/>
  <c r="E35" i="16" s="1"/>
  <c r="X33" i="16"/>
  <c r="G34" i="16" s="1"/>
  <c r="W33" i="16"/>
  <c r="F34" i="16" s="1"/>
  <c r="V33" i="16"/>
  <c r="E34" i="16" s="1"/>
  <c r="X32" i="16"/>
  <c r="W32" i="16"/>
  <c r="F33" i="16" s="1"/>
  <c r="V32" i="16"/>
  <c r="E33" i="16" s="1"/>
  <c r="X31" i="16"/>
  <c r="G32" i="16" s="1"/>
  <c r="W31" i="16"/>
  <c r="F32" i="16" s="1"/>
  <c r="V31" i="16"/>
  <c r="E32" i="16" s="1"/>
  <c r="X30" i="16"/>
  <c r="G31" i="16" s="1"/>
  <c r="W30" i="16"/>
  <c r="F31" i="16" s="1"/>
  <c r="V30" i="16"/>
  <c r="X29" i="16"/>
  <c r="G30" i="16" s="1"/>
  <c r="W29" i="16"/>
  <c r="F30" i="16" s="1"/>
  <c r="V29" i="16"/>
  <c r="E30" i="16" s="1"/>
  <c r="X28" i="16"/>
  <c r="W28" i="16"/>
  <c r="F29" i="16" s="1"/>
  <c r="V28" i="16"/>
  <c r="E29" i="16" s="1"/>
  <c r="X27" i="16"/>
  <c r="G28" i="16" s="1"/>
  <c r="W27" i="16"/>
  <c r="F28" i="16" s="1"/>
  <c r="V27" i="16"/>
  <c r="E28" i="16" s="1"/>
  <c r="X26" i="16"/>
  <c r="G27" i="16" s="1"/>
  <c r="W26" i="16"/>
  <c r="F27" i="16" s="1"/>
  <c r="V26" i="16"/>
  <c r="X25" i="16"/>
  <c r="G26" i="16" s="1"/>
  <c r="W25" i="16"/>
  <c r="F26" i="16" s="1"/>
  <c r="V25" i="16"/>
  <c r="E26" i="16" s="1"/>
  <c r="X24" i="16"/>
  <c r="W24" i="16"/>
  <c r="F25" i="16" s="1"/>
  <c r="V24" i="16"/>
  <c r="E25" i="16" s="1"/>
  <c r="X23" i="16"/>
  <c r="G24" i="16" s="1"/>
  <c r="W23" i="16"/>
  <c r="F24" i="16" s="1"/>
  <c r="V23" i="16"/>
  <c r="E24" i="16" s="1"/>
  <c r="X22" i="16"/>
  <c r="G23" i="16" s="1"/>
  <c r="W22" i="16"/>
  <c r="F23" i="16" s="1"/>
  <c r="V22" i="16"/>
  <c r="X21" i="16"/>
  <c r="G22" i="16" s="1"/>
  <c r="W21" i="16"/>
  <c r="F22" i="16" s="1"/>
  <c r="V21" i="16"/>
  <c r="E22" i="16" s="1"/>
  <c r="X20" i="16"/>
  <c r="W20" i="16"/>
  <c r="F21" i="16" s="1"/>
  <c r="V20" i="16"/>
  <c r="E21" i="16" s="1"/>
  <c r="X19" i="16"/>
  <c r="G20" i="16" s="1"/>
  <c r="W19" i="16"/>
  <c r="F20" i="16" s="1"/>
  <c r="V19" i="16"/>
  <c r="E20" i="16" s="1"/>
  <c r="X18" i="16"/>
  <c r="G19" i="16" s="1"/>
  <c r="W18" i="16"/>
  <c r="F19" i="16" s="1"/>
  <c r="V18" i="16"/>
  <c r="E19" i="16" s="1"/>
  <c r="X17" i="16"/>
  <c r="G18" i="16" s="1"/>
  <c r="W17" i="16"/>
  <c r="F18" i="16" s="1"/>
  <c r="V17" i="16"/>
  <c r="E18" i="16" s="1"/>
  <c r="X16" i="16"/>
  <c r="G17" i="16" s="1"/>
  <c r="W16" i="16"/>
  <c r="F17" i="16" s="1"/>
  <c r="V16" i="16"/>
  <c r="E17" i="16" s="1"/>
  <c r="X15" i="16"/>
  <c r="G16" i="16" s="1"/>
  <c r="W15" i="16"/>
  <c r="V15" i="16"/>
  <c r="E16" i="16" s="1"/>
  <c r="X14" i="16"/>
  <c r="G15" i="16" s="1"/>
  <c r="W14" i="16"/>
  <c r="F15" i="16" s="1"/>
  <c r="V14" i="16"/>
  <c r="X13" i="16"/>
  <c r="G14" i="16" s="1"/>
  <c r="W13" i="16"/>
  <c r="F14" i="16" s="1"/>
  <c r="V13" i="16"/>
  <c r="E14" i="16" s="1"/>
  <c r="X12" i="16"/>
  <c r="G13" i="16" s="1"/>
  <c r="W12" i="16"/>
  <c r="F13" i="16" s="1"/>
  <c r="V12" i="16"/>
  <c r="E13" i="16" s="1"/>
  <c r="X11" i="16"/>
  <c r="G12" i="16" s="1"/>
  <c r="W11" i="16"/>
  <c r="V11" i="16"/>
  <c r="E12" i="16" s="1"/>
  <c r="X10" i="16"/>
  <c r="G11" i="16" s="1"/>
  <c r="W10" i="16"/>
  <c r="F11" i="16" s="1"/>
  <c r="V10" i="16"/>
  <c r="X9" i="16"/>
  <c r="G10" i="16" s="1"/>
  <c r="W9" i="16"/>
  <c r="F10" i="16" s="1"/>
  <c r="V9" i="16"/>
  <c r="E10" i="16" s="1"/>
  <c r="X8" i="16"/>
  <c r="G9" i="16" s="1"/>
  <c r="W8" i="16"/>
  <c r="F9" i="16" s="1"/>
  <c r="V8" i="16"/>
  <c r="E9" i="16" s="1"/>
  <c r="X7" i="16"/>
  <c r="G8" i="16" s="1"/>
  <c r="W7" i="16"/>
  <c r="V7" i="16"/>
  <c r="E8" i="16" s="1"/>
  <c r="X6" i="16"/>
  <c r="G7" i="16" s="1"/>
  <c r="W6" i="16"/>
  <c r="F7" i="16" s="1"/>
  <c r="V6" i="16"/>
  <c r="X5" i="16"/>
  <c r="G6" i="16" s="1"/>
  <c r="W5" i="16"/>
  <c r="F6" i="16" s="1"/>
  <c r="V5" i="16"/>
  <c r="E6" i="16" s="1"/>
  <c r="X4" i="16"/>
  <c r="W4" i="16"/>
  <c r="F5" i="16" s="1"/>
  <c r="V4" i="16"/>
  <c r="E5" i="16" s="1"/>
  <c r="X3" i="16"/>
  <c r="G4" i="16" s="1"/>
  <c r="W3" i="16"/>
  <c r="V3" i="16"/>
  <c r="E4" i="16" s="1"/>
  <c r="Q34" i="16"/>
  <c r="D35" i="16" s="1"/>
  <c r="P34" i="16"/>
  <c r="C35" i="16" s="1"/>
  <c r="O34" i="16"/>
  <c r="B35" i="16" s="1"/>
  <c r="Q33" i="16"/>
  <c r="D34" i="16" s="1"/>
  <c r="P33" i="16"/>
  <c r="C34" i="16" s="1"/>
  <c r="O33" i="16"/>
  <c r="B34" i="16" s="1"/>
  <c r="Q32" i="16"/>
  <c r="D33" i="16" s="1"/>
  <c r="P32" i="16"/>
  <c r="C33" i="16" s="1"/>
  <c r="O32" i="16"/>
  <c r="B33" i="16" s="1"/>
  <c r="Q31" i="16"/>
  <c r="D32" i="16" s="1"/>
  <c r="P31" i="16"/>
  <c r="C32" i="16" s="1"/>
  <c r="O31" i="16"/>
  <c r="B32" i="16" s="1"/>
  <c r="Q30" i="16"/>
  <c r="D31" i="16" s="1"/>
  <c r="P30" i="16"/>
  <c r="C31" i="16" s="1"/>
  <c r="O30" i="16"/>
  <c r="B31" i="16" s="1"/>
  <c r="Q29" i="16"/>
  <c r="D30" i="16" s="1"/>
  <c r="P29" i="16"/>
  <c r="C30" i="16" s="1"/>
  <c r="O29" i="16"/>
  <c r="B30" i="16" s="1"/>
  <c r="Q28" i="16"/>
  <c r="D29" i="16" s="1"/>
  <c r="P28" i="16"/>
  <c r="C29" i="16" s="1"/>
  <c r="O28" i="16"/>
  <c r="B29" i="16" s="1"/>
  <c r="Q27" i="16"/>
  <c r="D28" i="16" s="1"/>
  <c r="P27" i="16"/>
  <c r="C28" i="16" s="1"/>
  <c r="O27" i="16"/>
  <c r="B28" i="16" s="1"/>
  <c r="Q26" i="16"/>
  <c r="D27" i="16" s="1"/>
  <c r="P26" i="16"/>
  <c r="C27" i="16" s="1"/>
  <c r="O26" i="16"/>
  <c r="B27" i="16" s="1"/>
  <c r="Q25" i="16"/>
  <c r="D26" i="16" s="1"/>
  <c r="P25" i="16"/>
  <c r="C26" i="16" s="1"/>
  <c r="O25" i="16"/>
  <c r="B26" i="16" s="1"/>
  <c r="Q24" i="16"/>
  <c r="D25" i="16" s="1"/>
  <c r="P24" i="16"/>
  <c r="C25" i="16" s="1"/>
  <c r="O24" i="16"/>
  <c r="B25" i="16" s="1"/>
  <c r="Q23" i="16"/>
  <c r="D24" i="16" s="1"/>
  <c r="P23" i="16"/>
  <c r="C24" i="16" s="1"/>
  <c r="O23" i="16"/>
  <c r="B24" i="16" s="1"/>
  <c r="Q22" i="16"/>
  <c r="D23" i="16" s="1"/>
  <c r="P22" i="16"/>
  <c r="C23" i="16" s="1"/>
  <c r="O22" i="16"/>
  <c r="B23" i="16" s="1"/>
  <c r="Q21" i="16"/>
  <c r="D22" i="16" s="1"/>
  <c r="P21" i="16"/>
  <c r="C22" i="16" s="1"/>
  <c r="O21" i="16"/>
  <c r="B22" i="16" s="1"/>
  <c r="Q20" i="16"/>
  <c r="D21" i="16" s="1"/>
  <c r="P20" i="16"/>
  <c r="C21" i="16" s="1"/>
  <c r="O20" i="16"/>
  <c r="B21" i="16" s="1"/>
  <c r="Q19" i="16"/>
  <c r="D20" i="16" s="1"/>
  <c r="P19" i="16"/>
  <c r="C20" i="16" s="1"/>
  <c r="O19" i="16"/>
  <c r="B20" i="16" s="1"/>
  <c r="Q18" i="16"/>
  <c r="D19" i="16" s="1"/>
  <c r="P18" i="16"/>
  <c r="C19" i="16" s="1"/>
  <c r="O18" i="16"/>
  <c r="B19" i="16" s="1"/>
  <c r="Q17" i="16"/>
  <c r="D18" i="16" s="1"/>
  <c r="P17" i="16"/>
  <c r="C18" i="16" s="1"/>
  <c r="O17" i="16"/>
  <c r="B18" i="16" s="1"/>
  <c r="Q16" i="16"/>
  <c r="D17" i="16" s="1"/>
  <c r="P16" i="16"/>
  <c r="C17" i="16" s="1"/>
  <c r="O16" i="16"/>
  <c r="B17" i="16" s="1"/>
  <c r="Q15" i="16"/>
  <c r="D16" i="16" s="1"/>
  <c r="P15" i="16"/>
  <c r="C16" i="16" s="1"/>
  <c r="O15" i="16"/>
  <c r="B16" i="16" s="1"/>
  <c r="Q14" i="16"/>
  <c r="D15" i="16" s="1"/>
  <c r="P14" i="16"/>
  <c r="C15" i="16" s="1"/>
  <c r="O14" i="16"/>
  <c r="B15" i="16" s="1"/>
  <c r="Q13" i="16"/>
  <c r="D14" i="16" s="1"/>
  <c r="P13" i="16"/>
  <c r="C14" i="16" s="1"/>
  <c r="O13" i="16"/>
  <c r="B14" i="16" s="1"/>
  <c r="Q12" i="16"/>
  <c r="D13" i="16" s="1"/>
  <c r="P12" i="16"/>
  <c r="C13" i="16" s="1"/>
  <c r="O12" i="16"/>
  <c r="B13" i="16" s="1"/>
  <c r="Q11" i="16"/>
  <c r="D12" i="16" s="1"/>
  <c r="P11" i="16"/>
  <c r="C12" i="16" s="1"/>
  <c r="O11" i="16"/>
  <c r="B12" i="16" s="1"/>
  <c r="Q10" i="16"/>
  <c r="D11" i="16" s="1"/>
  <c r="P10" i="16"/>
  <c r="C11" i="16" s="1"/>
  <c r="O10" i="16"/>
  <c r="B11" i="16" s="1"/>
  <c r="Q9" i="16"/>
  <c r="D10" i="16" s="1"/>
  <c r="P9" i="16"/>
  <c r="C10" i="16" s="1"/>
  <c r="O9" i="16"/>
  <c r="B10" i="16" s="1"/>
  <c r="Q8" i="16"/>
  <c r="D9" i="16" s="1"/>
  <c r="P8" i="16"/>
  <c r="C9" i="16" s="1"/>
  <c r="O8" i="16"/>
  <c r="B9" i="16" s="1"/>
  <c r="Q7" i="16"/>
  <c r="D8" i="16" s="1"/>
  <c r="P7" i="16"/>
  <c r="C8" i="16" s="1"/>
  <c r="O7" i="16"/>
  <c r="B8" i="16" s="1"/>
  <c r="Q6" i="16"/>
  <c r="D7" i="16" s="1"/>
  <c r="P6" i="16"/>
  <c r="C7" i="16" s="1"/>
  <c r="O6" i="16"/>
  <c r="B7" i="16" s="1"/>
  <c r="Q5" i="16"/>
  <c r="D6" i="16" s="1"/>
  <c r="P5" i="16"/>
  <c r="C6" i="16" s="1"/>
  <c r="O5" i="16"/>
  <c r="B6" i="16" s="1"/>
  <c r="Q4" i="16"/>
  <c r="D5" i="16" s="1"/>
  <c r="P4" i="16"/>
  <c r="C5" i="16" s="1"/>
  <c r="O4" i="16"/>
  <c r="B5" i="16" s="1"/>
  <c r="Q3" i="16"/>
  <c r="D4" i="16" s="1"/>
  <c r="P3" i="16"/>
  <c r="O3" i="16"/>
  <c r="B4" i="16" s="1"/>
  <c r="X34" i="13"/>
  <c r="G35" i="13" s="1"/>
  <c r="W34" i="13"/>
  <c r="F35" i="13" s="1"/>
  <c r="V34" i="13"/>
  <c r="E35" i="13" s="1"/>
  <c r="X33" i="13"/>
  <c r="G34" i="13" s="1"/>
  <c r="W33" i="13"/>
  <c r="F34" i="13" s="1"/>
  <c r="V33" i="13"/>
  <c r="E34" i="13" s="1"/>
  <c r="X32" i="13"/>
  <c r="G33" i="13" s="1"/>
  <c r="W32" i="13"/>
  <c r="F33" i="13" s="1"/>
  <c r="V32" i="13"/>
  <c r="E33" i="13" s="1"/>
  <c r="X31" i="13"/>
  <c r="G32" i="13" s="1"/>
  <c r="W31" i="13"/>
  <c r="F32" i="13" s="1"/>
  <c r="V31" i="13"/>
  <c r="E32" i="13" s="1"/>
  <c r="X30" i="13"/>
  <c r="G31" i="13" s="1"/>
  <c r="W30" i="13"/>
  <c r="F31" i="13" s="1"/>
  <c r="V30" i="13"/>
  <c r="E31" i="13" s="1"/>
  <c r="X29" i="13"/>
  <c r="G30" i="13" s="1"/>
  <c r="W29" i="13"/>
  <c r="F30" i="13" s="1"/>
  <c r="V29" i="13"/>
  <c r="E30" i="13" s="1"/>
  <c r="X28" i="13"/>
  <c r="G29" i="13" s="1"/>
  <c r="W28" i="13"/>
  <c r="F29" i="13" s="1"/>
  <c r="V28" i="13"/>
  <c r="E29" i="13" s="1"/>
  <c r="X27" i="13"/>
  <c r="G28" i="13" s="1"/>
  <c r="W27" i="13"/>
  <c r="F28" i="13" s="1"/>
  <c r="V27" i="13"/>
  <c r="E28" i="13" s="1"/>
  <c r="X26" i="13"/>
  <c r="G27" i="13" s="1"/>
  <c r="W26" i="13"/>
  <c r="F27" i="13" s="1"/>
  <c r="V26" i="13"/>
  <c r="E27" i="13" s="1"/>
  <c r="X25" i="13"/>
  <c r="G26" i="13" s="1"/>
  <c r="W25" i="13"/>
  <c r="F26" i="13" s="1"/>
  <c r="V25" i="13"/>
  <c r="E26" i="13" s="1"/>
  <c r="X24" i="13"/>
  <c r="G25" i="13" s="1"/>
  <c r="W24" i="13"/>
  <c r="F25" i="13" s="1"/>
  <c r="V24" i="13"/>
  <c r="E25" i="13" s="1"/>
  <c r="X23" i="13"/>
  <c r="G24" i="13" s="1"/>
  <c r="W23" i="13"/>
  <c r="F24" i="13" s="1"/>
  <c r="V23" i="13"/>
  <c r="E24" i="13" s="1"/>
  <c r="X22" i="13"/>
  <c r="G23" i="13" s="1"/>
  <c r="W22" i="13"/>
  <c r="F23" i="13" s="1"/>
  <c r="V22" i="13"/>
  <c r="E23" i="13" s="1"/>
  <c r="X21" i="13"/>
  <c r="G22" i="13" s="1"/>
  <c r="W21" i="13"/>
  <c r="F22" i="13" s="1"/>
  <c r="V21" i="13"/>
  <c r="E22" i="13" s="1"/>
  <c r="X20" i="13"/>
  <c r="G21" i="13" s="1"/>
  <c r="W20" i="13"/>
  <c r="F21" i="13" s="1"/>
  <c r="V20" i="13"/>
  <c r="E21" i="13" s="1"/>
  <c r="X19" i="13"/>
  <c r="G20" i="13" s="1"/>
  <c r="W19" i="13"/>
  <c r="F20" i="13" s="1"/>
  <c r="V19" i="13"/>
  <c r="E20" i="13" s="1"/>
  <c r="X18" i="13"/>
  <c r="G19" i="13" s="1"/>
  <c r="W18" i="13"/>
  <c r="F19" i="13" s="1"/>
  <c r="V18" i="13"/>
  <c r="E19" i="13" s="1"/>
  <c r="X17" i="13"/>
  <c r="G18" i="13" s="1"/>
  <c r="W17" i="13"/>
  <c r="F18" i="13" s="1"/>
  <c r="V17" i="13"/>
  <c r="E18" i="13" s="1"/>
  <c r="X16" i="13"/>
  <c r="G17" i="13" s="1"/>
  <c r="W16" i="13"/>
  <c r="F17" i="13" s="1"/>
  <c r="V16" i="13"/>
  <c r="E17" i="13" s="1"/>
  <c r="X15" i="13"/>
  <c r="G16" i="13" s="1"/>
  <c r="W15" i="13"/>
  <c r="F16" i="13" s="1"/>
  <c r="V15" i="13"/>
  <c r="E16" i="13" s="1"/>
  <c r="X14" i="13"/>
  <c r="G15" i="13" s="1"/>
  <c r="W14" i="13"/>
  <c r="F15" i="13" s="1"/>
  <c r="V14" i="13"/>
  <c r="E15" i="13" s="1"/>
  <c r="X13" i="13"/>
  <c r="G14" i="13" s="1"/>
  <c r="W13" i="13"/>
  <c r="F14" i="13" s="1"/>
  <c r="V13" i="13"/>
  <c r="E14" i="13" s="1"/>
  <c r="X12" i="13"/>
  <c r="G13" i="13" s="1"/>
  <c r="W12" i="13"/>
  <c r="F13" i="13" s="1"/>
  <c r="V12" i="13"/>
  <c r="E13" i="13" s="1"/>
  <c r="X11" i="13"/>
  <c r="G12" i="13" s="1"/>
  <c r="W11" i="13"/>
  <c r="F12" i="13" s="1"/>
  <c r="V11" i="13"/>
  <c r="E12" i="13" s="1"/>
  <c r="X10" i="13"/>
  <c r="G11" i="13" s="1"/>
  <c r="W10" i="13"/>
  <c r="F11" i="13" s="1"/>
  <c r="V10" i="13"/>
  <c r="E11" i="13" s="1"/>
  <c r="X9" i="13"/>
  <c r="G10" i="13" s="1"/>
  <c r="W9" i="13"/>
  <c r="F10" i="13" s="1"/>
  <c r="V9" i="13"/>
  <c r="E10" i="13" s="1"/>
  <c r="X8" i="13"/>
  <c r="G9" i="13" s="1"/>
  <c r="W8" i="13"/>
  <c r="F9" i="13" s="1"/>
  <c r="V8" i="13"/>
  <c r="E9" i="13" s="1"/>
  <c r="X7" i="13"/>
  <c r="G8" i="13" s="1"/>
  <c r="W7" i="13"/>
  <c r="F8" i="13" s="1"/>
  <c r="V7" i="13"/>
  <c r="E8" i="13" s="1"/>
  <c r="X6" i="13"/>
  <c r="G7" i="13" s="1"/>
  <c r="W6" i="13"/>
  <c r="F7" i="13" s="1"/>
  <c r="V6" i="13"/>
  <c r="E7" i="13" s="1"/>
  <c r="X5" i="13"/>
  <c r="G6" i="13" s="1"/>
  <c r="W5" i="13"/>
  <c r="F6" i="13" s="1"/>
  <c r="V5" i="13"/>
  <c r="E6" i="13" s="1"/>
  <c r="X4" i="13"/>
  <c r="G5" i="13" s="1"/>
  <c r="W4" i="13"/>
  <c r="F5" i="13" s="1"/>
  <c r="V4" i="13"/>
  <c r="E5" i="13" s="1"/>
  <c r="X3" i="13"/>
  <c r="G4" i="13" s="1"/>
  <c r="W3" i="13"/>
  <c r="F4" i="13" s="1"/>
  <c r="V3" i="13"/>
  <c r="E4" i="13" s="1"/>
  <c r="Q34" i="13"/>
  <c r="D35" i="13" s="1"/>
  <c r="P34" i="13"/>
  <c r="C35" i="13" s="1"/>
  <c r="O34" i="13"/>
  <c r="B35" i="13" s="1"/>
  <c r="Q33" i="13"/>
  <c r="D34" i="13" s="1"/>
  <c r="P33" i="13"/>
  <c r="C34" i="13" s="1"/>
  <c r="O33" i="13"/>
  <c r="B34" i="13" s="1"/>
  <c r="Q32" i="13"/>
  <c r="D33" i="13" s="1"/>
  <c r="P32" i="13"/>
  <c r="C33" i="13" s="1"/>
  <c r="C73" i="13" s="1"/>
  <c r="O32" i="13"/>
  <c r="B33" i="13" s="1"/>
  <c r="Q31" i="13"/>
  <c r="P31" i="13"/>
  <c r="O31" i="13"/>
  <c r="B32" i="13" s="1"/>
  <c r="Q30" i="13"/>
  <c r="D31" i="13" s="1"/>
  <c r="P30" i="13"/>
  <c r="C31" i="13" s="1"/>
  <c r="O30" i="13"/>
  <c r="B31" i="13" s="1"/>
  <c r="Q29" i="13"/>
  <c r="D30" i="13" s="1"/>
  <c r="P29" i="13"/>
  <c r="C30" i="13" s="1"/>
  <c r="O29" i="13"/>
  <c r="B30" i="13" s="1"/>
  <c r="Q28" i="13"/>
  <c r="D29" i="13" s="1"/>
  <c r="P28" i="13"/>
  <c r="C29" i="13" s="1"/>
  <c r="O28" i="13"/>
  <c r="B29" i="13" s="1"/>
  <c r="Q27" i="13"/>
  <c r="D28" i="13" s="1"/>
  <c r="P27" i="13"/>
  <c r="C28" i="13" s="1"/>
  <c r="O27" i="13"/>
  <c r="B28" i="13" s="1"/>
  <c r="Q26" i="13"/>
  <c r="D27" i="13" s="1"/>
  <c r="P26" i="13"/>
  <c r="C27" i="13" s="1"/>
  <c r="O26" i="13"/>
  <c r="B27" i="13" s="1"/>
  <c r="Q25" i="13"/>
  <c r="D26" i="13" s="1"/>
  <c r="P25" i="13"/>
  <c r="C26" i="13" s="1"/>
  <c r="O25" i="13"/>
  <c r="B26" i="13" s="1"/>
  <c r="Q24" i="13"/>
  <c r="D25" i="13" s="1"/>
  <c r="P24" i="13"/>
  <c r="C25" i="13" s="1"/>
  <c r="O24" i="13"/>
  <c r="B25" i="13" s="1"/>
  <c r="Q23" i="13"/>
  <c r="D24" i="13" s="1"/>
  <c r="P23" i="13"/>
  <c r="C24" i="13" s="1"/>
  <c r="O23" i="13"/>
  <c r="B24" i="13" s="1"/>
  <c r="Q22" i="13"/>
  <c r="D23" i="13" s="1"/>
  <c r="P22" i="13"/>
  <c r="C23" i="13" s="1"/>
  <c r="O22" i="13"/>
  <c r="B23" i="13" s="1"/>
  <c r="Q21" i="13"/>
  <c r="D22" i="13" s="1"/>
  <c r="P21" i="13"/>
  <c r="C22" i="13" s="1"/>
  <c r="O21" i="13"/>
  <c r="B22" i="13" s="1"/>
  <c r="Q20" i="13"/>
  <c r="D21" i="13" s="1"/>
  <c r="P20" i="13"/>
  <c r="C21" i="13" s="1"/>
  <c r="C61" i="13" s="1"/>
  <c r="O20" i="13"/>
  <c r="B21" i="13" s="1"/>
  <c r="Q19" i="13"/>
  <c r="D20" i="13" s="1"/>
  <c r="P19" i="13"/>
  <c r="O19" i="13"/>
  <c r="B20" i="13" s="1"/>
  <c r="Q18" i="13"/>
  <c r="D19" i="13" s="1"/>
  <c r="P18" i="13"/>
  <c r="C19" i="13" s="1"/>
  <c r="O18" i="13"/>
  <c r="B19" i="13" s="1"/>
  <c r="Q17" i="13"/>
  <c r="D18" i="13" s="1"/>
  <c r="P17" i="13"/>
  <c r="C18" i="13" s="1"/>
  <c r="O17" i="13"/>
  <c r="B18" i="13" s="1"/>
  <c r="Q16" i="13"/>
  <c r="D17" i="13" s="1"/>
  <c r="P16" i="13"/>
  <c r="C17" i="13" s="1"/>
  <c r="O16" i="13"/>
  <c r="B17" i="13" s="1"/>
  <c r="Q15" i="13"/>
  <c r="D16" i="13" s="1"/>
  <c r="P15" i="13"/>
  <c r="C16" i="13" s="1"/>
  <c r="O15" i="13"/>
  <c r="B16" i="13" s="1"/>
  <c r="Q14" i="13"/>
  <c r="D15" i="13" s="1"/>
  <c r="P14" i="13"/>
  <c r="C15" i="13" s="1"/>
  <c r="O14" i="13"/>
  <c r="B15" i="13" s="1"/>
  <c r="Q13" i="13"/>
  <c r="D14" i="13" s="1"/>
  <c r="P13" i="13"/>
  <c r="C14" i="13" s="1"/>
  <c r="O13" i="13"/>
  <c r="B14" i="13" s="1"/>
  <c r="Q12" i="13"/>
  <c r="D13" i="13" s="1"/>
  <c r="P12" i="13"/>
  <c r="C13" i="13" s="1"/>
  <c r="O12" i="13"/>
  <c r="B13" i="13" s="1"/>
  <c r="Q11" i="13"/>
  <c r="D12" i="13" s="1"/>
  <c r="P11" i="13"/>
  <c r="C12" i="13" s="1"/>
  <c r="O11" i="13"/>
  <c r="B12" i="13" s="1"/>
  <c r="Q10" i="13"/>
  <c r="D11" i="13" s="1"/>
  <c r="P10" i="13"/>
  <c r="C11" i="13" s="1"/>
  <c r="O10" i="13"/>
  <c r="B11" i="13" s="1"/>
  <c r="Q9" i="13"/>
  <c r="D10" i="13" s="1"/>
  <c r="P9" i="13"/>
  <c r="C10" i="13" s="1"/>
  <c r="O9" i="13"/>
  <c r="B10" i="13" s="1"/>
  <c r="Q8" i="13"/>
  <c r="D9" i="13" s="1"/>
  <c r="P8" i="13"/>
  <c r="C9" i="13" s="1"/>
  <c r="C49" i="13" s="1"/>
  <c r="O8" i="13"/>
  <c r="B9" i="13" s="1"/>
  <c r="Q7" i="13"/>
  <c r="D8" i="13" s="1"/>
  <c r="P7" i="13"/>
  <c r="C8" i="13" s="1"/>
  <c r="O7" i="13"/>
  <c r="B8" i="13" s="1"/>
  <c r="Q6" i="13"/>
  <c r="D7" i="13" s="1"/>
  <c r="P6" i="13"/>
  <c r="C7" i="13" s="1"/>
  <c r="O6" i="13"/>
  <c r="B7" i="13" s="1"/>
  <c r="Q5" i="13"/>
  <c r="D6" i="13" s="1"/>
  <c r="P5" i="13"/>
  <c r="C6" i="13" s="1"/>
  <c r="O5" i="13"/>
  <c r="B6" i="13" s="1"/>
  <c r="Q4" i="13"/>
  <c r="D5" i="13" s="1"/>
  <c r="P4" i="13"/>
  <c r="C5" i="13" s="1"/>
  <c r="O4" i="13"/>
  <c r="B5" i="13" s="1"/>
  <c r="Q3" i="13"/>
  <c r="D4" i="13" s="1"/>
  <c r="P3" i="13"/>
  <c r="O3" i="13"/>
  <c r="B4" i="13" s="1"/>
  <c r="X34" i="12"/>
  <c r="G35" i="12" s="1"/>
  <c r="W34" i="12"/>
  <c r="F35" i="12" s="1"/>
  <c r="V34" i="12"/>
  <c r="E35" i="12" s="1"/>
  <c r="X33" i="12"/>
  <c r="G34" i="12" s="1"/>
  <c r="W33" i="12"/>
  <c r="F34" i="12" s="1"/>
  <c r="V33" i="12"/>
  <c r="E34" i="12" s="1"/>
  <c r="X32" i="12"/>
  <c r="G33" i="12" s="1"/>
  <c r="W32" i="12"/>
  <c r="F33" i="12" s="1"/>
  <c r="V32" i="12"/>
  <c r="E33" i="12" s="1"/>
  <c r="X31" i="12"/>
  <c r="G32" i="12" s="1"/>
  <c r="W31" i="12"/>
  <c r="F32" i="12" s="1"/>
  <c r="V31" i="12"/>
  <c r="E32" i="12" s="1"/>
  <c r="X30" i="12"/>
  <c r="G31" i="12" s="1"/>
  <c r="W30" i="12"/>
  <c r="F31" i="12" s="1"/>
  <c r="V30" i="12"/>
  <c r="E31" i="12" s="1"/>
  <c r="X29" i="12"/>
  <c r="G30" i="12" s="1"/>
  <c r="W29" i="12"/>
  <c r="F30" i="12" s="1"/>
  <c r="V29" i="12"/>
  <c r="X28" i="12"/>
  <c r="G29" i="12" s="1"/>
  <c r="W28" i="12"/>
  <c r="F29" i="12" s="1"/>
  <c r="V28" i="12"/>
  <c r="E29" i="12" s="1"/>
  <c r="X27" i="12"/>
  <c r="W27" i="12"/>
  <c r="F28" i="12" s="1"/>
  <c r="V27" i="12"/>
  <c r="E28" i="12" s="1"/>
  <c r="X26" i="12"/>
  <c r="G27" i="12" s="1"/>
  <c r="W26" i="12"/>
  <c r="F27" i="12" s="1"/>
  <c r="V26" i="12"/>
  <c r="E27" i="12" s="1"/>
  <c r="X25" i="12"/>
  <c r="G26" i="12" s="1"/>
  <c r="W25" i="12"/>
  <c r="F26" i="12" s="1"/>
  <c r="V25" i="12"/>
  <c r="E26" i="12" s="1"/>
  <c r="X24" i="12"/>
  <c r="G25" i="12" s="1"/>
  <c r="W24" i="12"/>
  <c r="F25" i="12" s="1"/>
  <c r="V24" i="12"/>
  <c r="E25" i="12" s="1"/>
  <c r="X23" i="12"/>
  <c r="G24" i="12" s="1"/>
  <c r="W23" i="12"/>
  <c r="F24" i="12" s="1"/>
  <c r="V23" i="12"/>
  <c r="E24" i="12" s="1"/>
  <c r="X22" i="12"/>
  <c r="G23" i="12" s="1"/>
  <c r="W22" i="12"/>
  <c r="F23" i="12" s="1"/>
  <c r="V22" i="12"/>
  <c r="E23" i="12" s="1"/>
  <c r="X21" i="12"/>
  <c r="G22" i="12" s="1"/>
  <c r="W21" i="12"/>
  <c r="F22" i="12" s="1"/>
  <c r="V21" i="12"/>
  <c r="E22" i="12" s="1"/>
  <c r="X20" i="12"/>
  <c r="G21" i="12" s="1"/>
  <c r="W20" i="12"/>
  <c r="F21" i="12" s="1"/>
  <c r="V20" i="12"/>
  <c r="E21" i="12" s="1"/>
  <c r="X19" i="12"/>
  <c r="G20" i="12" s="1"/>
  <c r="W19" i="12"/>
  <c r="F20" i="12" s="1"/>
  <c r="V19" i="12"/>
  <c r="E20" i="12" s="1"/>
  <c r="X18" i="12"/>
  <c r="G19" i="12" s="1"/>
  <c r="W18" i="12"/>
  <c r="F19" i="12" s="1"/>
  <c r="V18" i="12"/>
  <c r="E19" i="12" s="1"/>
  <c r="X17" i="12"/>
  <c r="G18" i="12" s="1"/>
  <c r="W17" i="12"/>
  <c r="F18" i="12" s="1"/>
  <c r="V17" i="12"/>
  <c r="E18" i="12" s="1"/>
  <c r="X16" i="12"/>
  <c r="G17" i="12" s="1"/>
  <c r="W16" i="12"/>
  <c r="F17" i="12" s="1"/>
  <c r="V16" i="12"/>
  <c r="E17" i="12" s="1"/>
  <c r="X15" i="12"/>
  <c r="G16" i="12" s="1"/>
  <c r="W15" i="12"/>
  <c r="F16" i="12" s="1"/>
  <c r="V15" i="12"/>
  <c r="E16" i="12" s="1"/>
  <c r="X14" i="12"/>
  <c r="G15" i="12" s="1"/>
  <c r="W14" i="12"/>
  <c r="F15" i="12" s="1"/>
  <c r="V14" i="12"/>
  <c r="E15" i="12" s="1"/>
  <c r="X13" i="12"/>
  <c r="G14" i="12" s="1"/>
  <c r="W13" i="12"/>
  <c r="F14" i="12" s="1"/>
  <c r="V13" i="12"/>
  <c r="E14" i="12" s="1"/>
  <c r="X12" i="12"/>
  <c r="G13" i="12" s="1"/>
  <c r="W12" i="12"/>
  <c r="F13" i="12" s="1"/>
  <c r="V12" i="12"/>
  <c r="E13" i="12" s="1"/>
  <c r="X11" i="12"/>
  <c r="G12" i="12" s="1"/>
  <c r="W11" i="12"/>
  <c r="F12" i="12" s="1"/>
  <c r="V11" i="12"/>
  <c r="E12" i="12" s="1"/>
  <c r="X10" i="12"/>
  <c r="G11" i="12" s="1"/>
  <c r="W10" i="12"/>
  <c r="F11" i="12" s="1"/>
  <c r="V10" i="12"/>
  <c r="E11" i="12" s="1"/>
  <c r="X9" i="12"/>
  <c r="G10" i="12" s="1"/>
  <c r="W9" i="12"/>
  <c r="F10" i="12" s="1"/>
  <c r="V9" i="12"/>
  <c r="E10" i="12" s="1"/>
  <c r="X8" i="12"/>
  <c r="G9" i="12" s="1"/>
  <c r="W8" i="12"/>
  <c r="F9" i="12" s="1"/>
  <c r="V8" i="12"/>
  <c r="E9" i="12" s="1"/>
  <c r="X7" i="12"/>
  <c r="G8" i="12" s="1"/>
  <c r="W7" i="12"/>
  <c r="F8" i="12" s="1"/>
  <c r="V7" i="12"/>
  <c r="E8" i="12" s="1"/>
  <c r="X6" i="12"/>
  <c r="G7" i="12" s="1"/>
  <c r="W6" i="12"/>
  <c r="F7" i="12" s="1"/>
  <c r="V6" i="12"/>
  <c r="E7" i="12" s="1"/>
  <c r="X5" i="12"/>
  <c r="G6" i="12" s="1"/>
  <c r="W5" i="12"/>
  <c r="F6" i="12" s="1"/>
  <c r="V5" i="12"/>
  <c r="E6" i="12" s="1"/>
  <c r="X4" i="12"/>
  <c r="G5" i="12" s="1"/>
  <c r="W4" i="12"/>
  <c r="F5" i="12" s="1"/>
  <c r="V4" i="12"/>
  <c r="E5" i="12" s="1"/>
  <c r="X3" i="12"/>
  <c r="G4" i="12" s="1"/>
  <c r="W3" i="12"/>
  <c r="F4" i="12" s="1"/>
  <c r="V3" i="12"/>
  <c r="E4" i="12" s="1"/>
  <c r="Q34" i="12"/>
  <c r="D35" i="12" s="1"/>
  <c r="P34" i="12"/>
  <c r="C35" i="12" s="1"/>
  <c r="O34" i="12"/>
  <c r="B35" i="12" s="1"/>
  <c r="Q33" i="12"/>
  <c r="D34" i="12" s="1"/>
  <c r="P33" i="12"/>
  <c r="C34" i="12" s="1"/>
  <c r="O33" i="12"/>
  <c r="B34" i="12" s="1"/>
  <c r="Q32" i="12"/>
  <c r="D33" i="12" s="1"/>
  <c r="P32" i="12"/>
  <c r="C33" i="12" s="1"/>
  <c r="O32" i="12"/>
  <c r="B33" i="12" s="1"/>
  <c r="Q31" i="12"/>
  <c r="D32" i="12" s="1"/>
  <c r="P31" i="12"/>
  <c r="C32" i="12" s="1"/>
  <c r="O31" i="12"/>
  <c r="B32" i="12" s="1"/>
  <c r="Q30" i="12"/>
  <c r="D31" i="12" s="1"/>
  <c r="P30" i="12"/>
  <c r="C31" i="12" s="1"/>
  <c r="O30" i="12"/>
  <c r="B31" i="12" s="1"/>
  <c r="Q29" i="12"/>
  <c r="D30" i="12" s="1"/>
  <c r="P29" i="12"/>
  <c r="C30" i="12" s="1"/>
  <c r="O29" i="12"/>
  <c r="B30" i="12" s="1"/>
  <c r="Q28" i="12"/>
  <c r="D29" i="12" s="1"/>
  <c r="P28" i="12"/>
  <c r="C29" i="12" s="1"/>
  <c r="O28" i="12"/>
  <c r="B29" i="12" s="1"/>
  <c r="Q27" i="12"/>
  <c r="D28" i="12" s="1"/>
  <c r="P27" i="12"/>
  <c r="C28" i="12" s="1"/>
  <c r="O27" i="12"/>
  <c r="B28" i="12" s="1"/>
  <c r="Q26" i="12"/>
  <c r="D27" i="12" s="1"/>
  <c r="P26" i="12"/>
  <c r="C27" i="12" s="1"/>
  <c r="O26" i="12"/>
  <c r="B27" i="12" s="1"/>
  <c r="Q25" i="12"/>
  <c r="D26" i="12" s="1"/>
  <c r="P25" i="12"/>
  <c r="C26" i="12" s="1"/>
  <c r="O25" i="12"/>
  <c r="B26" i="12" s="1"/>
  <c r="Q24" i="12"/>
  <c r="D25" i="12" s="1"/>
  <c r="P24" i="12"/>
  <c r="C25" i="12" s="1"/>
  <c r="O24" i="12"/>
  <c r="B25" i="12" s="1"/>
  <c r="Q23" i="12"/>
  <c r="D24" i="12" s="1"/>
  <c r="P23" i="12"/>
  <c r="O23" i="12"/>
  <c r="B24" i="12" s="1"/>
  <c r="Q22" i="12"/>
  <c r="D23" i="12" s="1"/>
  <c r="P22" i="12"/>
  <c r="C23" i="12" s="1"/>
  <c r="O22" i="12"/>
  <c r="B23" i="12" s="1"/>
  <c r="Q21" i="12"/>
  <c r="D22" i="12" s="1"/>
  <c r="P21" i="12"/>
  <c r="C22" i="12" s="1"/>
  <c r="O21" i="12"/>
  <c r="B22" i="12" s="1"/>
  <c r="Q20" i="12"/>
  <c r="D21" i="12" s="1"/>
  <c r="P20" i="12"/>
  <c r="C21" i="12" s="1"/>
  <c r="O20" i="12"/>
  <c r="B21" i="12" s="1"/>
  <c r="Q19" i="12"/>
  <c r="D20" i="12" s="1"/>
  <c r="P19" i="12"/>
  <c r="O19" i="12"/>
  <c r="B20" i="12" s="1"/>
  <c r="Q18" i="12"/>
  <c r="D19" i="12" s="1"/>
  <c r="P18" i="12"/>
  <c r="C19" i="12" s="1"/>
  <c r="O18" i="12"/>
  <c r="B19" i="12" s="1"/>
  <c r="Q17" i="12"/>
  <c r="D18" i="12" s="1"/>
  <c r="P17" i="12"/>
  <c r="C18" i="12" s="1"/>
  <c r="O17" i="12"/>
  <c r="B18" i="12" s="1"/>
  <c r="Q16" i="12"/>
  <c r="D17" i="12" s="1"/>
  <c r="P16" i="12"/>
  <c r="C17" i="12" s="1"/>
  <c r="O16" i="12"/>
  <c r="B17" i="12" s="1"/>
  <c r="Q15" i="12"/>
  <c r="D16" i="12" s="1"/>
  <c r="P15" i="12"/>
  <c r="O15" i="12"/>
  <c r="B16" i="12" s="1"/>
  <c r="Q14" i="12"/>
  <c r="D15" i="12" s="1"/>
  <c r="P14" i="12"/>
  <c r="C15" i="12" s="1"/>
  <c r="O14" i="12"/>
  <c r="B15" i="12" s="1"/>
  <c r="Q13" i="12"/>
  <c r="D14" i="12" s="1"/>
  <c r="P13" i="12"/>
  <c r="C14" i="12" s="1"/>
  <c r="O13" i="12"/>
  <c r="B14" i="12" s="1"/>
  <c r="Q12" i="12"/>
  <c r="D13" i="12" s="1"/>
  <c r="P12" i="12"/>
  <c r="C13" i="12" s="1"/>
  <c r="O12" i="12"/>
  <c r="B13" i="12" s="1"/>
  <c r="Q11" i="12"/>
  <c r="D12" i="12" s="1"/>
  <c r="P11" i="12"/>
  <c r="C12" i="12" s="1"/>
  <c r="O11" i="12"/>
  <c r="B12" i="12" s="1"/>
  <c r="Q10" i="12"/>
  <c r="D11" i="12" s="1"/>
  <c r="P10" i="12"/>
  <c r="C11" i="12" s="1"/>
  <c r="O10" i="12"/>
  <c r="B11" i="12" s="1"/>
  <c r="Q9" i="12"/>
  <c r="D10" i="12" s="1"/>
  <c r="P9" i="12"/>
  <c r="C10" i="12" s="1"/>
  <c r="O9" i="12"/>
  <c r="B10" i="12" s="1"/>
  <c r="Q8" i="12"/>
  <c r="D9" i="12" s="1"/>
  <c r="P8" i="12"/>
  <c r="C9" i="12" s="1"/>
  <c r="O8" i="12"/>
  <c r="B9" i="12" s="1"/>
  <c r="Q7" i="12"/>
  <c r="D8" i="12" s="1"/>
  <c r="P7" i="12"/>
  <c r="C8" i="12" s="1"/>
  <c r="O7" i="12"/>
  <c r="B8" i="12" s="1"/>
  <c r="Q6" i="12"/>
  <c r="D7" i="12" s="1"/>
  <c r="P6" i="12"/>
  <c r="C7" i="12" s="1"/>
  <c r="O6" i="12"/>
  <c r="B7" i="12" s="1"/>
  <c r="Q5" i="12"/>
  <c r="D6" i="12" s="1"/>
  <c r="P5" i="12"/>
  <c r="C6" i="12" s="1"/>
  <c r="O5" i="12"/>
  <c r="B6" i="12" s="1"/>
  <c r="Q4" i="12"/>
  <c r="D5" i="12" s="1"/>
  <c r="P4" i="12"/>
  <c r="C5" i="12" s="1"/>
  <c r="O4" i="12"/>
  <c r="B5" i="12" s="1"/>
  <c r="Q3" i="12"/>
  <c r="D4" i="12" s="1"/>
  <c r="P3" i="12"/>
  <c r="O3" i="12"/>
  <c r="B4" i="12" s="1"/>
  <c r="X34" i="9"/>
  <c r="G35" i="9" s="1"/>
  <c r="W34" i="9"/>
  <c r="V34" i="9"/>
  <c r="E35" i="9" s="1"/>
  <c r="X33" i="9"/>
  <c r="G34" i="9" s="1"/>
  <c r="W33" i="9"/>
  <c r="F34" i="9" s="1"/>
  <c r="V33" i="9"/>
  <c r="E34" i="9" s="1"/>
  <c r="X32" i="9"/>
  <c r="G33" i="9" s="1"/>
  <c r="W32" i="9"/>
  <c r="F33" i="9" s="1"/>
  <c r="V32" i="9"/>
  <c r="E33" i="9" s="1"/>
  <c r="X31" i="9"/>
  <c r="G32" i="9" s="1"/>
  <c r="W31" i="9"/>
  <c r="F32" i="9" s="1"/>
  <c r="V31" i="9"/>
  <c r="E32" i="9" s="1"/>
  <c r="X30" i="9"/>
  <c r="G31" i="9" s="1"/>
  <c r="W30" i="9"/>
  <c r="F31" i="9" s="1"/>
  <c r="V30" i="9"/>
  <c r="E31" i="9" s="1"/>
  <c r="X29" i="9"/>
  <c r="G30" i="9" s="1"/>
  <c r="W29" i="9"/>
  <c r="F30" i="9" s="1"/>
  <c r="V29" i="9"/>
  <c r="E30" i="9" s="1"/>
  <c r="X28" i="9"/>
  <c r="G29" i="9" s="1"/>
  <c r="W28" i="9"/>
  <c r="F29" i="9" s="1"/>
  <c r="V28" i="9"/>
  <c r="E29" i="9" s="1"/>
  <c r="X27" i="9"/>
  <c r="G28" i="9" s="1"/>
  <c r="W27" i="9"/>
  <c r="F28" i="9" s="1"/>
  <c r="V27" i="9"/>
  <c r="E28" i="9" s="1"/>
  <c r="X26" i="9"/>
  <c r="G27" i="9" s="1"/>
  <c r="W26" i="9"/>
  <c r="F27" i="9" s="1"/>
  <c r="V26" i="9"/>
  <c r="E27" i="9" s="1"/>
  <c r="X25" i="9"/>
  <c r="G26" i="9" s="1"/>
  <c r="W25" i="9"/>
  <c r="F26" i="9" s="1"/>
  <c r="V25" i="9"/>
  <c r="X24" i="9"/>
  <c r="G25" i="9" s="1"/>
  <c r="W24" i="9"/>
  <c r="F25" i="9" s="1"/>
  <c r="V24" i="9"/>
  <c r="E25" i="9" s="1"/>
  <c r="X23" i="9"/>
  <c r="W23" i="9"/>
  <c r="F24" i="9" s="1"/>
  <c r="V23" i="9"/>
  <c r="E24" i="9" s="1"/>
  <c r="X22" i="9"/>
  <c r="G23" i="9" s="1"/>
  <c r="W22" i="9"/>
  <c r="F23" i="9" s="1"/>
  <c r="V22" i="9"/>
  <c r="E23" i="9" s="1"/>
  <c r="X21" i="9"/>
  <c r="G22" i="9" s="1"/>
  <c r="W21" i="9"/>
  <c r="F22" i="9" s="1"/>
  <c r="V21" i="9"/>
  <c r="X20" i="9"/>
  <c r="G21" i="9" s="1"/>
  <c r="W20" i="9"/>
  <c r="F21" i="9" s="1"/>
  <c r="V20" i="9"/>
  <c r="E21" i="9" s="1"/>
  <c r="X19" i="9"/>
  <c r="G20" i="9" s="1"/>
  <c r="W19" i="9"/>
  <c r="F20" i="9" s="1"/>
  <c r="V19" i="9"/>
  <c r="E20" i="9" s="1"/>
  <c r="X18" i="9"/>
  <c r="G19" i="9" s="1"/>
  <c r="W18" i="9"/>
  <c r="F19" i="9" s="1"/>
  <c r="V18" i="9"/>
  <c r="E19" i="9" s="1"/>
  <c r="X17" i="9"/>
  <c r="G18" i="9" s="1"/>
  <c r="W17" i="9"/>
  <c r="F18" i="9" s="1"/>
  <c r="V17" i="9"/>
  <c r="E18" i="9" s="1"/>
  <c r="X16" i="9"/>
  <c r="G17" i="9" s="1"/>
  <c r="W16" i="9"/>
  <c r="F17" i="9" s="1"/>
  <c r="V16" i="9"/>
  <c r="E17" i="9" s="1"/>
  <c r="X15" i="9"/>
  <c r="G16" i="9" s="1"/>
  <c r="W15" i="9"/>
  <c r="F16" i="9" s="1"/>
  <c r="V15" i="9"/>
  <c r="E16" i="9" s="1"/>
  <c r="X14" i="9"/>
  <c r="G15" i="9" s="1"/>
  <c r="W14" i="9"/>
  <c r="F15" i="9" s="1"/>
  <c r="V14" i="9"/>
  <c r="E15" i="9" s="1"/>
  <c r="X13" i="9"/>
  <c r="G14" i="9" s="1"/>
  <c r="W13" i="9"/>
  <c r="F14" i="9" s="1"/>
  <c r="V13" i="9"/>
  <c r="E14" i="9" s="1"/>
  <c r="X12" i="9"/>
  <c r="G13" i="9" s="1"/>
  <c r="W12" i="9"/>
  <c r="F13" i="9" s="1"/>
  <c r="V12" i="9"/>
  <c r="E13" i="9" s="1"/>
  <c r="X11" i="9"/>
  <c r="G12" i="9" s="1"/>
  <c r="W11" i="9"/>
  <c r="F12" i="9" s="1"/>
  <c r="V11" i="9"/>
  <c r="E12" i="9" s="1"/>
  <c r="X10" i="9"/>
  <c r="G11" i="9" s="1"/>
  <c r="W10" i="9"/>
  <c r="F11" i="9" s="1"/>
  <c r="V10" i="9"/>
  <c r="E11" i="9" s="1"/>
  <c r="X9" i="9"/>
  <c r="G10" i="9" s="1"/>
  <c r="W9" i="9"/>
  <c r="F10" i="9" s="1"/>
  <c r="V9" i="9"/>
  <c r="E10" i="9" s="1"/>
  <c r="X8" i="9"/>
  <c r="G9" i="9" s="1"/>
  <c r="W8" i="9"/>
  <c r="F9" i="9" s="1"/>
  <c r="V8" i="9"/>
  <c r="E9" i="9" s="1"/>
  <c r="X7" i="9"/>
  <c r="G8" i="9" s="1"/>
  <c r="W7" i="9"/>
  <c r="F8" i="9" s="1"/>
  <c r="V7" i="9"/>
  <c r="E8" i="9" s="1"/>
  <c r="X6" i="9"/>
  <c r="G7" i="9" s="1"/>
  <c r="W6" i="9"/>
  <c r="F7" i="9" s="1"/>
  <c r="V6" i="9"/>
  <c r="E7" i="9" s="1"/>
  <c r="X5" i="9"/>
  <c r="G6" i="9" s="1"/>
  <c r="W5" i="9"/>
  <c r="F6" i="9" s="1"/>
  <c r="V5" i="9"/>
  <c r="E6" i="9" s="1"/>
  <c r="X4" i="9"/>
  <c r="G5" i="9" s="1"/>
  <c r="W4" i="9"/>
  <c r="F5" i="9" s="1"/>
  <c r="V4" i="9"/>
  <c r="E5" i="9" s="1"/>
  <c r="X3" i="9"/>
  <c r="W3" i="9"/>
  <c r="F4" i="9" s="1"/>
  <c r="V3" i="9"/>
  <c r="E4" i="9" s="1"/>
  <c r="Q34" i="9"/>
  <c r="P34" i="9"/>
  <c r="O34" i="9"/>
  <c r="Q33" i="9"/>
  <c r="P33" i="9"/>
  <c r="O33" i="9"/>
  <c r="Q32" i="9"/>
  <c r="P32" i="9"/>
  <c r="O32" i="9"/>
  <c r="Q31" i="9"/>
  <c r="P31" i="9"/>
  <c r="O31" i="9"/>
  <c r="Q30" i="9"/>
  <c r="P30" i="9"/>
  <c r="O30" i="9"/>
  <c r="Q29" i="9"/>
  <c r="P29" i="9"/>
  <c r="O29" i="9"/>
  <c r="Q28" i="9"/>
  <c r="P28" i="9"/>
  <c r="O28" i="9"/>
  <c r="Q27" i="9"/>
  <c r="P27" i="9"/>
  <c r="O27" i="9"/>
  <c r="Q26" i="9"/>
  <c r="P26" i="9"/>
  <c r="O26" i="9"/>
  <c r="Q25" i="9"/>
  <c r="P25" i="9"/>
  <c r="O25" i="9"/>
  <c r="Q24" i="9"/>
  <c r="P24" i="9"/>
  <c r="O24" i="9"/>
  <c r="Q23" i="9"/>
  <c r="P23" i="9"/>
  <c r="O23" i="9"/>
  <c r="Q22" i="9"/>
  <c r="P22" i="9"/>
  <c r="O22" i="9"/>
  <c r="Q21" i="9"/>
  <c r="P21" i="9"/>
  <c r="O21" i="9"/>
  <c r="Q20" i="9"/>
  <c r="P20" i="9"/>
  <c r="O20" i="9"/>
  <c r="Q19" i="9"/>
  <c r="P19" i="9"/>
  <c r="O19" i="9"/>
  <c r="Q18" i="9"/>
  <c r="P18" i="9"/>
  <c r="O18" i="9"/>
  <c r="Q17" i="9"/>
  <c r="P17" i="9"/>
  <c r="O17" i="9"/>
  <c r="Q16" i="9"/>
  <c r="P16" i="9"/>
  <c r="O16" i="9"/>
  <c r="Q15" i="9"/>
  <c r="P15" i="9"/>
  <c r="O15" i="9"/>
  <c r="Q14" i="9"/>
  <c r="P14" i="9"/>
  <c r="O14" i="9"/>
  <c r="Q13" i="9"/>
  <c r="P13" i="9"/>
  <c r="O13" i="9"/>
  <c r="Q12" i="9"/>
  <c r="P12" i="9"/>
  <c r="O12" i="9"/>
  <c r="Q11" i="9"/>
  <c r="P11" i="9"/>
  <c r="O11" i="9"/>
  <c r="Q10" i="9"/>
  <c r="P10" i="9"/>
  <c r="O10" i="9"/>
  <c r="Q9" i="9"/>
  <c r="P9" i="9"/>
  <c r="O9" i="9"/>
  <c r="Q8" i="9"/>
  <c r="P8" i="9"/>
  <c r="O8" i="9"/>
  <c r="Q7" i="9"/>
  <c r="P7" i="9"/>
  <c r="O7" i="9"/>
  <c r="Q6" i="9"/>
  <c r="P6" i="9"/>
  <c r="O6" i="9"/>
  <c r="Q5" i="9"/>
  <c r="P5" i="9"/>
  <c r="O5" i="9"/>
  <c r="Q4" i="9"/>
  <c r="P4" i="9"/>
  <c r="O4" i="9"/>
  <c r="Q3" i="9"/>
  <c r="P3" i="9"/>
  <c r="O3" i="9"/>
  <c r="Q34" i="7"/>
  <c r="D35" i="7" s="1"/>
  <c r="P34" i="7"/>
  <c r="C35" i="7" s="1"/>
  <c r="O34" i="7"/>
  <c r="B35" i="7" s="1"/>
  <c r="Q33" i="7"/>
  <c r="D34" i="7" s="1"/>
  <c r="P33" i="7"/>
  <c r="C34" i="7" s="1"/>
  <c r="O33" i="7"/>
  <c r="B34" i="7" s="1"/>
  <c r="Q32" i="7"/>
  <c r="D33" i="7" s="1"/>
  <c r="P32" i="7"/>
  <c r="C33" i="7" s="1"/>
  <c r="O32" i="7"/>
  <c r="B33" i="7" s="1"/>
  <c r="Q31" i="7"/>
  <c r="D32" i="7" s="1"/>
  <c r="P31" i="7"/>
  <c r="C32" i="7" s="1"/>
  <c r="O31" i="7"/>
  <c r="B32" i="7" s="1"/>
  <c r="Q30" i="7"/>
  <c r="D31" i="7" s="1"/>
  <c r="P30" i="7"/>
  <c r="C31" i="7" s="1"/>
  <c r="O30" i="7"/>
  <c r="B31" i="7" s="1"/>
  <c r="Q29" i="7"/>
  <c r="D30" i="7" s="1"/>
  <c r="P29" i="7"/>
  <c r="C30" i="7" s="1"/>
  <c r="O29" i="7"/>
  <c r="B30" i="7" s="1"/>
  <c r="Q28" i="7"/>
  <c r="D29" i="7" s="1"/>
  <c r="P28" i="7"/>
  <c r="C29" i="7" s="1"/>
  <c r="O28" i="7"/>
  <c r="B29" i="7" s="1"/>
  <c r="Q27" i="7"/>
  <c r="D28" i="7" s="1"/>
  <c r="P27" i="7"/>
  <c r="C28" i="7" s="1"/>
  <c r="O27" i="7"/>
  <c r="B28" i="7" s="1"/>
  <c r="Q26" i="7"/>
  <c r="D27" i="7" s="1"/>
  <c r="P26" i="7"/>
  <c r="C27" i="7" s="1"/>
  <c r="O26" i="7"/>
  <c r="B27" i="7" s="1"/>
  <c r="Q25" i="7"/>
  <c r="D26" i="7" s="1"/>
  <c r="P25" i="7"/>
  <c r="C26" i="7" s="1"/>
  <c r="O25" i="7"/>
  <c r="B26" i="7" s="1"/>
  <c r="Q24" i="7"/>
  <c r="D25" i="7" s="1"/>
  <c r="P24" i="7"/>
  <c r="C25" i="7" s="1"/>
  <c r="O24" i="7"/>
  <c r="B25" i="7" s="1"/>
  <c r="Q23" i="7"/>
  <c r="D24" i="7" s="1"/>
  <c r="P23" i="7"/>
  <c r="C24" i="7" s="1"/>
  <c r="O23" i="7"/>
  <c r="B24" i="7" s="1"/>
  <c r="Q22" i="7"/>
  <c r="D23" i="7" s="1"/>
  <c r="P22" i="7"/>
  <c r="C23" i="7" s="1"/>
  <c r="O22" i="7"/>
  <c r="B23" i="7" s="1"/>
  <c r="Q21" i="7"/>
  <c r="D22" i="7" s="1"/>
  <c r="P21" i="7"/>
  <c r="C22" i="7" s="1"/>
  <c r="O21" i="7"/>
  <c r="B22" i="7" s="1"/>
  <c r="Q20" i="7"/>
  <c r="D21" i="7" s="1"/>
  <c r="P20" i="7"/>
  <c r="C21" i="7" s="1"/>
  <c r="O20" i="7"/>
  <c r="B21" i="7" s="1"/>
  <c r="Q19" i="7"/>
  <c r="D20" i="7" s="1"/>
  <c r="P19" i="7"/>
  <c r="C20" i="7" s="1"/>
  <c r="O19" i="7"/>
  <c r="B20" i="7" s="1"/>
  <c r="Q18" i="7"/>
  <c r="D19" i="7" s="1"/>
  <c r="P18" i="7"/>
  <c r="C19" i="7" s="1"/>
  <c r="O18" i="7"/>
  <c r="B19" i="7" s="1"/>
  <c r="Q17" i="7"/>
  <c r="D18" i="7" s="1"/>
  <c r="P17" i="7"/>
  <c r="C18" i="7" s="1"/>
  <c r="O17" i="7"/>
  <c r="B18" i="7" s="1"/>
  <c r="Q16" i="7"/>
  <c r="D17" i="7" s="1"/>
  <c r="P16" i="7"/>
  <c r="C17" i="7" s="1"/>
  <c r="O16" i="7"/>
  <c r="B17" i="7" s="1"/>
  <c r="Q15" i="7"/>
  <c r="D16" i="7" s="1"/>
  <c r="P15" i="7"/>
  <c r="C16" i="7" s="1"/>
  <c r="O15" i="7"/>
  <c r="B16" i="7" s="1"/>
  <c r="Q14" i="7"/>
  <c r="D15" i="7" s="1"/>
  <c r="P14" i="7"/>
  <c r="C15" i="7" s="1"/>
  <c r="O14" i="7"/>
  <c r="B15" i="7" s="1"/>
  <c r="Q13" i="7"/>
  <c r="D14" i="7" s="1"/>
  <c r="P13" i="7"/>
  <c r="C14" i="7" s="1"/>
  <c r="O13" i="7"/>
  <c r="B14" i="7" s="1"/>
  <c r="Q12" i="7"/>
  <c r="D13" i="7" s="1"/>
  <c r="P12" i="7"/>
  <c r="C13" i="7" s="1"/>
  <c r="O12" i="7"/>
  <c r="B13" i="7" s="1"/>
  <c r="Q11" i="7"/>
  <c r="D12" i="7" s="1"/>
  <c r="P11" i="7"/>
  <c r="C12" i="7" s="1"/>
  <c r="O11" i="7"/>
  <c r="B12" i="7" s="1"/>
  <c r="Q10" i="7"/>
  <c r="D11" i="7" s="1"/>
  <c r="P10" i="7"/>
  <c r="C11" i="7" s="1"/>
  <c r="O10" i="7"/>
  <c r="B11" i="7" s="1"/>
  <c r="Q9" i="7"/>
  <c r="D10" i="7" s="1"/>
  <c r="P9" i="7"/>
  <c r="C10" i="7" s="1"/>
  <c r="O9" i="7"/>
  <c r="B10" i="7" s="1"/>
  <c r="Q8" i="7"/>
  <c r="D9" i="7" s="1"/>
  <c r="P8" i="7"/>
  <c r="C9" i="7" s="1"/>
  <c r="O8" i="7"/>
  <c r="B9" i="7" s="1"/>
  <c r="Q7" i="7"/>
  <c r="D8" i="7" s="1"/>
  <c r="P7" i="7"/>
  <c r="C8" i="7" s="1"/>
  <c r="O7" i="7"/>
  <c r="B8" i="7" s="1"/>
  <c r="Q6" i="7"/>
  <c r="D7" i="7" s="1"/>
  <c r="P6" i="7"/>
  <c r="C7" i="7" s="1"/>
  <c r="O6" i="7"/>
  <c r="B7" i="7" s="1"/>
  <c r="Q5" i="7"/>
  <c r="D6" i="7" s="1"/>
  <c r="P5" i="7"/>
  <c r="C6" i="7" s="1"/>
  <c r="O5" i="7"/>
  <c r="Q4" i="7"/>
  <c r="D5" i="7" s="1"/>
  <c r="P4" i="7"/>
  <c r="C5" i="7" s="1"/>
  <c r="O4" i="7"/>
  <c r="B5" i="7" s="1"/>
  <c r="Q3" i="7"/>
  <c r="D4" i="7" s="1"/>
  <c r="P3" i="7"/>
  <c r="C4" i="7" s="1"/>
  <c r="O3" i="7"/>
  <c r="B4" i="7" s="1"/>
  <c r="X34" i="7"/>
  <c r="G35" i="7" s="1"/>
  <c r="W34" i="7"/>
  <c r="F35" i="7" s="1"/>
  <c r="V34" i="7"/>
  <c r="E35" i="7" s="1"/>
  <c r="X33" i="7"/>
  <c r="G34" i="7" s="1"/>
  <c r="W33" i="7"/>
  <c r="F34" i="7" s="1"/>
  <c r="V33" i="7"/>
  <c r="E34" i="7" s="1"/>
  <c r="X32" i="7"/>
  <c r="G33" i="7" s="1"/>
  <c r="W32" i="7"/>
  <c r="F33" i="7" s="1"/>
  <c r="V32" i="7"/>
  <c r="E33" i="7" s="1"/>
  <c r="X31" i="7"/>
  <c r="G32" i="7" s="1"/>
  <c r="W31" i="7"/>
  <c r="F32" i="7" s="1"/>
  <c r="V31" i="7"/>
  <c r="E32" i="7" s="1"/>
  <c r="X30" i="7"/>
  <c r="G31" i="7" s="1"/>
  <c r="W30" i="7"/>
  <c r="F31" i="7" s="1"/>
  <c r="V30" i="7"/>
  <c r="E31" i="7" s="1"/>
  <c r="X29" i="7"/>
  <c r="G30" i="7" s="1"/>
  <c r="W29" i="7"/>
  <c r="F30" i="7" s="1"/>
  <c r="V29" i="7"/>
  <c r="E30" i="7" s="1"/>
  <c r="X28" i="7"/>
  <c r="G29" i="7" s="1"/>
  <c r="W28" i="7"/>
  <c r="F29" i="7" s="1"/>
  <c r="V28" i="7"/>
  <c r="E29" i="7" s="1"/>
  <c r="X27" i="7"/>
  <c r="G28" i="7" s="1"/>
  <c r="W27" i="7"/>
  <c r="F28" i="7" s="1"/>
  <c r="V27" i="7"/>
  <c r="E28" i="7" s="1"/>
  <c r="X26" i="7"/>
  <c r="G27" i="7" s="1"/>
  <c r="W26" i="7"/>
  <c r="F27" i="7" s="1"/>
  <c r="V26" i="7"/>
  <c r="E27" i="7" s="1"/>
  <c r="X25" i="7"/>
  <c r="G26" i="7" s="1"/>
  <c r="W25" i="7"/>
  <c r="F26" i="7" s="1"/>
  <c r="V25" i="7"/>
  <c r="E26" i="7" s="1"/>
  <c r="X24" i="7"/>
  <c r="G25" i="7" s="1"/>
  <c r="W24" i="7"/>
  <c r="F25" i="7" s="1"/>
  <c r="V24" i="7"/>
  <c r="E25" i="7" s="1"/>
  <c r="X23" i="7"/>
  <c r="G24" i="7" s="1"/>
  <c r="W23" i="7"/>
  <c r="F24" i="7" s="1"/>
  <c r="V23" i="7"/>
  <c r="E24" i="7" s="1"/>
  <c r="X22" i="7"/>
  <c r="G23" i="7" s="1"/>
  <c r="W22" i="7"/>
  <c r="F23" i="7" s="1"/>
  <c r="V22" i="7"/>
  <c r="E23" i="7" s="1"/>
  <c r="X21" i="7"/>
  <c r="G22" i="7" s="1"/>
  <c r="W21" i="7"/>
  <c r="F22" i="7" s="1"/>
  <c r="V21" i="7"/>
  <c r="E22" i="7" s="1"/>
  <c r="X20" i="7"/>
  <c r="G21" i="7" s="1"/>
  <c r="W20" i="7"/>
  <c r="F21" i="7" s="1"/>
  <c r="V20" i="7"/>
  <c r="E21" i="7" s="1"/>
  <c r="X19" i="7"/>
  <c r="G20" i="7" s="1"/>
  <c r="W19" i="7"/>
  <c r="F20" i="7" s="1"/>
  <c r="V19" i="7"/>
  <c r="E20" i="7" s="1"/>
  <c r="X18" i="7"/>
  <c r="G19" i="7" s="1"/>
  <c r="W18" i="7"/>
  <c r="F19" i="7" s="1"/>
  <c r="V18" i="7"/>
  <c r="E19" i="7" s="1"/>
  <c r="X17" i="7"/>
  <c r="G18" i="7" s="1"/>
  <c r="W17" i="7"/>
  <c r="F18" i="7" s="1"/>
  <c r="V17" i="7"/>
  <c r="E18" i="7" s="1"/>
  <c r="X16" i="7"/>
  <c r="G17" i="7" s="1"/>
  <c r="W16" i="7"/>
  <c r="F17" i="7" s="1"/>
  <c r="V16" i="7"/>
  <c r="E17" i="7" s="1"/>
  <c r="X15" i="7"/>
  <c r="G16" i="7" s="1"/>
  <c r="W15" i="7"/>
  <c r="F16" i="7" s="1"/>
  <c r="V15" i="7"/>
  <c r="E16" i="7" s="1"/>
  <c r="X14" i="7"/>
  <c r="G15" i="7" s="1"/>
  <c r="W14" i="7"/>
  <c r="F15" i="7" s="1"/>
  <c r="V14" i="7"/>
  <c r="E15" i="7" s="1"/>
  <c r="X13" i="7"/>
  <c r="G14" i="7" s="1"/>
  <c r="W13" i="7"/>
  <c r="F14" i="7" s="1"/>
  <c r="V13" i="7"/>
  <c r="E14" i="7" s="1"/>
  <c r="X12" i="7"/>
  <c r="G13" i="7" s="1"/>
  <c r="W12" i="7"/>
  <c r="F13" i="7" s="1"/>
  <c r="V12" i="7"/>
  <c r="E13" i="7" s="1"/>
  <c r="X11" i="7"/>
  <c r="G12" i="7" s="1"/>
  <c r="W11" i="7"/>
  <c r="F12" i="7" s="1"/>
  <c r="V11" i="7"/>
  <c r="E12" i="7" s="1"/>
  <c r="X10" i="7"/>
  <c r="G11" i="7" s="1"/>
  <c r="W10" i="7"/>
  <c r="F11" i="7" s="1"/>
  <c r="V10" i="7"/>
  <c r="E11" i="7" s="1"/>
  <c r="X9" i="7"/>
  <c r="G10" i="7" s="1"/>
  <c r="W9" i="7"/>
  <c r="F10" i="7" s="1"/>
  <c r="V9" i="7"/>
  <c r="E10" i="7" s="1"/>
  <c r="X8" i="7"/>
  <c r="G9" i="7" s="1"/>
  <c r="W8" i="7"/>
  <c r="F9" i="7" s="1"/>
  <c r="V8" i="7"/>
  <c r="E9" i="7" s="1"/>
  <c r="X7" i="7"/>
  <c r="W7" i="7"/>
  <c r="F8" i="7" s="1"/>
  <c r="V7" i="7"/>
  <c r="E8" i="7" s="1"/>
  <c r="X6" i="7"/>
  <c r="G7" i="7" s="1"/>
  <c r="W6" i="7"/>
  <c r="F7" i="7" s="1"/>
  <c r="V6" i="7"/>
  <c r="E7" i="7" s="1"/>
  <c r="X5" i="7"/>
  <c r="G6" i="7" s="1"/>
  <c r="W5" i="7"/>
  <c r="F6" i="7" s="1"/>
  <c r="V5" i="7"/>
  <c r="E6" i="7" s="1"/>
  <c r="X4" i="7"/>
  <c r="G5" i="7" s="1"/>
  <c r="W4" i="7"/>
  <c r="F5" i="7" s="1"/>
  <c r="V4" i="7"/>
  <c r="E5" i="7" s="1"/>
  <c r="X3" i="7"/>
  <c r="W3" i="7"/>
  <c r="F4" i="7" s="1"/>
  <c r="V3" i="7"/>
  <c r="E4" i="7" s="1"/>
  <c r="X34" i="8"/>
  <c r="G35" i="8" s="1"/>
  <c r="W34" i="8"/>
  <c r="F35" i="8" s="1"/>
  <c r="V34" i="8"/>
  <c r="E35" i="8" s="1"/>
  <c r="X33" i="8"/>
  <c r="G34" i="8" s="1"/>
  <c r="W33" i="8"/>
  <c r="F34" i="8" s="1"/>
  <c r="V33" i="8"/>
  <c r="E34" i="8" s="1"/>
  <c r="X32" i="8"/>
  <c r="G33" i="8" s="1"/>
  <c r="W32" i="8"/>
  <c r="F33" i="8" s="1"/>
  <c r="V32" i="8"/>
  <c r="E33" i="8" s="1"/>
  <c r="X31" i="8"/>
  <c r="G32" i="8" s="1"/>
  <c r="W31" i="8"/>
  <c r="F32" i="8" s="1"/>
  <c r="V31" i="8"/>
  <c r="E32" i="8" s="1"/>
  <c r="X30" i="8"/>
  <c r="G31" i="8" s="1"/>
  <c r="W30" i="8"/>
  <c r="F31" i="8" s="1"/>
  <c r="V30" i="8"/>
  <c r="E31" i="8" s="1"/>
  <c r="X29" i="8"/>
  <c r="G30" i="8" s="1"/>
  <c r="W29" i="8"/>
  <c r="F30" i="8" s="1"/>
  <c r="V29" i="8"/>
  <c r="E30" i="8" s="1"/>
  <c r="X28" i="8"/>
  <c r="G29" i="8" s="1"/>
  <c r="W28" i="8"/>
  <c r="F29" i="8" s="1"/>
  <c r="V28" i="8"/>
  <c r="E29" i="8" s="1"/>
  <c r="X27" i="8"/>
  <c r="G28" i="8" s="1"/>
  <c r="W27" i="8"/>
  <c r="F28" i="8" s="1"/>
  <c r="V27" i="8"/>
  <c r="E28" i="8" s="1"/>
  <c r="X26" i="8"/>
  <c r="G27" i="8" s="1"/>
  <c r="W26" i="8"/>
  <c r="F27" i="8" s="1"/>
  <c r="V26" i="8"/>
  <c r="E27" i="8" s="1"/>
  <c r="X25" i="8"/>
  <c r="G26" i="8" s="1"/>
  <c r="W25" i="8"/>
  <c r="F26" i="8" s="1"/>
  <c r="V25" i="8"/>
  <c r="E26" i="8" s="1"/>
  <c r="X24" i="8"/>
  <c r="G25" i="8" s="1"/>
  <c r="W24" i="8"/>
  <c r="F25" i="8" s="1"/>
  <c r="V24" i="8"/>
  <c r="E25" i="8" s="1"/>
  <c r="X23" i="8"/>
  <c r="G24" i="8" s="1"/>
  <c r="W23" i="8"/>
  <c r="F24" i="8" s="1"/>
  <c r="V23" i="8"/>
  <c r="E24" i="8" s="1"/>
  <c r="X22" i="8"/>
  <c r="G23" i="8" s="1"/>
  <c r="W22" i="8"/>
  <c r="F23" i="8" s="1"/>
  <c r="V22" i="8"/>
  <c r="E23" i="8" s="1"/>
  <c r="X21" i="8"/>
  <c r="G22" i="8" s="1"/>
  <c r="W21" i="8"/>
  <c r="F22" i="8" s="1"/>
  <c r="V21" i="8"/>
  <c r="E22" i="8" s="1"/>
  <c r="X20" i="8"/>
  <c r="G21" i="8" s="1"/>
  <c r="W20" i="8"/>
  <c r="F21" i="8" s="1"/>
  <c r="V20" i="8"/>
  <c r="E21" i="8" s="1"/>
  <c r="X19" i="8"/>
  <c r="G20" i="8" s="1"/>
  <c r="W19" i="8"/>
  <c r="F20" i="8" s="1"/>
  <c r="V19" i="8"/>
  <c r="E20" i="8" s="1"/>
  <c r="X18" i="8"/>
  <c r="G19" i="8" s="1"/>
  <c r="W18" i="8"/>
  <c r="F19" i="8" s="1"/>
  <c r="V18" i="8"/>
  <c r="E19" i="8" s="1"/>
  <c r="X17" i="8"/>
  <c r="G18" i="8" s="1"/>
  <c r="W17" i="8"/>
  <c r="F18" i="8" s="1"/>
  <c r="V17" i="8"/>
  <c r="E18" i="8" s="1"/>
  <c r="X16" i="8"/>
  <c r="G17" i="8" s="1"/>
  <c r="W16" i="8"/>
  <c r="F17" i="8" s="1"/>
  <c r="V16" i="8"/>
  <c r="E17" i="8" s="1"/>
  <c r="X15" i="8"/>
  <c r="G16" i="8" s="1"/>
  <c r="W15" i="8"/>
  <c r="F16" i="8" s="1"/>
  <c r="V15" i="8"/>
  <c r="E16" i="8" s="1"/>
  <c r="X14" i="8"/>
  <c r="G15" i="8" s="1"/>
  <c r="W14" i="8"/>
  <c r="F15" i="8" s="1"/>
  <c r="V14" i="8"/>
  <c r="E15" i="8" s="1"/>
  <c r="X13" i="8"/>
  <c r="G14" i="8" s="1"/>
  <c r="W13" i="8"/>
  <c r="F14" i="8" s="1"/>
  <c r="V13" i="8"/>
  <c r="E14" i="8" s="1"/>
  <c r="X12" i="8"/>
  <c r="G13" i="8" s="1"/>
  <c r="W12" i="8"/>
  <c r="F13" i="8" s="1"/>
  <c r="V12" i="8"/>
  <c r="E13" i="8" s="1"/>
  <c r="X11" i="8"/>
  <c r="G12" i="8" s="1"/>
  <c r="W11" i="8"/>
  <c r="F12" i="8" s="1"/>
  <c r="V11" i="8"/>
  <c r="E12" i="8" s="1"/>
  <c r="X10" i="8"/>
  <c r="G11" i="8" s="1"/>
  <c r="W10" i="8"/>
  <c r="F11" i="8" s="1"/>
  <c r="V10" i="8"/>
  <c r="E11" i="8" s="1"/>
  <c r="X9" i="8"/>
  <c r="G10" i="8" s="1"/>
  <c r="W9" i="8"/>
  <c r="F10" i="8" s="1"/>
  <c r="V9" i="8"/>
  <c r="E10" i="8" s="1"/>
  <c r="X8" i="8"/>
  <c r="G9" i="8" s="1"/>
  <c r="W8" i="8"/>
  <c r="F9" i="8" s="1"/>
  <c r="V8" i="8"/>
  <c r="E9" i="8" s="1"/>
  <c r="X7" i="8"/>
  <c r="G8" i="8" s="1"/>
  <c r="W7" i="8"/>
  <c r="F8" i="8" s="1"/>
  <c r="V7" i="8"/>
  <c r="E8" i="8" s="1"/>
  <c r="X6" i="8"/>
  <c r="G7" i="8" s="1"/>
  <c r="W6" i="8"/>
  <c r="F7" i="8" s="1"/>
  <c r="V6" i="8"/>
  <c r="E7" i="8" s="1"/>
  <c r="X5" i="8"/>
  <c r="G6" i="8" s="1"/>
  <c r="W5" i="8"/>
  <c r="F6" i="8" s="1"/>
  <c r="V5" i="8"/>
  <c r="E6" i="8" s="1"/>
  <c r="X4" i="8"/>
  <c r="G5" i="8" s="1"/>
  <c r="W4" i="8"/>
  <c r="F5" i="8" s="1"/>
  <c r="V4" i="8"/>
  <c r="E5" i="8" s="1"/>
  <c r="X3" i="8"/>
  <c r="G4" i="8" s="1"/>
  <c r="W3" i="8"/>
  <c r="F4" i="8" s="1"/>
  <c r="V3" i="8"/>
  <c r="E4" i="8" s="1"/>
  <c r="X34" i="3"/>
  <c r="G35" i="3" s="1"/>
  <c r="F75" i="3" s="1"/>
  <c r="W34" i="3"/>
  <c r="F35" i="3" s="1"/>
  <c r="V34" i="3"/>
  <c r="X33" i="3"/>
  <c r="G34" i="3" s="1"/>
  <c r="W33" i="3"/>
  <c r="F34" i="3" s="1"/>
  <c r="V33" i="3"/>
  <c r="E34" i="3" s="1"/>
  <c r="X32" i="3"/>
  <c r="G33" i="3" s="1"/>
  <c r="W32" i="3"/>
  <c r="F33" i="3" s="1"/>
  <c r="V32" i="3"/>
  <c r="E33" i="3" s="1"/>
  <c r="X31" i="3"/>
  <c r="G32" i="3" s="1"/>
  <c r="W31" i="3"/>
  <c r="F32" i="3" s="1"/>
  <c r="V31" i="3"/>
  <c r="E32" i="3" s="1"/>
  <c r="X30" i="3"/>
  <c r="G31" i="3" s="1"/>
  <c r="W30" i="3"/>
  <c r="F31" i="3" s="1"/>
  <c r="V30" i="3"/>
  <c r="E31" i="3" s="1"/>
  <c r="X29" i="3"/>
  <c r="G30" i="3" s="1"/>
  <c r="W29" i="3"/>
  <c r="F30" i="3" s="1"/>
  <c r="V29" i="3"/>
  <c r="E30" i="3" s="1"/>
  <c r="X28" i="3"/>
  <c r="G29" i="3" s="1"/>
  <c r="W28" i="3"/>
  <c r="F29" i="3" s="1"/>
  <c r="V28" i="3"/>
  <c r="E29" i="3" s="1"/>
  <c r="X27" i="3"/>
  <c r="G28" i="3" s="1"/>
  <c r="W27" i="3"/>
  <c r="F28" i="3" s="1"/>
  <c r="V27" i="3"/>
  <c r="E28" i="3" s="1"/>
  <c r="X26" i="3"/>
  <c r="G27" i="3" s="1"/>
  <c r="W26" i="3"/>
  <c r="F27" i="3" s="1"/>
  <c r="V26" i="3"/>
  <c r="E27" i="3" s="1"/>
  <c r="X25" i="3"/>
  <c r="G26" i="3" s="1"/>
  <c r="W25" i="3"/>
  <c r="F26" i="3" s="1"/>
  <c r="V25" i="3"/>
  <c r="E26" i="3" s="1"/>
  <c r="X24" i="3"/>
  <c r="G25" i="3" s="1"/>
  <c r="W24" i="3"/>
  <c r="F25" i="3" s="1"/>
  <c r="V24" i="3"/>
  <c r="E25" i="3" s="1"/>
  <c r="X23" i="3"/>
  <c r="G24" i="3" s="1"/>
  <c r="W23" i="3"/>
  <c r="V23" i="3"/>
  <c r="E24" i="3" s="1"/>
  <c r="X22" i="3"/>
  <c r="G23" i="3" s="1"/>
  <c r="W22" i="3"/>
  <c r="F23" i="3" s="1"/>
  <c r="V22" i="3"/>
  <c r="X21" i="3"/>
  <c r="G22" i="3" s="1"/>
  <c r="W21" i="3"/>
  <c r="F22" i="3" s="1"/>
  <c r="V21" i="3"/>
  <c r="E22" i="3" s="1"/>
  <c r="X20" i="3"/>
  <c r="G21" i="3" s="1"/>
  <c r="W20" i="3"/>
  <c r="F21" i="3" s="1"/>
  <c r="V20" i="3"/>
  <c r="E21" i="3" s="1"/>
  <c r="X19" i="3"/>
  <c r="G20" i="3" s="1"/>
  <c r="W19" i="3"/>
  <c r="F20" i="3" s="1"/>
  <c r="V19" i="3"/>
  <c r="E20" i="3" s="1"/>
  <c r="X18" i="3"/>
  <c r="G19" i="3" s="1"/>
  <c r="W18" i="3"/>
  <c r="F19" i="3" s="1"/>
  <c r="V18" i="3"/>
  <c r="E19" i="3" s="1"/>
  <c r="X17" i="3"/>
  <c r="G18" i="3" s="1"/>
  <c r="W17" i="3"/>
  <c r="F18" i="3" s="1"/>
  <c r="V17" i="3"/>
  <c r="E18" i="3" s="1"/>
  <c r="X16" i="3"/>
  <c r="G17" i="3" s="1"/>
  <c r="W16" i="3"/>
  <c r="F17" i="3" s="1"/>
  <c r="V16" i="3"/>
  <c r="E17" i="3" s="1"/>
  <c r="X15" i="3"/>
  <c r="G16" i="3" s="1"/>
  <c r="W15" i="3"/>
  <c r="F16" i="3" s="1"/>
  <c r="V15" i="3"/>
  <c r="E16" i="3" s="1"/>
  <c r="X14" i="3"/>
  <c r="G15" i="3" s="1"/>
  <c r="W14" i="3"/>
  <c r="F15" i="3" s="1"/>
  <c r="V14" i="3"/>
  <c r="E15" i="3" s="1"/>
  <c r="X13" i="3"/>
  <c r="G14" i="3" s="1"/>
  <c r="W13" i="3"/>
  <c r="F14" i="3" s="1"/>
  <c r="V13" i="3"/>
  <c r="E14" i="3" s="1"/>
  <c r="X12" i="3"/>
  <c r="G13" i="3" s="1"/>
  <c r="W12" i="3"/>
  <c r="F13" i="3" s="1"/>
  <c r="V12" i="3"/>
  <c r="E13" i="3" s="1"/>
  <c r="X11" i="3"/>
  <c r="G12" i="3" s="1"/>
  <c r="W11" i="3"/>
  <c r="F12" i="3" s="1"/>
  <c r="V11" i="3"/>
  <c r="E12" i="3" s="1"/>
  <c r="X10" i="3"/>
  <c r="G11" i="3" s="1"/>
  <c r="W10" i="3"/>
  <c r="F11" i="3" s="1"/>
  <c r="V10" i="3"/>
  <c r="E11" i="3" s="1"/>
  <c r="X9" i="3"/>
  <c r="G10" i="3" s="1"/>
  <c r="W9" i="3"/>
  <c r="F10" i="3" s="1"/>
  <c r="V9" i="3"/>
  <c r="E10" i="3" s="1"/>
  <c r="X8" i="3"/>
  <c r="G9" i="3" s="1"/>
  <c r="W8" i="3"/>
  <c r="F9" i="3" s="1"/>
  <c r="V8" i="3"/>
  <c r="E9" i="3" s="1"/>
  <c r="X7" i="3"/>
  <c r="G8" i="3" s="1"/>
  <c r="W7" i="3"/>
  <c r="F8" i="3" s="1"/>
  <c r="V7" i="3"/>
  <c r="E8" i="3" s="1"/>
  <c r="X6" i="3"/>
  <c r="G7" i="3" s="1"/>
  <c r="W6" i="3"/>
  <c r="F7" i="3" s="1"/>
  <c r="V6" i="3"/>
  <c r="E7" i="3" s="1"/>
  <c r="X5" i="3"/>
  <c r="G6" i="3" s="1"/>
  <c r="W5" i="3"/>
  <c r="F6" i="3" s="1"/>
  <c r="V5" i="3"/>
  <c r="E6" i="3" s="1"/>
  <c r="X4" i="3"/>
  <c r="G5" i="3" s="1"/>
  <c r="W4" i="3"/>
  <c r="F5" i="3" s="1"/>
  <c r="V4" i="3"/>
  <c r="E5" i="3" s="1"/>
  <c r="X3" i="3"/>
  <c r="G4" i="3" s="1"/>
  <c r="W3" i="3"/>
  <c r="F4" i="3" s="1"/>
  <c r="V3" i="3"/>
  <c r="E4" i="3" s="1"/>
  <c r="X34" i="6"/>
  <c r="G35" i="6" s="1"/>
  <c r="W34" i="6"/>
  <c r="F35" i="6" s="1"/>
  <c r="V34" i="6"/>
  <c r="E35" i="6" s="1"/>
  <c r="X33" i="6"/>
  <c r="G34" i="6" s="1"/>
  <c r="W33" i="6"/>
  <c r="F34" i="6" s="1"/>
  <c r="V33" i="6"/>
  <c r="E34" i="6" s="1"/>
  <c r="X32" i="6"/>
  <c r="G33" i="6" s="1"/>
  <c r="W32" i="6"/>
  <c r="F33" i="6" s="1"/>
  <c r="V32" i="6"/>
  <c r="E33" i="6" s="1"/>
  <c r="X31" i="6"/>
  <c r="G32" i="6" s="1"/>
  <c r="W31" i="6"/>
  <c r="F32" i="6" s="1"/>
  <c r="V31" i="6"/>
  <c r="E32" i="6" s="1"/>
  <c r="X30" i="6"/>
  <c r="G31" i="6" s="1"/>
  <c r="W30" i="6"/>
  <c r="F31" i="6" s="1"/>
  <c r="V30" i="6"/>
  <c r="E31" i="6" s="1"/>
  <c r="X29" i="6"/>
  <c r="G30" i="6" s="1"/>
  <c r="W29" i="6"/>
  <c r="F30" i="6" s="1"/>
  <c r="V29" i="6"/>
  <c r="E30" i="6" s="1"/>
  <c r="X28" i="6"/>
  <c r="G29" i="6" s="1"/>
  <c r="W28" i="6"/>
  <c r="F29" i="6" s="1"/>
  <c r="V28" i="6"/>
  <c r="E29" i="6" s="1"/>
  <c r="X27" i="6"/>
  <c r="G28" i="6" s="1"/>
  <c r="W27" i="6"/>
  <c r="F28" i="6" s="1"/>
  <c r="V27" i="6"/>
  <c r="E28" i="6" s="1"/>
  <c r="X26" i="6"/>
  <c r="G27" i="6" s="1"/>
  <c r="W26" i="6"/>
  <c r="F27" i="6" s="1"/>
  <c r="V26" i="6"/>
  <c r="E27" i="6" s="1"/>
  <c r="X25" i="6"/>
  <c r="G26" i="6" s="1"/>
  <c r="W25" i="6"/>
  <c r="F26" i="6" s="1"/>
  <c r="V25" i="6"/>
  <c r="X24" i="6"/>
  <c r="G25" i="6" s="1"/>
  <c r="W24" i="6"/>
  <c r="F25" i="6" s="1"/>
  <c r="V24" i="6"/>
  <c r="E25" i="6" s="1"/>
  <c r="X23" i="6"/>
  <c r="G24" i="6" s="1"/>
  <c r="W23" i="6"/>
  <c r="V23" i="6"/>
  <c r="E24" i="6" s="1"/>
  <c r="X22" i="6"/>
  <c r="G23" i="6" s="1"/>
  <c r="W22" i="6"/>
  <c r="F23" i="6" s="1"/>
  <c r="V22" i="6"/>
  <c r="X21" i="6"/>
  <c r="G22" i="6" s="1"/>
  <c r="W21" i="6"/>
  <c r="F22" i="6" s="1"/>
  <c r="V21" i="6"/>
  <c r="E22" i="6" s="1"/>
  <c r="X20" i="6"/>
  <c r="G21" i="6" s="1"/>
  <c r="W20" i="6"/>
  <c r="F21" i="6" s="1"/>
  <c r="V20" i="6"/>
  <c r="E21" i="6" s="1"/>
  <c r="X19" i="6"/>
  <c r="G20" i="6" s="1"/>
  <c r="W19" i="6"/>
  <c r="F20" i="6" s="1"/>
  <c r="V19" i="6"/>
  <c r="E20" i="6" s="1"/>
  <c r="X18" i="6"/>
  <c r="G19" i="6" s="1"/>
  <c r="W18" i="6"/>
  <c r="F19" i="6" s="1"/>
  <c r="V18" i="6"/>
  <c r="E19" i="6" s="1"/>
  <c r="X17" i="6"/>
  <c r="G18" i="6" s="1"/>
  <c r="W17" i="6"/>
  <c r="F18" i="6" s="1"/>
  <c r="V17" i="6"/>
  <c r="E18" i="6" s="1"/>
  <c r="X16" i="6"/>
  <c r="G17" i="6" s="1"/>
  <c r="W16" i="6"/>
  <c r="F17" i="6" s="1"/>
  <c r="V16" i="6"/>
  <c r="E17" i="6" s="1"/>
  <c r="X15" i="6"/>
  <c r="G16" i="6" s="1"/>
  <c r="W15" i="6"/>
  <c r="F16" i="6" s="1"/>
  <c r="V15" i="6"/>
  <c r="E16" i="6" s="1"/>
  <c r="X14" i="6"/>
  <c r="G15" i="6" s="1"/>
  <c r="W14" i="6"/>
  <c r="V14" i="6"/>
  <c r="E15" i="6" s="1"/>
  <c r="X13" i="6"/>
  <c r="G14" i="6" s="1"/>
  <c r="W13" i="6"/>
  <c r="F14" i="6" s="1"/>
  <c r="V13" i="6"/>
  <c r="E14" i="6" s="1"/>
  <c r="X12" i="6"/>
  <c r="W12" i="6"/>
  <c r="F13" i="6" s="1"/>
  <c r="V12" i="6"/>
  <c r="E13" i="6" s="1"/>
  <c r="X11" i="6"/>
  <c r="G12" i="6" s="1"/>
  <c r="W11" i="6"/>
  <c r="F12" i="6" s="1"/>
  <c r="V11" i="6"/>
  <c r="E12" i="6" s="1"/>
  <c r="X10" i="6"/>
  <c r="G11" i="6" s="1"/>
  <c r="W10" i="6"/>
  <c r="F11" i="6" s="1"/>
  <c r="V10" i="6"/>
  <c r="E11" i="6" s="1"/>
  <c r="X9" i="6"/>
  <c r="G10" i="6" s="1"/>
  <c r="W9" i="6"/>
  <c r="F10" i="6" s="1"/>
  <c r="V9" i="6"/>
  <c r="E10" i="6" s="1"/>
  <c r="X8" i="6"/>
  <c r="G9" i="6" s="1"/>
  <c r="W8" i="6"/>
  <c r="F9" i="6" s="1"/>
  <c r="V8" i="6"/>
  <c r="E9" i="6" s="1"/>
  <c r="X7" i="6"/>
  <c r="G8" i="6" s="1"/>
  <c r="W7" i="6"/>
  <c r="V7" i="6"/>
  <c r="E8" i="6" s="1"/>
  <c r="X6" i="6"/>
  <c r="G7" i="6" s="1"/>
  <c r="W6" i="6"/>
  <c r="F7" i="6" s="1"/>
  <c r="V6" i="6"/>
  <c r="E7" i="6" s="1"/>
  <c r="X5" i="6"/>
  <c r="G6" i="6" s="1"/>
  <c r="W5" i="6"/>
  <c r="F6" i="6" s="1"/>
  <c r="V5" i="6"/>
  <c r="E6" i="6" s="1"/>
  <c r="X4" i="6"/>
  <c r="G5" i="6" s="1"/>
  <c r="W4" i="6"/>
  <c r="F5" i="6" s="1"/>
  <c r="V4" i="6"/>
  <c r="E5" i="6" s="1"/>
  <c r="X3" i="6"/>
  <c r="G4" i="6" s="1"/>
  <c r="W3" i="6"/>
  <c r="F4" i="6" s="1"/>
  <c r="V3" i="6"/>
  <c r="E4" i="6" s="1"/>
  <c r="O15" i="6"/>
  <c r="B16" i="6" s="1"/>
  <c r="P15" i="6"/>
  <c r="Q15" i="6"/>
  <c r="D16" i="6" s="1"/>
  <c r="O16" i="6"/>
  <c r="B17" i="6" s="1"/>
  <c r="P16" i="6"/>
  <c r="C17" i="6" s="1"/>
  <c r="Q16" i="6"/>
  <c r="D17" i="6" s="1"/>
  <c r="O17" i="6"/>
  <c r="B18" i="6" s="1"/>
  <c r="P17" i="6"/>
  <c r="C18" i="6" s="1"/>
  <c r="Q17" i="6"/>
  <c r="D18" i="6" s="1"/>
  <c r="O18" i="6"/>
  <c r="P18" i="6"/>
  <c r="Q18" i="6"/>
  <c r="D19" i="6" s="1"/>
  <c r="O19" i="6"/>
  <c r="B20" i="6" s="1"/>
  <c r="P19" i="6"/>
  <c r="C20" i="6" s="1"/>
  <c r="Q19" i="6"/>
  <c r="D20" i="6" s="1"/>
  <c r="O20" i="6"/>
  <c r="B21" i="6" s="1"/>
  <c r="P20" i="6"/>
  <c r="C21" i="6" s="1"/>
  <c r="Q20" i="6"/>
  <c r="O21" i="6"/>
  <c r="B22" i="6" s="1"/>
  <c r="P21" i="6"/>
  <c r="C22" i="6" s="1"/>
  <c r="Q21" i="6"/>
  <c r="D22" i="6" s="1"/>
  <c r="O22" i="6"/>
  <c r="P22" i="6"/>
  <c r="C23" i="6" s="1"/>
  <c r="Q22" i="6"/>
  <c r="D23" i="6" s="1"/>
  <c r="O23" i="6"/>
  <c r="B24" i="6" s="1"/>
  <c r="P23" i="6"/>
  <c r="Q23" i="6"/>
  <c r="D24" i="6" s="1"/>
  <c r="O24" i="6"/>
  <c r="B25" i="6" s="1"/>
  <c r="P24" i="6"/>
  <c r="C25" i="6" s="1"/>
  <c r="Q24" i="6"/>
  <c r="D25" i="6" s="1"/>
  <c r="O25" i="6"/>
  <c r="B26" i="6" s="1"/>
  <c r="P25" i="6"/>
  <c r="C26" i="6" s="1"/>
  <c r="Q25" i="6"/>
  <c r="D26" i="6" s="1"/>
  <c r="O26" i="6"/>
  <c r="P26" i="6"/>
  <c r="C27" i="6" s="1"/>
  <c r="Q26" i="6"/>
  <c r="D27" i="6" s="1"/>
  <c r="O27" i="6"/>
  <c r="B28" i="6" s="1"/>
  <c r="P27" i="6"/>
  <c r="Q27" i="6"/>
  <c r="D28" i="6" s="1"/>
  <c r="O28" i="6"/>
  <c r="B29" i="6" s="1"/>
  <c r="P28" i="6"/>
  <c r="C29" i="6" s="1"/>
  <c r="Q28" i="6"/>
  <c r="O29" i="6"/>
  <c r="B30" i="6" s="1"/>
  <c r="P29" i="6"/>
  <c r="C30" i="6" s="1"/>
  <c r="Q29" i="6"/>
  <c r="D30" i="6" s="1"/>
  <c r="O30" i="6"/>
  <c r="B31" i="6" s="1"/>
  <c r="P30" i="6"/>
  <c r="C31" i="6" s="1"/>
  <c r="Q30" i="6"/>
  <c r="D31" i="6" s="1"/>
  <c r="O31" i="6"/>
  <c r="B32" i="6" s="1"/>
  <c r="P31" i="6"/>
  <c r="Q31" i="6"/>
  <c r="D32" i="6" s="1"/>
  <c r="O32" i="6"/>
  <c r="B33" i="6" s="1"/>
  <c r="P32" i="6"/>
  <c r="C33" i="6" s="1"/>
  <c r="Q32" i="6"/>
  <c r="O33" i="6"/>
  <c r="B34" i="6" s="1"/>
  <c r="P33" i="6"/>
  <c r="C34" i="6" s="1"/>
  <c r="Q33" i="6"/>
  <c r="D34" i="6" s="1"/>
  <c r="O34" i="6"/>
  <c r="P34" i="6"/>
  <c r="C35" i="6" s="1"/>
  <c r="Q34" i="6"/>
  <c r="D35" i="6" s="1"/>
  <c r="O19" i="3"/>
  <c r="B20" i="3" s="1"/>
  <c r="P19" i="3"/>
  <c r="Q19" i="3"/>
  <c r="D20" i="3" s="1"/>
  <c r="O20" i="3"/>
  <c r="B21" i="3" s="1"/>
  <c r="P20" i="3"/>
  <c r="C21" i="3" s="1"/>
  <c r="Q20" i="3"/>
  <c r="D21" i="3" s="1"/>
  <c r="O21" i="3"/>
  <c r="B22" i="3" s="1"/>
  <c r="P21" i="3"/>
  <c r="C22" i="3" s="1"/>
  <c r="Q21" i="3"/>
  <c r="D22" i="3" s="1"/>
  <c r="O22" i="3"/>
  <c r="P22" i="3"/>
  <c r="C23" i="3" s="1"/>
  <c r="Q22" i="3"/>
  <c r="D23" i="3" s="1"/>
  <c r="O23" i="3"/>
  <c r="B24" i="3" s="1"/>
  <c r="P23" i="3"/>
  <c r="C24" i="3" s="1"/>
  <c r="Q23" i="3"/>
  <c r="O24" i="3"/>
  <c r="B25" i="3" s="1"/>
  <c r="P24" i="3"/>
  <c r="C25" i="3" s="1"/>
  <c r="Q24" i="3"/>
  <c r="O25" i="3"/>
  <c r="B26" i="3" s="1"/>
  <c r="P25" i="3"/>
  <c r="C26" i="3" s="1"/>
  <c r="Q25" i="3"/>
  <c r="D26" i="3" s="1"/>
  <c r="O26" i="3"/>
  <c r="P26" i="3"/>
  <c r="C27" i="3" s="1"/>
  <c r="Q26" i="3"/>
  <c r="D27" i="3" s="1"/>
  <c r="O27" i="3"/>
  <c r="B28" i="3" s="1"/>
  <c r="P27" i="3"/>
  <c r="C28" i="3" s="1"/>
  <c r="Q27" i="3"/>
  <c r="O28" i="3"/>
  <c r="B29" i="3" s="1"/>
  <c r="P28" i="3"/>
  <c r="C29" i="3" s="1"/>
  <c r="Q28" i="3"/>
  <c r="O29" i="3"/>
  <c r="B30" i="3" s="1"/>
  <c r="P29" i="3"/>
  <c r="C30" i="3" s="1"/>
  <c r="Q29" i="3"/>
  <c r="D30" i="3" s="1"/>
  <c r="O30" i="3"/>
  <c r="B31" i="3" s="1"/>
  <c r="P30" i="3"/>
  <c r="C31" i="3" s="1"/>
  <c r="Q30" i="3"/>
  <c r="D31" i="3" s="1"/>
  <c r="O31" i="3"/>
  <c r="B32" i="3" s="1"/>
  <c r="P31" i="3"/>
  <c r="Q31" i="3"/>
  <c r="D32" i="3" s="1"/>
  <c r="O32" i="3"/>
  <c r="B33" i="3" s="1"/>
  <c r="P32" i="3"/>
  <c r="C33" i="3" s="1"/>
  <c r="Q32" i="3"/>
  <c r="D33" i="3" s="1"/>
  <c r="O33" i="3"/>
  <c r="B34" i="3" s="1"/>
  <c r="P33" i="3"/>
  <c r="C34" i="3" s="1"/>
  <c r="Q33" i="3"/>
  <c r="D34" i="3" s="1"/>
  <c r="O34" i="3"/>
  <c r="P34" i="3"/>
  <c r="C35" i="3" s="1"/>
  <c r="Q34" i="3"/>
  <c r="D35" i="3" s="1"/>
  <c r="O15" i="3"/>
  <c r="B16" i="3" s="1"/>
  <c r="P15" i="3"/>
  <c r="C16" i="3" s="1"/>
  <c r="Q15" i="3"/>
  <c r="D16" i="3" s="1"/>
  <c r="O4" i="3"/>
  <c r="B5" i="3" s="1"/>
  <c r="P4" i="3"/>
  <c r="C5" i="3" s="1"/>
  <c r="Q4" i="3"/>
  <c r="D5" i="3" s="1"/>
  <c r="O5" i="3"/>
  <c r="B6" i="3" s="1"/>
  <c r="P5" i="3"/>
  <c r="C6" i="3" s="1"/>
  <c r="Q5" i="3"/>
  <c r="D6" i="3" s="1"/>
  <c r="O6" i="3"/>
  <c r="B7" i="3" s="1"/>
  <c r="P6" i="3"/>
  <c r="C7" i="3" s="1"/>
  <c r="Q6" i="3"/>
  <c r="D7" i="3" s="1"/>
  <c r="O7" i="3"/>
  <c r="B8" i="3" s="1"/>
  <c r="P7" i="3"/>
  <c r="C8" i="3" s="1"/>
  <c r="Q7" i="3"/>
  <c r="D8" i="3" s="1"/>
  <c r="O8" i="3"/>
  <c r="B9" i="3" s="1"/>
  <c r="P8" i="3"/>
  <c r="C9" i="3" s="1"/>
  <c r="Q8" i="3"/>
  <c r="D9" i="3" s="1"/>
  <c r="O9" i="3"/>
  <c r="B10" i="3" s="1"/>
  <c r="P9" i="3"/>
  <c r="C10" i="3" s="1"/>
  <c r="Q9" i="3"/>
  <c r="D10" i="3" s="1"/>
  <c r="O10" i="3"/>
  <c r="P10" i="3"/>
  <c r="C11" i="3" s="1"/>
  <c r="Q10" i="3"/>
  <c r="D11" i="3" s="1"/>
  <c r="O11" i="3"/>
  <c r="B12" i="3" s="1"/>
  <c r="P11" i="3"/>
  <c r="Q11" i="3"/>
  <c r="D12" i="3" s="1"/>
  <c r="O12" i="3"/>
  <c r="B13" i="3" s="1"/>
  <c r="P12" i="3"/>
  <c r="C13" i="3" s="1"/>
  <c r="Q12" i="3"/>
  <c r="D13" i="3" s="1"/>
  <c r="O13" i="3"/>
  <c r="B14" i="3" s="1"/>
  <c r="P13" i="3"/>
  <c r="C14" i="3" s="1"/>
  <c r="Q13" i="3"/>
  <c r="D14" i="3" s="1"/>
  <c r="O14" i="3"/>
  <c r="B15" i="3" s="1"/>
  <c r="P14" i="3"/>
  <c r="C15" i="3" s="1"/>
  <c r="Q14" i="3"/>
  <c r="D15" i="3" s="1"/>
  <c r="P15" i="8"/>
  <c r="C16" i="8" s="1"/>
  <c r="Q15" i="8"/>
  <c r="P16" i="8"/>
  <c r="C17" i="8" s="1"/>
  <c r="Q16" i="8"/>
  <c r="D17" i="8" s="1"/>
  <c r="P17" i="8"/>
  <c r="C18" i="8" s="1"/>
  <c r="Q17" i="8"/>
  <c r="D18" i="8" s="1"/>
  <c r="P18" i="8"/>
  <c r="C19" i="8" s="1"/>
  <c r="Q18" i="8"/>
  <c r="D19" i="8" s="1"/>
  <c r="P19" i="8"/>
  <c r="C20" i="8" s="1"/>
  <c r="Q19" i="8"/>
  <c r="D20" i="8" s="1"/>
  <c r="P20" i="8"/>
  <c r="C21" i="8" s="1"/>
  <c r="Q20" i="8"/>
  <c r="D21" i="8" s="1"/>
  <c r="P21" i="8"/>
  <c r="C22" i="8" s="1"/>
  <c r="Q21" i="8"/>
  <c r="D22" i="8" s="1"/>
  <c r="P22" i="8"/>
  <c r="C23" i="8" s="1"/>
  <c r="Q22" i="8"/>
  <c r="D23" i="8" s="1"/>
  <c r="P23" i="8"/>
  <c r="C24" i="8" s="1"/>
  <c r="Q23" i="8"/>
  <c r="D24" i="8" s="1"/>
  <c r="P24" i="8"/>
  <c r="C25" i="8" s="1"/>
  <c r="Q24" i="8"/>
  <c r="D25" i="8" s="1"/>
  <c r="P25" i="8"/>
  <c r="C26" i="8" s="1"/>
  <c r="Q25" i="8"/>
  <c r="D26" i="8" s="1"/>
  <c r="P26" i="8"/>
  <c r="C27" i="8" s="1"/>
  <c r="Q26" i="8"/>
  <c r="D27" i="8" s="1"/>
  <c r="P27" i="8"/>
  <c r="C28" i="8" s="1"/>
  <c r="Q27" i="8"/>
  <c r="D28" i="8" s="1"/>
  <c r="P28" i="8"/>
  <c r="C29" i="8" s="1"/>
  <c r="Q28" i="8"/>
  <c r="D29" i="8" s="1"/>
  <c r="P29" i="8"/>
  <c r="C30" i="8" s="1"/>
  <c r="Q29" i="8"/>
  <c r="D30" i="8" s="1"/>
  <c r="P30" i="8"/>
  <c r="C31" i="8" s="1"/>
  <c r="Q30" i="8"/>
  <c r="D31" i="8" s="1"/>
  <c r="P31" i="8"/>
  <c r="C32" i="8" s="1"/>
  <c r="Q31" i="8"/>
  <c r="D32" i="8" s="1"/>
  <c r="P32" i="8"/>
  <c r="C33" i="8" s="1"/>
  <c r="Q32" i="8"/>
  <c r="D33" i="8" s="1"/>
  <c r="P33" i="8"/>
  <c r="C34" i="8" s="1"/>
  <c r="Q33" i="8"/>
  <c r="D34" i="8" s="1"/>
  <c r="P34" i="8"/>
  <c r="C35" i="8" s="1"/>
  <c r="Q34" i="8"/>
  <c r="D35" i="8" s="1"/>
  <c r="O15" i="8"/>
  <c r="B16" i="8" s="1"/>
  <c r="O16" i="8"/>
  <c r="B17" i="8" s="1"/>
  <c r="O17" i="8"/>
  <c r="B18" i="8" s="1"/>
  <c r="O18" i="8"/>
  <c r="B19" i="8" s="1"/>
  <c r="O19" i="8"/>
  <c r="O20" i="8"/>
  <c r="B21" i="8" s="1"/>
  <c r="O21" i="8"/>
  <c r="B22" i="8" s="1"/>
  <c r="O22" i="8"/>
  <c r="B23" i="8" s="1"/>
  <c r="O23" i="8"/>
  <c r="B24" i="8" s="1"/>
  <c r="O24" i="8"/>
  <c r="B25" i="8" s="1"/>
  <c r="O25" i="8"/>
  <c r="B26" i="8" s="1"/>
  <c r="O26" i="8"/>
  <c r="B27" i="8" s="1"/>
  <c r="O27" i="8"/>
  <c r="B28" i="8" s="1"/>
  <c r="O28" i="8"/>
  <c r="B29" i="8" s="1"/>
  <c r="O29" i="8"/>
  <c r="B30" i="8" s="1"/>
  <c r="O30" i="8"/>
  <c r="B31" i="8" s="1"/>
  <c r="O31" i="8"/>
  <c r="B32" i="8" s="1"/>
  <c r="O32" i="8"/>
  <c r="B33" i="8" s="1"/>
  <c r="O33" i="8"/>
  <c r="B34" i="8" s="1"/>
  <c r="O34" i="8"/>
  <c r="B35" i="8" s="1"/>
  <c r="B20" i="8"/>
  <c r="B54" i="23"/>
  <c r="D54" i="23"/>
  <c r="E54" i="23"/>
  <c r="G54" i="23"/>
  <c r="L54" i="23"/>
  <c r="N54" i="23"/>
  <c r="O54" i="23"/>
  <c r="Q54" i="23"/>
  <c r="B55" i="23"/>
  <c r="D55" i="23"/>
  <c r="E55" i="23"/>
  <c r="G55" i="23"/>
  <c r="L55" i="23"/>
  <c r="N55" i="23"/>
  <c r="O55" i="23"/>
  <c r="Q55" i="23"/>
  <c r="B56" i="23"/>
  <c r="D56" i="23"/>
  <c r="E56" i="23"/>
  <c r="G56" i="23"/>
  <c r="L56" i="23"/>
  <c r="N56" i="23"/>
  <c r="O56" i="23"/>
  <c r="Q56" i="23"/>
  <c r="B57" i="23"/>
  <c r="D57" i="23"/>
  <c r="E57" i="23"/>
  <c r="G57" i="23"/>
  <c r="L57" i="23"/>
  <c r="N57" i="23"/>
  <c r="O57" i="23"/>
  <c r="Q57" i="23"/>
  <c r="B58" i="23"/>
  <c r="D58" i="23"/>
  <c r="E58" i="23"/>
  <c r="G58" i="23"/>
  <c r="L58" i="23"/>
  <c r="N58" i="23"/>
  <c r="O58" i="23"/>
  <c r="Q58" i="23"/>
  <c r="B59" i="23"/>
  <c r="D59" i="23"/>
  <c r="E59" i="23"/>
  <c r="G59" i="23"/>
  <c r="L59" i="23"/>
  <c r="N59" i="23"/>
  <c r="O59" i="23"/>
  <c r="Q59" i="23"/>
  <c r="B60" i="23"/>
  <c r="D60" i="23"/>
  <c r="E60" i="23"/>
  <c r="G60" i="23"/>
  <c r="L60" i="23"/>
  <c r="N60" i="23"/>
  <c r="O60" i="23"/>
  <c r="Q60" i="23"/>
  <c r="B61" i="23"/>
  <c r="D61" i="23"/>
  <c r="E61" i="23"/>
  <c r="G61" i="23"/>
  <c r="L61" i="23"/>
  <c r="N61" i="23"/>
  <c r="O61" i="23"/>
  <c r="Q61" i="23"/>
  <c r="B62" i="23"/>
  <c r="D62" i="23"/>
  <c r="E62" i="23"/>
  <c r="G62" i="23"/>
  <c r="L62" i="23"/>
  <c r="N62" i="23"/>
  <c r="O62" i="23"/>
  <c r="Q62" i="23"/>
  <c r="B63" i="23"/>
  <c r="D63" i="23"/>
  <c r="E63" i="23"/>
  <c r="G63" i="23"/>
  <c r="L63" i="23"/>
  <c r="N63" i="23"/>
  <c r="O63" i="23"/>
  <c r="Q63" i="23"/>
  <c r="B64" i="23"/>
  <c r="D64" i="23"/>
  <c r="E64" i="23"/>
  <c r="G64" i="23"/>
  <c r="L64" i="23"/>
  <c r="N64" i="23"/>
  <c r="O64" i="23"/>
  <c r="Q64" i="23"/>
  <c r="B65" i="23"/>
  <c r="D65" i="23"/>
  <c r="E65" i="23"/>
  <c r="G65" i="23"/>
  <c r="L65" i="23"/>
  <c r="N65" i="23"/>
  <c r="O65" i="23"/>
  <c r="Q65" i="23"/>
  <c r="B66" i="23"/>
  <c r="D66" i="23"/>
  <c r="E66" i="23"/>
  <c r="G66" i="23"/>
  <c r="L66" i="23"/>
  <c r="N66" i="23"/>
  <c r="O66" i="23"/>
  <c r="Q66" i="23"/>
  <c r="B67" i="23"/>
  <c r="D67" i="23"/>
  <c r="E67" i="23"/>
  <c r="G67" i="23"/>
  <c r="L67" i="23"/>
  <c r="N67" i="23"/>
  <c r="O67" i="23"/>
  <c r="Q67" i="23"/>
  <c r="B68" i="23"/>
  <c r="D68" i="23"/>
  <c r="E68" i="23"/>
  <c r="G68" i="23"/>
  <c r="L68" i="23"/>
  <c r="N68" i="23"/>
  <c r="O68" i="23"/>
  <c r="Q68" i="23"/>
  <c r="B69" i="23"/>
  <c r="D69" i="23"/>
  <c r="E69" i="23"/>
  <c r="G69" i="23"/>
  <c r="L69" i="23"/>
  <c r="N69" i="23"/>
  <c r="O69" i="23"/>
  <c r="Q69" i="23"/>
  <c r="B70" i="23"/>
  <c r="D70" i="23"/>
  <c r="E70" i="23"/>
  <c r="G70" i="23"/>
  <c r="L70" i="23"/>
  <c r="N70" i="23"/>
  <c r="O70" i="23"/>
  <c r="Q70" i="23"/>
  <c r="B71" i="23"/>
  <c r="D71" i="23"/>
  <c r="E71" i="23"/>
  <c r="G71" i="23"/>
  <c r="L71" i="23"/>
  <c r="N71" i="23"/>
  <c r="O71" i="23"/>
  <c r="Q71" i="23"/>
  <c r="B72" i="23"/>
  <c r="D72" i="23"/>
  <c r="E72" i="23"/>
  <c r="G72" i="23"/>
  <c r="L72" i="23"/>
  <c r="N72" i="23"/>
  <c r="O72" i="23"/>
  <c r="Q72" i="23"/>
  <c r="B73" i="23"/>
  <c r="D73" i="23"/>
  <c r="E73" i="23"/>
  <c r="G73" i="23"/>
  <c r="L73" i="23"/>
  <c r="N73" i="23"/>
  <c r="O73" i="23"/>
  <c r="Q73" i="23"/>
  <c r="A35" i="18"/>
  <c r="A35" i="23" s="1"/>
  <c r="K35" i="23" s="1"/>
  <c r="A34" i="18"/>
  <c r="K74" i="18" s="1"/>
  <c r="K72" i="23" s="1"/>
  <c r="F34" i="18"/>
  <c r="A33" i="18"/>
  <c r="A73" i="18" s="1"/>
  <c r="A71" i="23" s="1"/>
  <c r="A32" i="18"/>
  <c r="A32" i="23" s="1"/>
  <c r="K32" i="23" s="1"/>
  <c r="A31" i="18"/>
  <c r="A31" i="23" s="1"/>
  <c r="K31" i="23" s="1"/>
  <c r="G31" i="18"/>
  <c r="A30" i="18"/>
  <c r="K70" i="18" s="1"/>
  <c r="K68" i="23" s="1"/>
  <c r="F30" i="18"/>
  <c r="A29" i="18"/>
  <c r="A69" i="18" s="1"/>
  <c r="A67" i="23" s="1"/>
  <c r="A28" i="18"/>
  <c r="A28" i="23" s="1"/>
  <c r="K28" i="23" s="1"/>
  <c r="A27" i="18"/>
  <c r="A27" i="23" s="1"/>
  <c r="K27" i="23" s="1"/>
  <c r="G27" i="18"/>
  <c r="F26" i="18"/>
  <c r="A26" i="18"/>
  <c r="K66" i="18" s="1"/>
  <c r="K64" i="23" s="1"/>
  <c r="A25" i="18"/>
  <c r="A65" i="18" s="1"/>
  <c r="A63" i="23" s="1"/>
  <c r="A24" i="18"/>
  <c r="A24" i="23" s="1"/>
  <c r="K24" i="23" s="1"/>
  <c r="A23" i="18"/>
  <c r="A23" i="23" s="1"/>
  <c r="K23" i="23" s="1"/>
  <c r="A22" i="18"/>
  <c r="K62" i="18" s="1"/>
  <c r="K60" i="23" s="1"/>
  <c r="F22" i="18"/>
  <c r="A21" i="18"/>
  <c r="A61" i="18" s="1"/>
  <c r="A59" i="23" s="1"/>
  <c r="A20" i="18"/>
  <c r="A20" i="23" s="1"/>
  <c r="K20" i="23" s="1"/>
  <c r="A19" i="18"/>
  <c r="A19" i="23" s="1"/>
  <c r="K19" i="23" s="1"/>
  <c r="A18" i="18"/>
  <c r="K58" i="18" s="1"/>
  <c r="K56" i="23" s="1"/>
  <c r="F18" i="18"/>
  <c r="A17" i="18"/>
  <c r="A57" i="18" s="1"/>
  <c r="A55" i="23" s="1"/>
  <c r="A16" i="18"/>
  <c r="A16" i="23" s="1"/>
  <c r="K16" i="23" s="1"/>
  <c r="A15" i="18"/>
  <c r="A15" i="23" s="1"/>
  <c r="K15" i="23" s="1"/>
  <c r="A14" i="18"/>
  <c r="K54" i="18" s="1"/>
  <c r="A13" i="18"/>
  <c r="A53" i="18" s="1"/>
  <c r="A12" i="18"/>
  <c r="A12" i="23" s="1"/>
  <c r="K12" i="23" s="1"/>
  <c r="A11" i="18"/>
  <c r="A11" i="23" s="1"/>
  <c r="K11" i="23" s="1"/>
  <c r="A10" i="18"/>
  <c r="K50" i="18" s="1"/>
  <c r="F10" i="18"/>
  <c r="A9" i="18"/>
  <c r="A49" i="18" s="1"/>
  <c r="A8" i="18"/>
  <c r="A8" i="23" s="1"/>
  <c r="K8" i="23" s="1"/>
  <c r="A7" i="18"/>
  <c r="A7" i="23" s="1"/>
  <c r="K7" i="23" s="1"/>
  <c r="A6" i="18"/>
  <c r="K46" i="18" s="1"/>
  <c r="F6" i="18"/>
  <c r="A5" i="18"/>
  <c r="K45" i="18" s="1"/>
  <c r="A4" i="18"/>
  <c r="A4" i="23" s="1"/>
  <c r="K4" i="23" s="1"/>
  <c r="A35" i="20"/>
  <c r="K75" i="20" s="1"/>
  <c r="A34" i="20"/>
  <c r="K74" i="20" s="1"/>
  <c r="F34" i="20"/>
  <c r="A33" i="20"/>
  <c r="K73" i="20" s="1"/>
  <c r="E33" i="20"/>
  <c r="A32" i="20"/>
  <c r="A72" i="20" s="1"/>
  <c r="A31" i="20"/>
  <c r="K71" i="20" s="1"/>
  <c r="A30" i="20"/>
  <c r="K70" i="20" s="1"/>
  <c r="F30" i="20"/>
  <c r="A29" i="20"/>
  <c r="K69" i="20" s="1"/>
  <c r="E29" i="20"/>
  <c r="A28" i="20"/>
  <c r="K68" i="20" s="1"/>
  <c r="G27" i="20"/>
  <c r="A27" i="20"/>
  <c r="K67" i="20" s="1"/>
  <c r="A26" i="20"/>
  <c r="K66" i="20" s="1"/>
  <c r="F26" i="20"/>
  <c r="A25" i="20"/>
  <c r="K65" i="20" s="1"/>
  <c r="E25" i="20"/>
  <c r="A24" i="20"/>
  <c r="K64" i="20" s="1"/>
  <c r="G23" i="20"/>
  <c r="A23" i="20"/>
  <c r="K63" i="20" s="1"/>
  <c r="A22" i="20"/>
  <c r="K62" i="20" s="1"/>
  <c r="F22" i="20"/>
  <c r="A21" i="20"/>
  <c r="K61" i="20" s="1"/>
  <c r="E21" i="20"/>
  <c r="A20" i="20"/>
  <c r="K60" i="20" s="1"/>
  <c r="A19" i="20"/>
  <c r="K59" i="20" s="1"/>
  <c r="G19" i="20"/>
  <c r="A18" i="20"/>
  <c r="K58" i="20" s="1"/>
  <c r="A17" i="20"/>
  <c r="K57" i="20" s="1"/>
  <c r="A16" i="20"/>
  <c r="K56" i="20" s="1"/>
  <c r="A15" i="20"/>
  <c r="K55" i="20" s="1"/>
  <c r="G15" i="20"/>
  <c r="A14" i="20"/>
  <c r="A54" i="20" s="1"/>
  <c r="A13" i="20"/>
  <c r="K53" i="20" s="1"/>
  <c r="A12" i="20"/>
  <c r="A52" i="20" s="1"/>
  <c r="A11" i="20"/>
  <c r="K51" i="20" s="1"/>
  <c r="A10" i="20"/>
  <c r="K50" i="20" s="1"/>
  <c r="F10" i="20"/>
  <c r="A9" i="20"/>
  <c r="K49" i="20" s="1"/>
  <c r="E9" i="20"/>
  <c r="A8" i="20"/>
  <c r="K48" i="20" s="1"/>
  <c r="A7" i="20"/>
  <c r="K47" i="20" s="1"/>
  <c r="G7" i="20"/>
  <c r="A6" i="20"/>
  <c r="A46" i="20" s="1"/>
  <c r="A5" i="20"/>
  <c r="K45" i="20" s="1"/>
  <c r="A4" i="20"/>
  <c r="A44" i="20" s="1"/>
  <c r="A35" i="22"/>
  <c r="K75" i="22" s="1"/>
  <c r="F34" i="22"/>
  <c r="A34" i="22"/>
  <c r="A74" i="22" s="1"/>
  <c r="A33" i="22"/>
  <c r="K73" i="22" s="1"/>
  <c r="A32" i="22"/>
  <c r="A72" i="22" s="1"/>
  <c r="A31" i="22"/>
  <c r="K71" i="22" s="1"/>
  <c r="A30" i="22"/>
  <c r="A70" i="22" s="1"/>
  <c r="A29" i="22"/>
  <c r="A69" i="22" s="1"/>
  <c r="A28" i="22"/>
  <c r="A68" i="22" s="1"/>
  <c r="A27" i="22"/>
  <c r="A67" i="22" s="1"/>
  <c r="A26" i="22"/>
  <c r="A66" i="22" s="1"/>
  <c r="A25" i="22"/>
  <c r="A65" i="22" s="1"/>
  <c r="A24" i="22"/>
  <c r="A64" i="22" s="1"/>
  <c r="A23" i="22"/>
  <c r="K63" i="22" s="1"/>
  <c r="A22" i="22"/>
  <c r="A62" i="22" s="1"/>
  <c r="A21" i="22"/>
  <c r="K61" i="22" s="1"/>
  <c r="A20" i="22"/>
  <c r="A60" i="22" s="1"/>
  <c r="A19" i="22"/>
  <c r="K59" i="22" s="1"/>
  <c r="A18" i="22"/>
  <c r="A58" i="22" s="1"/>
  <c r="A17" i="22"/>
  <c r="K57" i="22" s="1"/>
  <c r="A16" i="22"/>
  <c r="A56" i="22" s="1"/>
  <c r="A15" i="22"/>
  <c r="K55" i="22" s="1"/>
  <c r="A14" i="22"/>
  <c r="A54" i="22" s="1"/>
  <c r="A13" i="22"/>
  <c r="K53" i="22" s="1"/>
  <c r="A12" i="22"/>
  <c r="A52" i="22" s="1"/>
  <c r="A11" i="22"/>
  <c r="A51" i="22" s="1"/>
  <c r="G11" i="22"/>
  <c r="A10" i="22"/>
  <c r="A50" i="22" s="1"/>
  <c r="A9" i="22"/>
  <c r="K49" i="22" s="1"/>
  <c r="G8" i="22"/>
  <c r="A8" i="22"/>
  <c r="A48" i="22" s="1"/>
  <c r="A7" i="22"/>
  <c r="K47" i="22" s="1"/>
  <c r="A6" i="22"/>
  <c r="A46" i="22" s="1"/>
  <c r="A5" i="22"/>
  <c r="K45" i="22" s="1"/>
  <c r="A4" i="22"/>
  <c r="A44" i="22" s="1"/>
  <c r="A35" i="15"/>
  <c r="A75" i="15" s="1"/>
  <c r="G35" i="15"/>
  <c r="A34" i="15"/>
  <c r="A74" i="15" s="1"/>
  <c r="C34" i="15"/>
  <c r="A33" i="15"/>
  <c r="K73" i="15" s="1"/>
  <c r="A32" i="15"/>
  <c r="A72" i="15" s="1"/>
  <c r="A31" i="15"/>
  <c r="K71" i="15" s="1"/>
  <c r="G31" i="15"/>
  <c r="A30" i="15"/>
  <c r="A70" i="15" s="1"/>
  <c r="F30" i="15"/>
  <c r="A29" i="15"/>
  <c r="K69" i="15" s="1"/>
  <c r="G29" i="15"/>
  <c r="E29" i="15"/>
  <c r="A28" i="15"/>
  <c r="A68" i="15" s="1"/>
  <c r="A27" i="15"/>
  <c r="A67" i="15" s="1"/>
  <c r="G27" i="15"/>
  <c r="A26" i="15"/>
  <c r="A66" i="15" s="1"/>
  <c r="F26" i="15"/>
  <c r="C26" i="15"/>
  <c r="A25" i="15"/>
  <c r="A65" i="15" s="1"/>
  <c r="E25" i="15"/>
  <c r="A24" i="15"/>
  <c r="A64" i="15" s="1"/>
  <c r="A23" i="15"/>
  <c r="K63" i="15" s="1"/>
  <c r="G23" i="15"/>
  <c r="A22" i="15"/>
  <c r="A62" i="15" s="1"/>
  <c r="A21" i="15"/>
  <c r="A61" i="15" s="1"/>
  <c r="D20" i="15"/>
  <c r="A20" i="15"/>
  <c r="A60" i="15" s="1"/>
  <c r="A19" i="15"/>
  <c r="A59" i="15" s="1"/>
  <c r="G19" i="15"/>
  <c r="D19" i="15"/>
  <c r="F18" i="15"/>
  <c r="A18" i="15"/>
  <c r="A58" i="15" s="1"/>
  <c r="A17" i="15"/>
  <c r="A57" i="15" s="1"/>
  <c r="E17" i="15"/>
  <c r="A16" i="15"/>
  <c r="A56" i="15" s="1"/>
  <c r="A15" i="15"/>
  <c r="K55" i="15" s="1"/>
  <c r="G15" i="15"/>
  <c r="A14" i="15"/>
  <c r="A54" i="15" s="1"/>
  <c r="F14" i="15"/>
  <c r="A13" i="15"/>
  <c r="K53" i="15" s="1"/>
  <c r="E13" i="15"/>
  <c r="B13" i="15"/>
  <c r="A12" i="15"/>
  <c r="A52" i="15" s="1"/>
  <c r="A11" i="15"/>
  <c r="K51" i="15" s="1"/>
  <c r="G11" i="15"/>
  <c r="D11" i="15"/>
  <c r="A10" i="15"/>
  <c r="A50" i="15" s="1"/>
  <c r="F10" i="15"/>
  <c r="A9" i="15"/>
  <c r="K49" i="15" s="1"/>
  <c r="E9" i="15"/>
  <c r="A8" i="15"/>
  <c r="A48" i="15" s="1"/>
  <c r="A7" i="15"/>
  <c r="K47" i="15" s="1"/>
  <c r="A6" i="15"/>
  <c r="A46" i="15" s="1"/>
  <c r="A5" i="15"/>
  <c r="K45" i="15" s="1"/>
  <c r="A4" i="15"/>
  <c r="A44" i="15" s="1"/>
  <c r="C4" i="15"/>
  <c r="A35" i="14"/>
  <c r="A75" i="14" s="1"/>
  <c r="D35" i="14"/>
  <c r="A34" i="14"/>
  <c r="A74" i="14" s="1"/>
  <c r="F34" i="14"/>
  <c r="A33" i="14"/>
  <c r="K73" i="14" s="1"/>
  <c r="A32" i="14"/>
  <c r="A72" i="14" s="1"/>
  <c r="A31" i="14"/>
  <c r="K71" i="14" s="1"/>
  <c r="A30" i="14"/>
  <c r="A70" i="14" s="1"/>
  <c r="A29" i="14"/>
  <c r="K69" i="14" s="1"/>
  <c r="A28" i="14"/>
  <c r="A68" i="14" s="1"/>
  <c r="A27" i="14"/>
  <c r="K67" i="14" s="1"/>
  <c r="A26" i="14"/>
  <c r="A66" i="14" s="1"/>
  <c r="C26" i="14"/>
  <c r="A25" i="14"/>
  <c r="K65" i="14" s="1"/>
  <c r="E25" i="14"/>
  <c r="A24" i="14"/>
  <c r="K64" i="14" s="1"/>
  <c r="A23" i="14"/>
  <c r="K63" i="14" s="1"/>
  <c r="A22" i="14"/>
  <c r="A62" i="14" s="1"/>
  <c r="F22" i="14"/>
  <c r="E22" i="14"/>
  <c r="A21" i="14"/>
  <c r="K61" i="14" s="1"/>
  <c r="E21" i="14"/>
  <c r="F20" i="14"/>
  <c r="A20" i="14"/>
  <c r="A60" i="14" s="1"/>
  <c r="A19" i="14"/>
  <c r="K59" i="14" s="1"/>
  <c r="G19" i="14"/>
  <c r="A18" i="14"/>
  <c r="A58" i="14" s="1"/>
  <c r="F18" i="14"/>
  <c r="E18" i="14"/>
  <c r="A17" i="14"/>
  <c r="K57" i="14" s="1"/>
  <c r="E17" i="14"/>
  <c r="A16" i="14"/>
  <c r="A56" i="14" s="1"/>
  <c r="A15" i="14"/>
  <c r="K55" i="14" s="1"/>
  <c r="E15" i="14"/>
  <c r="A14" i="14"/>
  <c r="A54" i="14" s="1"/>
  <c r="F14" i="14"/>
  <c r="A13" i="14"/>
  <c r="K53" i="14" s="1"/>
  <c r="A12" i="14"/>
  <c r="A52" i="14" s="1"/>
  <c r="A11" i="14"/>
  <c r="K51" i="14" s="1"/>
  <c r="G11" i="14"/>
  <c r="A10" i="14"/>
  <c r="A50" i="14" s="1"/>
  <c r="F10" i="14"/>
  <c r="A9" i="14"/>
  <c r="K49" i="14" s="1"/>
  <c r="E9" i="14"/>
  <c r="A8" i="14"/>
  <c r="A48" i="14" s="1"/>
  <c r="A7" i="14"/>
  <c r="A47" i="14" s="1"/>
  <c r="G7" i="14"/>
  <c r="A6" i="14"/>
  <c r="A46" i="14" s="1"/>
  <c r="F6" i="14"/>
  <c r="A5" i="14"/>
  <c r="K45" i="14" s="1"/>
  <c r="E5" i="14"/>
  <c r="A4" i="14"/>
  <c r="K44" i="14" s="1"/>
  <c r="A35" i="11"/>
  <c r="A75" i="11" s="1"/>
  <c r="F35" i="11"/>
  <c r="E35" i="11"/>
  <c r="D35" i="11"/>
  <c r="A34" i="11"/>
  <c r="K74" i="11" s="1"/>
  <c r="A33" i="11"/>
  <c r="K73" i="11" s="1"/>
  <c r="B33" i="11"/>
  <c r="A32" i="11"/>
  <c r="K72" i="11" s="1"/>
  <c r="A31" i="11"/>
  <c r="A71" i="11" s="1"/>
  <c r="F31" i="11"/>
  <c r="D31" i="11"/>
  <c r="A30" i="11"/>
  <c r="K70" i="11" s="1"/>
  <c r="A29" i="11"/>
  <c r="K69" i="11" s="1"/>
  <c r="B29" i="11"/>
  <c r="A28" i="11"/>
  <c r="K68" i="11" s="1"/>
  <c r="A27" i="11"/>
  <c r="A67" i="11" s="1"/>
  <c r="D27" i="11"/>
  <c r="A26" i="11"/>
  <c r="K66" i="11" s="1"/>
  <c r="A25" i="11"/>
  <c r="A65" i="11" s="1"/>
  <c r="B25" i="11"/>
  <c r="A24" i="11"/>
  <c r="K64" i="11" s="1"/>
  <c r="A23" i="11"/>
  <c r="A63" i="11" s="1"/>
  <c r="A22" i="11"/>
  <c r="K62" i="11" s="1"/>
  <c r="F22" i="11"/>
  <c r="A21" i="11"/>
  <c r="A61" i="11" s="1"/>
  <c r="B21" i="11"/>
  <c r="G20" i="11"/>
  <c r="D20" i="11"/>
  <c r="A20" i="11"/>
  <c r="A60" i="11" s="1"/>
  <c r="D19" i="11"/>
  <c r="A19" i="11"/>
  <c r="A59" i="11" s="1"/>
  <c r="A18" i="11"/>
  <c r="K58" i="11" s="1"/>
  <c r="A17" i="11"/>
  <c r="A57" i="11" s="1"/>
  <c r="B17" i="11"/>
  <c r="A16" i="11"/>
  <c r="K56" i="11" s="1"/>
  <c r="A15" i="11"/>
  <c r="A55" i="11" s="1"/>
  <c r="D15" i="11"/>
  <c r="A14" i="11"/>
  <c r="K54" i="11" s="1"/>
  <c r="A13" i="11"/>
  <c r="A53" i="11" s="1"/>
  <c r="E13" i="11"/>
  <c r="B13" i="11"/>
  <c r="A12" i="11"/>
  <c r="A52" i="11" s="1"/>
  <c r="A11" i="11"/>
  <c r="A51" i="11" s="1"/>
  <c r="G11" i="11"/>
  <c r="D11" i="11"/>
  <c r="A10" i="11"/>
  <c r="A50" i="11" s="1"/>
  <c r="A9" i="11"/>
  <c r="A49" i="11" s="1"/>
  <c r="B9" i="11"/>
  <c r="A8" i="11"/>
  <c r="A48" i="11" s="1"/>
  <c r="A7" i="11"/>
  <c r="A47" i="11" s="1"/>
  <c r="D7" i="11"/>
  <c r="A6" i="11"/>
  <c r="A46" i="11" s="1"/>
  <c r="A5" i="11"/>
  <c r="A45" i="11" s="1"/>
  <c r="E5" i="11"/>
  <c r="B5" i="11"/>
  <c r="A4" i="11"/>
  <c r="K44" i="11" s="1"/>
  <c r="A35" i="10"/>
  <c r="A75" i="10" s="1"/>
  <c r="G35" i="10"/>
  <c r="A34" i="10"/>
  <c r="A74" i="10" s="1"/>
  <c r="F34" i="10"/>
  <c r="A33" i="10"/>
  <c r="A73" i="10" s="1"/>
  <c r="A32" i="10"/>
  <c r="A72" i="10" s="1"/>
  <c r="A31" i="10"/>
  <c r="A71" i="10" s="1"/>
  <c r="G31" i="10"/>
  <c r="F31" i="10"/>
  <c r="A30" i="10"/>
  <c r="A70" i="10" s="1"/>
  <c r="A29" i="10"/>
  <c r="A69" i="10" s="1"/>
  <c r="A28" i="10"/>
  <c r="A68" i="10" s="1"/>
  <c r="A27" i="10"/>
  <c r="A67" i="10" s="1"/>
  <c r="F27" i="10"/>
  <c r="A26" i="10"/>
  <c r="K66" i="10" s="1"/>
  <c r="F26" i="10"/>
  <c r="A25" i="10"/>
  <c r="A65" i="10" s="1"/>
  <c r="A24" i="10"/>
  <c r="A64" i="10" s="1"/>
  <c r="A23" i="10"/>
  <c r="A63" i="10" s="1"/>
  <c r="A22" i="10"/>
  <c r="K62" i="10" s="1"/>
  <c r="A21" i="10"/>
  <c r="A61" i="10" s="1"/>
  <c r="A20" i="10"/>
  <c r="K60" i="10" s="1"/>
  <c r="A19" i="10"/>
  <c r="A59" i="10" s="1"/>
  <c r="F19" i="10"/>
  <c r="A18" i="10"/>
  <c r="K58" i="10" s="1"/>
  <c r="F18" i="10"/>
  <c r="A17" i="10"/>
  <c r="A57" i="10" s="1"/>
  <c r="A16" i="10"/>
  <c r="K56" i="10" s="1"/>
  <c r="A15" i="10"/>
  <c r="A55" i="10" s="1"/>
  <c r="G15" i="10"/>
  <c r="A14" i="10"/>
  <c r="A54" i="10" s="1"/>
  <c r="F14" i="10"/>
  <c r="A13" i="10"/>
  <c r="A53" i="10" s="1"/>
  <c r="A12" i="10"/>
  <c r="K52" i="10" s="1"/>
  <c r="A11" i="10"/>
  <c r="A51" i="10" s="1"/>
  <c r="A10" i="10"/>
  <c r="A50" i="10" s="1"/>
  <c r="A9" i="10"/>
  <c r="A49" i="10" s="1"/>
  <c r="A8" i="10"/>
  <c r="K48" i="10" s="1"/>
  <c r="A7" i="10"/>
  <c r="A47" i="10" s="1"/>
  <c r="F7" i="10"/>
  <c r="A6" i="10"/>
  <c r="K46" i="10" s="1"/>
  <c r="A5" i="10"/>
  <c r="A45" i="10" s="1"/>
  <c r="A4" i="10"/>
  <c r="K44" i="10" s="1"/>
  <c r="F35" i="9"/>
  <c r="A35" i="9"/>
  <c r="A75" i="9" s="1"/>
  <c r="A34" i="9"/>
  <c r="K74" i="9" s="1"/>
  <c r="A33" i="9"/>
  <c r="A73" i="9" s="1"/>
  <c r="A32" i="9"/>
  <c r="A72" i="9" s="1"/>
  <c r="A31" i="9"/>
  <c r="A71" i="9" s="1"/>
  <c r="A30" i="9"/>
  <c r="A70" i="9" s="1"/>
  <c r="A29" i="9"/>
  <c r="A69" i="9" s="1"/>
  <c r="A28" i="9"/>
  <c r="K68" i="9" s="1"/>
  <c r="A27" i="9"/>
  <c r="A67" i="9" s="1"/>
  <c r="A26" i="9"/>
  <c r="K66" i="9" s="1"/>
  <c r="E26" i="9"/>
  <c r="A25" i="9"/>
  <c r="K65" i="9" s="1"/>
  <c r="G24" i="9"/>
  <c r="A24" i="9"/>
  <c r="K64" i="9" s="1"/>
  <c r="A23" i="9"/>
  <c r="K63" i="9" s="1"/>
  <c r="A22" i="9"/>
  <c r="A62" i="9" s="1"/>
  <c r="E22" i="9"/>
  <c r="A21" i="9"/>
  <c r="K61" i="9" s="1"/>
  <c r="A20" i="9"/>
  <c r="K60" i="9" s="1"/>
  <c r="A19" i="9"/>
  <c r="K59" i="9" s="1"/>
  <c r="A18" i="9"/>
  <c r="K58" i="9" s="1"/>
  <c r="A17" i="9"/>
  <c r="K57" i="9" s="1"/>
  <c r="A16" i="9"/>
  <c r="A56" i="9" s="1"/>
  <c r="A15" i="9"/>
  <c r="K55" i="9" s="1"/>
  <c r="A14" i="9"/>
  <c r="K54" i="9" s="1"/>
  <c r="A13" i="9"/>
  <c r="K53" i="9" s="1"/>
  <c r="A12" i="9"/>
  <c r="A52" i="9" s="1"/>
  <c r="A11" i="9"/>
  <c r="K51" i="9" s="1"/>
  <c r="A10" i="9"/>
  <c r="K50" i="9" s="1"/>
  <c r="A9" i="9"/>
  <c r="K49" i="9" s="1"/>
  <c r="A8" i="9"/>
  <c r="A48" i="9" s="1"/>
  <c r="A7" i="9"/>
  <c r="K47" i="9" s="1"/>
  <c r="A6" i="9"/>
  <c r="A46" i="9" s="1"/>
  <c r="A5" i="9"/>
  <c r="K45" i="9" s="1"/>
  <c r="G4" i="9"/>
  <c r="A4" i="9"/>
  <c r="K44" i="9" s="1"/>
  <c r="A35" i="7"/>
  <c r="K75" i="7" s="1"/>
  <c r="A34" i="7"/>
  <c r="K74" i="7" s="1"/>
  <c r="A33" i="7"/>
  <c r="K73" i="7" s="1"/>
  <c r="A32" i="7"/>
  <c r="K72" i="7" s="1"/>
  <c r="A31" i="7"/>
  <c r="K71" i="7" s="1"/>
  <c r="A30" i="7"/>
  <c r="K70" i="7" s="1"/>
  <c r="A29" i="7"/>
  <c r="K69" i="7" s="1"/>
  <c r="A28" i="7"/>
  <c r="K68" i="7" s="1"/>
  <c r="A27" i="7"/>
  <c r="K67" i="7" s="1"/>
  <c r="A26" i="7"/>
  <c r="K66" i="7" s="1"/>
  <c r="A25" i="7"/>
  <c r="K65" i="7" s="1"/>
  <c r="A24" i="7"/>
  <c r="K64" i="7" s="1"/>
  <c r="A23" i="7"/>
  <c r="K63" i="7" s="1"/>
  <c r="A22" i="7"/>
  <c r="A62" i="7" s="1"/>
  <c r="A21" i="7"/>
  <c r="K61" i="7" s="1"/>
  <c r="A20" i="7"/>
  <c r="A60" i="7" s="1"/>
  <c r="A19" i="7"/>
  <c r="K59" i="7" s="1"/>
  <c r="A18" i="7"/>
  <c r="A58" i="7" s="1"/>
  <c r="A17" i="7"/>
  <c r="K57" i="7" s="1"/>
  <c r="A16" i="7"/>
  <c r="A56" i="7" s="1"/>
  <c r="A15" i="7"/>
  <c r="K55" i="7" s="1"/>
  <c r="A14" i="7"/>
  <c r="A54" i="7" s="1"/>
  <c r="A13" i="7"/>
  <c r="A53" i="7" s="1"/>
  <c r="A12" i="7"/>
  <c r="A52" i="7" s="1"/>
  <c r="A11" i="7"/>
  <c r="A51" i="7" s="1"/>
  <c r="A10" i="7"/>
  <c r="K50" i="7" s="1"/>
  <c r="A9" i="7"/>
  <c r="K49" i="7" s="1"/>
  <c r="G8" i="7"/>
  <c r="A8" i="7"/>
  <c r="K48" i="7" s="1"/>
  <c r="A7" i="7"/>
  <c r="A47" i="7" s="1"/>
  <c r="A6" i="7"/>
  <c r="K46" i="7" s="1"/>
  <c r="B6" i="7"/>
  <c r="A5" i="7"/>
  <c r="A45" i="7" s="1"/>
  <c r="A4" i="7"/>
  <c r="K44" i="7" s="1"/>
  <c r="G4" i="7"/>
  <c r="A35" i="8"/>
  <c r="A75" i="8" s="1"/>
  <c r="A34" i="8"/>
  <c r="A74" i="8" s="1"/>
  <c r="A33" i="8"/>
  <c r="K73" i="8" s="1"/>
  <c r="A32" i="8"/>
  <c r="A72" i="8" s="1"/>
  <c r="A31" i="8"/>
  <c r="K71" i="8" s="1"/>
  <c r="A30" i="8"/>
  <c r="K70" i="8" s="1"/>
  <c r="A29" i="8"/>
  <c r="A69" i="8" s="1"/>
  <c r="A28" i="8"/>
  <c r="K68" i="8" s="1"/>
  <c r="A27" i="8"/>
  <c r="A67" i="8" s="1"/>
  <c r="A26" i="8"/>
  <c r="K66" i="8" s="1"/>
  <c r="A25" i="8"/>
  <c r="A65" i="8" s="1"/>
  <c r="A24" i="8"/>
  <c r="K64" i="8" s="1"/>
  <c r="A23" i="8"/>
  <c r="K63" i="8" s="1"/>
  <c r="A22" i="8"/>
  <c r="K62" i="8" s="1"/>
  <c r="A21" i="8"/>
  <c r="K61" i="8" s="1"/>
  <c r="A20" i="8"/>
  <c r="K60" i="8" s="1"/>
  <c r="A19" i="8"/>
  <c r="K59" i="8" s="1"/>
  <c r="A18" i="8"/>
  <c r="K58" i="8" s="1"/>
  <c r="A17" i="8"/>
  <c r="K57" i="8" s="1"/>
  <c r="D16" i="8"/>
  <c r="A16" i="8"/>
  <c r="K56" i="8" s="1"/>
  <c r="A15" i="8"/>
  <c r="K55" i="8" s="1"/>
  <c r="Q14" i="8"/>
  <c r="D15" i="8" s="1"/>
  <c r="P14" i="8"/>
  <c r="C15" i="8" s="1"/>
  <c r="O14" i="8"/>
  <c r="B15" i="8" s="1"/>
  <c r="A14" i="8"/>
  <c r="K54" i="8" s="1"/>
  <c r="Q13" i="8"/>
  <c r="D14" i="8" s="1"/>
  <c r="P13" i="8"/>
  <c r="C14" i="8" s="1"/>
  <c r="O13" i="8"/>
  <c r="B14" i="8" s="1"/>
  <c r="A13" i="8"/>
  <c r="K53" i="8" s="1"/>
  <c r="Q12" i="8"/>
  <c r="D13" i="8" s="1"/>
  <c r="P12" i="8"/>
  <c r="C13" i="8" s="1"/>
  <c r="O12" i="8"/>
  <c r="B13" i="8" s="1"/>
  <c r="A12" i="8"/>
  <c r="K52" i="8" s="1"/>
  <c r="Q11" i="8"/>
  <c r="D12" i="8" s="1"/>
  <c r="P11" i="8"/>
  <c r="C12" i="8" s="1"/>
  <c r="O11" i="8"/>
  <c r="B12" i="8" s="1"/>
  <c r="A11" i="8"/>
  <c r="K51" i="8" s="1"/>
  <c r="Q10" i="8"/>
  <c r="D11" i="8" s="1"/>
  <c r="P10" i="8"/>
  <c r="C11" i="8" s="1"/>
  <c r="O10" i="8"/>
  <c r="B11" i="8" s="1"/>
  <c r="A10" i="8"/>
  <c r="A50" i="8" s="1"/>
  <c r="Q9" i="8"/>
  <c r="D10" i="8" s="1"/>
  <c r="P9" i="8"/>
  <c r="C10" i="8" s="1"/>
  <c r="O9" i="8"/>
  <c r="B10" i="8" s="1"/>
  <c r="A9" i="8"/>
  <c r="K49" i="8" s="1"/>
  <c r="Q8" i="8"/>
  <c r="D9" i="8" s="1"/>
  <c r="P8" i="8"/>
  <c r="C9" i="8" s="1"/>
  <c r="O8" i="8"/>
  <c r="B9" i="8" s="1"/>
  <c r="A8" i="8"/>
  <c r="K48" i="8" s="1"/>
  <c r="Q7" i="8"/>
  <c r="D8" i="8" s="1"/>
  <c r="P7" i="8"/>
  <c r="C8" i="8" s="1"/>
  <c r="O7" i="8"/>
  <c r="B8" i="8" s="1"/>
  <c r="A7" i="8"/>
  <c r="A47" i="8" s="1"/>
  <c r="Q6" i="8"/>
  <c r="D7" i="8" s="1"/>
  <c r="P6" i="8"/>
  <c r="C7" i="8" s="1"/>
  <c r="O6" i="8"/>
  <c r="B7" i="8" s="1"/>
  <c r="A6" i="8"/>
  <c r="K46" i="8" s="1"/>
  <c r="Q5" i="8"/>
  <c r="D6" i="8" s="1"/>
  <c r="P5" i="8"/>
  <c r="C6" i="8" s="1"/>
  <c r="O5" i="8"/>
  <c r="B6" i="8" s="1"/>
  <c r="A5" i="8"/>
  <c r="A45" i="8" s="1"/>
  <c r="Q4" i="8"/>
  <c r="D5" i="8" s="1"/>
  <c r="P4" i="8"/>
  <c r="C5" i="8" s="1"/>
  <c r="O4" i="8"/>
  <c r="B5" i="8" s="1"/>
  <c r="A4" i="8"/>
  <c r="K44" i="8" s="1"/>
  <c r="Q3" i="8"/>
  <c r="D4" i="8" s="1"/>
  <c r="P3" i="8"/>
  <c r="C4" i="8" s="1"/>
  <c r="O3" i="8"/>
  <c r="B4" i="8" s="1"/>
  <c r="A35" i="3"/>
  <c r="A75" i="3" s="1"/>
  <c r="E35" i="3"/>
  <c r="B35" i="3"/>
  <c r="A34" i="3"/>
  <c r="K74" i="3" s="1"/>
  <c r="A33" i="3"/>
  <c r="A73" i="3" s="1"/>
  <c r="C32" i="3"/>
  <c r="A32" i="3"/>
  <c r="K72" i="3" s="1"/>
  <c r="A31" i="3"/>
  <c r="A71" i="3" s="1"/>
  <c r="A30" i="3"/>
  <c r="K70" i="3" s="1"/>
  <c r="A29" i="3"/>
  <c r="A69" i="3" s="1"/>
  <c r="D29" i="3"/>
  <c r="D28" i="3"/>
  <c r="A28" i="3"/>
  <c r="K68" i="3" s="1"/>
  <c r="A27" i="3"/>
  <c r="A67" i="3" s="1"/>
  <c r="B27" i="3"/>
  <c r="A26" i="3"/>
  <c r="K66" i="3" s="1"/>
  <c r="A25" i="3"/>
  <c r="A65" i="3" s="1"/>
  <c r="D25" i="3"/>
  <c r="F24" i="3"/>
  <c r="D24" i="3"/>
  <c r="A24" i="3"/>
  <c r="K64" i="3" s="1"/>
  <c r="A23" i="3"/>
  <c r="A63" i="3" s="1"/>
  <c r="E23" i="3"/>
  <c r="B23" i="3"/>
  <c r="A22" i="3"/>
  <c r="K62" i="3" s="1"/>
  <c r="A21" i="3"/>
  <c r="A61" i="3" s="1"/>
  <c r="C20" i="3"/>
  <c r="A20" i="3"/>
  <c r="K60" i="3" s="1"/>
  <c r="A19" i="3"/>
  <c r="K59" i="3" s="1"/>
  <c r="Q18" i="3"/>
  <c r="D19" i="3" s="1"/>
  <c r="P18" i="3"/>
  <c r="C19" i="3" s="1"/>
  <c r="O18" i="3"/>
  <c r="B19" i="3" s="1"/>
  <c r="A18" i="3"/>
  <c r="A58" i="3" s="1"/>
  <c r="Q17" i="3"/>
  <c r="D18" i="3" s="1"/>
  <c r="P17" i="3"/>
  <c r="C18" i="3" s="1"/>
  <c r="O17" i="3"/>
  <c r="B18" i="3" s="1"/>
  <c r="A17" i="3"/>
  <c r="K57" i="3" s="1"/>
  <c r="Q16" i="3"/>
  <c r="D17" i="3" s="1"/>
  <c r="P16" i="3"/>
  <c r="C17" i="3" s="1"/>
  <c r="O16" i="3"/>
  <c r="B17" i="3" s="1"/>
  <c r="A16" i="3"/>
  <c r="K56" i="3" s="1"/>
  <c r="A15" i="3"/>
  <c r="A55" i="3" s="1"/>
  <c r="A14" i="3"/>
  <c r="K54" i="3" s="1"/>
  <c r="A13" i="3"/>
  <c r="A53" i="3" s="1"/>
  <c r="A12" i="3"/>
  <c r="K52" i="3" s="1"/>
  <c r="C12" i="3"/>
  <c r="A11" i="3"/>
  <c r="A51" i="3" s="1"/>
  <c r="B11" i="3"/>
  <c r="A10" i="3"/>
  <c r="K50" i="3" s="1"/>
  <c r="A9" i="3"/>
  <c r="A49" i="3" s="1"/>
  <c r="A8" i="3"/>
  <c r="K48" i="3" s="1"/>
  <c r="A7" i="3"/>
  <c r="K47" i="3" s="1"/>
  <c r="A6" i="3"/>
  <c r="K46" i="3" s="1"/>
  <c r="A5" i="3"/>
  <c r="A45" i="3" s="1"/>
  <c r="A4" i="3"/>
  <c r="K44" i="3" s="1"/>
  <c r="Q3" i="3"/>
  <c r="D4" i="3" s="1"/>
  <c r="P3" i="3"/>
  <c r="C4" i="3" s="1"/>
  <c r="O3" i="3"/>
  <c r="B4" i="3" s="1"/>
  <c r="A35" i="6"/>
  <c r="K75" i="6" s="1"/>
  <c r="B35" i="6"/>
  <c r="A34" i="6"/>
  <c r="K74" i="6" s="1"/>
  <c r="A33" i="6"/>
  <c r="K73" i="6" s="1"/>
  <c r="D33" i="6"/>
  <c r="C32" i="6"/>
  <c r="A32" i="6"/>
  <c r="K72" i="6" s="1"/>
  <c r="A31" i="6"/>
  <c r="A71" i="6" s="1"/>
  <c r="A30" i="6"/>
  <c r="K70" i="6" s="1"/>
  <c r="A29" i="6"/>
  <c r="A69" i="6" s="1"/>
  <c r="D29" i="6"/>
  <c r="C28" i="6"/>
  <c r="A28" i="6"/>
  <c r="K68" i="6" s="1"/>
  <c r="A27" i="6"/>
  <c r="A67" i="6" s="1"/>
  <c r="B27" i="6"/>
  <c r="A26" i="6"/>
  <c r="K66" i="6" s="1"/>
  <c r="E26" i="6"/>
  <c r="A25" i="6"/>
  <c r="A65" i="6" s="1"/>
  <c r="F24" i="6"/>
  <c r="C24" i="6"/>
  <c r="A24" i="6"/>
  <c r="K64" i="6" s="1"/>
  <c r="A23" i="6"/>
  <c r="A63" i="6" s="1"/>
  <c r="E23" i="6"/>
  <c r="B23" i="6"/>
  <c r="A22" i="6"/>
  <c r="A62" i="6" s="1"/>
  <c r="A21" i="6"/>
  <c r="A61" i="6" s="1"/>
  <c r="D21" i="6"/>
  <c r="A20" i="6"/>
  <c r="A60" i="6" s="1"/>
  <c r="A19" i="6"/>
  <c r="A59" i="6" s="1"/>
  <c r="C19" i="6"/>
  <c r="B19" i="6"/>
  <c r="A18" i="6"/>
  <c r="K58" i="6" s="1"/>
  <c r="A17" i="6"/>
  <c r="A57" i="6" s="1"/>
  <c r="C16" i="6"/>
  <c r="A16" i="6"/>
  <c r="K56" i="6" s="1"/>
  <c r="A15" i="6"/>
  <c r="K55" i="6" s="1"/>
  <c r="F15" i="6"/>
  <c r="Q14" i="6"/>
  <c r="D15" i="6" s="1"/>
  <c r="P14" i="6"/>
  <c r="C15" i="6" s="1"/>
  <c r="O14" i="6"/>
  <c r="B15" i="6" s="1"/>
  <c r="A14" i="6"/>
  <c r="K54" i="6" s="1"/>
  <c r="Q13" i="6"/>
  <c r="D14" i="6" s="1"/>
  <c r="P13" i="6"/>
  <c r="C14" i="6" s="1"/>
  <c r="O13" i="6"/>
  <c r="B14" i="6" s="1"/>
  <c r="A13" i="6"/>
  <c r="K53" i="6" s="1"/>
  <c r="G13" i="6"/>
  <c r="Q12" i="6"/>
  <c r="D13" i="6" s="1"/>
  <c r="P12" i="6"/>
  <c r="C13" i="6" s="1"/>
  <c r="O12" i="6"/>
  <c r="B13" i="6" s="1"/>
  <c r="A12" i="6"/>
  <c r="K52" i="6" s="1"/>
  <c r="Q11" i="6"/>
  <c r="D12" i="6" s="1"/>
  <c r="P11" i="6"/>
  <c r="C12" i="6" s="1"/>
  <c r="O11" i="6"/>
  <c r="B12" i="6" s="1"/>
  <c r="A11" i="6"/>
  <c r="K51" i="6" s="1"/>
  <c r="Q10" i="6"/>
  <c r="D11" i="6" s="1"/>
  <c r="P10" i="6"/>
  <c r="C11" i="6" s="1"/>
  <c r="O10" i="6"/>
  <c r="B11" i="6" s="1"/>
  <c r="A10" i="6"/>
  <c r="K50" i="6" s="1"/>
  <c r="Q9" i="6"/>
  <c r="D10" i="6" s="1"/>
  <c r="P9" i="6"/>
  <c r="C10" i="6" s="1"/>
  <c r="O9" i="6"/>
  <c r="B10" i="6" s="1"/>
  <c r="A9" i="6"/>
  <c r="K49" i="6" s="1"/>
  <c r="Q8" i="6"/>
  <c r="D9" i="6" s="1"/>
  <c r="P8" i="6"/>
  <c r="C9" i="6" s="1"/>
  <c r="O8" i="6"/>
  <c r="B9" i="6" s="1"/>
  <c r="A8" i="6"/>
  <c r="K48" i="6" s="1"/>
  <c r="F8" i="6"/>
  <c r="Q7" i="6"/>
  <c r="D8" i="6" s="1"/>
  <c r="P7" i="6"/>
  <c r="C8" i="6" s="1"/>
  <c r="O7" i="6"/>
  <c r="B8" i="6" s="1"/>
  <c r="A7" i="6"/>
  <c r="K47" i="6" s="1"/>
  <c r="Q6" i="6"/>
  <c r="D7" i="6" s="1"/>
  <c r="P6" i="6"/>
  <c r="C7" i="6" s="1"/>
  <c r="O6" i="6"/>
  <c r="B7" i="6" s="1"/>
  <c r="A6" i="6"/>
  <c r="A46" i="6" s="1"/>
  <c r="Q5" i="6"/>
  <c r="D6" i="6" s="1"/>
  <c r="P5" i="6"/>
  <c r="C6" i="6" s="1"/>
  <c r="O5" i="6"/>
  <c r="B6" i="6" s="1"/>
  <c r="A5" i="6"/>
  <c r="K45" i="6" s="1"/>
  <c r="Q4" i="6"/>
  <c r="D5" i="6" s="1"/>
  <c r="P4" i="6"/>
  <c r="C5" i="6" s="1"/>
  <c r="O4" i="6"/>
  <c r="B5" i="6" s="1"/>
  <c r="A4" i="6"/>
  <c r="A44" i="6" s="1"/>
  <c r="Q3" i="6"/>
  <c r="D4" i="6" s="1"/>
  <c r="P3" i="6"/>
  <c r="C4" i="6" s="1"/>
  <c r="O3" i="6"/>
  <c r="B4" i="6" s="1"/>
  <c r="A35" i="12"/>
  <c r="A75" i="12" s="1"/>
  <c r="A34" i="12"/>
  <c r="K74" i="12" s="1"/>
  <c r="A33" i="12"/>
  <c r="K73" i="12" s="1"/>
  <c r="A32" i="12"/>
  <c r="K72" i="12" s="1"/>
  <c r="A31" i="12"/>
  <c r="A71" i="12" s="1"/>
  <c r="A30" i="12"/>
  <c r="K70" i="12" s="1"/>
  <c r="E30" i="12"/>
  <c r="A29" i="12"/>
  <c r="K69" i="12" s="1"/>
  <c r="G28" i="12"/>
  <c r="A28" i="12"/>
  <c r="K68" i="12" s="1"/>
  <c r="A27" i="12"/>
  <c r="A67" i="12" s="1"/>
  <c r="A26" i="12"/>
  <c r="K66" i="12" s="1"/>
  <c r="A25" i="12"/>
  <c r="K65" i="12" s="1"/>
  <c r="A24" i="12"/>
  <c r="K64" i="12" s="1"/>
  <c r="A23" i="12"/>
  <c r="A63" i="12" s="1"/>
  <c r="A22" i="12"/>
  <c r="K62" i="12" s="1"/>
  <c r="A21" i="12"/>
  <c r="K61" i="12" s="1"/>
  <c r="A20" i="12"/>
  <c r="K60" i="12" s="1"/>
  <c r="A19" i="12"/>
  <c r="K59" i="12" s="1"/>
  <c r="A18" i="12"/>
  <c r="K58" i="12" s="1"/>
  <c r="A17" i="12"/>
  <c r="K57" i="12" s="1"/>
  <c r="A16" i="12"/>
  <c r="K56" i="12" s="1"/>
  <c r="A15" i="12"/>
  <c r="K55" i="12" s="1"/>
  <c r="A14" i="12"/>
  <c r="K54" i="12" s="1"/>
  <c r="A13" i="12"/>
  <c r="K53" i="12" s="1"/>
  <c r="A12" i="12"/>
  <c r="K52" i="12" s="1"/>
  <c r="A11" i="12"/>
  <c r="K51" i="12" s="1"/>
  <c r="A10" i="12"/>
  <c r="K50" i="12" s="1"/>
  <c r="A9" i="12"/>
  <c r="K49" i="12" s="1"/>
  <c r="A8" i="12"/>
  <c r="K48" i="12" s="1"/>
  <c r="A7" i="12"/>
  <c r="K47" i="12" s="1"/>
  <c r="A6" i="12"/>
  <c r="K46" i="12" s="1"/>
  <c r="A5" i="12"/>
  <c r="A45" i="12" s="1"/>
  <c r="A4" i="12"/>
  <c r="K44" i="12" s="1"/>
  <c r="A35" i="13"/>
  <c r="K75" i="13" s="1"/>
  <c r="A34" i="13"/>
  <c r="K74" i="13" s="1"/>
  <c r="A33" i="13"/>
  <c r="A73" i="13" s="1"/>
  <c r="D32" i="13"/>
  <c r="C32" i="13"/>
  <c r="A32" i="13"/>
  <c r="K72" i="13" s="1"/>
  <c r="A31" i="13"/>
  <c r="A71" i="13" s="1"/>
  <c r="A30" i="13"/>
  <c r="K70" i="13" s="1"/>
  <c r="A29" i="13"/>
  <c r="A69" i="13" s="1"/>
  <c r="A28" i="13"/>
  <c r="K68" i="13" s="1"/>
  <c r="A27" i="13"/>
  <c r="A67" i="13" s="1"/>
  <c r="A26" i="13"/>
  <c r="K66" i="13" s="1"/>
  <c r="A25" i="13"/>
  <c r="A65" i="13" s="1"/>
  <c r="A24" i="13"/>
  <c r="K64" i="13" s="1"/>
  <c r="A23" i="13"/>
  <c r="A63" i="13" s="1"/>
  <c r="A22" i="13"/>
  <c r="K62" i="13" s="1"/>
  <c r="A21" i="13"/>
  <c r="A61" i="13" s="1"/>
  <c r="C20" i="13"/>
  <c r="A20" i="13"/>
  <c r="K60" i="13" s="1"/>
  <c r="A19" i="13"/>
  <c r="A59" i="13" s="1"/>
  <c r="A18" i="13"/>
  <c r="K58" i="13" s="1"/>
  <c r="A17" i="13"/>
  <c r="K57" i="13" s="1"/>
  <c r="A16" i="13"/>
  <c r="K56" i="13" s="1"/>
  <c r="A15" i="13"/>
  <c r="K55" i="13" s="1"/>
  <c r="A14" i="13"/>
  <c r="K54" i="13" s="1"/>
  <c r="A13" i="13"/>
  <c r="K53" i="13" s="1"/>
  <c r="A12" i="13"/>
  <c r="K52" i="13" s="1"/>
  <c r="A11" i="13"/>
  <c r="K51" i="13" s="1"/>
  <c r="A10" i="13"/>
  <c r="A50" i="13" s="1"/>
  <c r="A9" i="13"/>
  <c r="K49" i="13" s="1"/>
  <c r="A8" i="13"/>
  <c r="A48" i="13" s="1"/>
  <c r="A7" i="13"/>
  <c r="K47" i="13" s="1"/>
  <c r="A6" i="13"/>
  <c r="K46" i="13" s="1"/>
  <c r="A5" i="13"/>
  <c r="K45" i="13" s="1"/>
  <c r="A4" i="13"/>
  <c r="A44" i="13" s="1"/>
  <c r="C4" i="13"/>
  <c r="A35" i="16"/>
  <c r="K75" i="16" s="1"/>
  <c r="A34" i="16"/>
  <c r="A74" i="16" s="1"/>
  <c r="A33" i="16"/>
  <c r="K73" i="16" s="1"/>
  <c r="G33" i="16"/>
  <c r="A32" i="16"/>
  <c r="A72" i="16" s="1"/>
  <c r="A31" i="16"/>
  <c r="K71" i="16" s="1"/>
  <c r="E31" i="16"/>
  <c r="A30" i="16"/>
  <c r="A70" i="16" s="1"/>
  <c r="A29" i="16"/>
  <c r="K69" i="16" s="1"/>
  <c r="G29" i="16"/>
  <c r="A28" i="16"/>
  <c r="A68" i="16" s="1"/>
  <c r="A27" i="16"/>
  <c r="K67" i="16" s="1"/>
  <c r="E27" i="16"/>
  <c r="A26" i="16"/>
  <c r="K66" i="16" s="1"/>
  <c r="A25" i="16"/>
  <c r="K65" i="16" s="1"/>
  <c r="G25" i="16"/>
  <c r="A24" i="16"/>
  <c r="A64" i="16" s="1"/>
  <c r="A23" i="16"/>
  <c r="K63" i="16" s="1"/>
  <c r="E23" i="16"/>
  <c r="A22" i="16"/>
  <c r="A62" i="16" s="1"/>
  <c r="A21" i="16"/>
  <c r="K61" i="16" s="1"/>
  <c r="G21" i="16"/>
  <c r="A20" i="16"/>
  <c r="K60" i="16" s="1"/>
  <c r="A19" i="16"/>
  <c r="K59" i="16" s="1"/>
  <c r="A18" i="16"/>
  <c r="A58" i="16" s="1"/>
  <c r="A17" i="16"/>
  <c r="K57" i="16" s="1"/>
  <c r="F16" i="16"/>
  <c r="A16" i="16"/>
  <c r="A56" i="16" s="1"/>
  <c r="A15" i="16"/>
  <c r="K55" i="16" s="1"/>
  <c r="E15" i="16"/>
  <c r="A14" i="16"/>
  <c r="K54" i="16" s="1"/>
  <c r="A13" i="16"/>
  <c r="K53" i="16" s="1"/>
  <c r="A12" i="16"/>
  <c r="A52" i="16" s="1"/>
  <c r="F12" i="16"/>
  <c r="A11" i="16"/>
  <c r="K51" i="16" s="1"/>
  <c r="E11" i="16"/>
  <c r="A10" i="16"/>
  <c r="A50" i="16" s="1"/>
  <c r="A9" i="16"/>
  <c r="K49" i="16" s="1"/>
  <c r="A8" i="16"/>
  <c r="K48" i="16" s="1"/>
  <c r="F8" i="16"/>
  <c r="A7" i="16"/>
  <c r="K47" i="16" s="1"/>
  <c r="E7" i="16"/>
  <c r="A6" i="16"/>
  <c r="K46" i="16" s="1"/>
  <c r="A5" i="16"/>
  <c r="K45" i="16" s="1"/>
  <c r="G5" i="16"/>
  <c r="A4" i="16"/>
  <c r="A44" i="16" s="1"/>
  <c r="F4" i="16"/>
  <c r="C4" i="16"/>
  <c r="F35" i="19"/>
  <c r="A35" i="19"/>
  <c r="K75" i="19" s="1"/>
  <c r="A34" i="19"/>
  <c r="A74" i="19" s="1"/>
  <c r="A33" i="19"/>
  <c r="K73" i="19" s="1"/>
  <c r="A32" i="19"/>
  <c r="A72" i="19" s="1"/>
  <c r="A31" i="19"/>
  <c r="K71" i="19" s="1"/>
  <c r="F31" i="19"/>
  <c r="A30" i="19"/>
  <c r="A70" i="19" s="1"/>
  <c r="E30" i="19"/>
  <c r="B30" i="19"/>
  <c r="A29" i="19"/>
  <c r="K69" i="19" s="1"/>
  <c r="G28" i="19"/>
  <c r="A28" i="19"/>
  <c r="A68" i="19" s="1"/>
  <c r="A27" i="19"/>
  <c r="K67" i="19" s="1"/>
  <c r="F27" i="19"/>
  <c r="A26" i="19"/>
  <c r="K66" i="19" s="1"/>
  <c r="A25" i="19"/>
  <c r="K65" i="19" s="1"/>
  <c r="A24" i="19"/>
  <c r="A64" i="19" s="1"/>
  <c r="A23" i="19"/>
  <c r="K63" i="19" s="1"/>
  <c r="F23" i="19"/>
  <c r="C23" i="19"/>
  <c r="E22" i="19"/>
  <c r="A22" i="19"/>
  <c r="A62" i="19" s="1"/>
  <c r="A21" i="19"/>
  <c r="K61" i="19" s="1"/>
  <c r="A20" i="19"/>
  <c r="A60" i="19" s="1"/>
  <c r="A19" i="19"/>
  <c r="K59" i="19" s="1"/>
  <c r="F19" i="19"/>
  <c r="A18" i="19"/>
  <c r="A58" i="19" s="1"/>
  <c r="E18" i="19"/>
  <c r="A17" i="19"/>
  <c r="K57" i="19" s="1"/>
  <c r="G16" i="19"/>
  <c r="A16" i="19"/>
  <c r="A56" i="19" s="1"/>
  <c r="A15" i="19"/>
  <c r="K55" i="19" s="1"/>
  <c r="F15" i="19"/>
  <c r="A14" i="19"/>
  <c r="A54" i="19" s="1"/>
  <c r="A13" i="19"/>
  <c r="K53" i="19" s="1"/>
  <c r="A12" i="19"/>
  <c r="A52" i="19" s="1"/>
  <c r="G12" i="19"/>
  <c r="A11" i="19"/>
  <c r="K51" i="19" s="1"/>
  <c r="A10" i="19"/>
  <c r="A50" i="19" s="1"/>
  <c r="E10" i="19"/>
  <c r="A9" i="19"/>
  <c r="K49" i="19" s="1"/>
  <c r="A8" i="19"/>
  <c r="A48" i="19" s="1"/>
  <c r="G8" i="19"/>
  <c r="A7" i="19"/>
  <c r="K47" i="19" s="1"/>
  <c r="A6" i="19"/>
  <c r="A46" i="19" s="1"/>
  <c r="E6" i="19"/>
  <c r="A5" i="19"/>
  <c r="K45" i="19" s="1"/>
  <c r="A4" i="19"/>
  <c r="A44" i="19" s="1"/>
  <c r="G4" i="19"/>
  <c r="G35" i="17"/>
  <c r="A35" i="17"/>
  <c r="K75" i="17" s="1"/>
  <c r="A34" i="17"/>
  <c r="K74" i="17" s="1"/>
  <c r="F34" i="17"/>
  <c r="A33" i="17"/>
  <c r="K73" i="17" s="1"/>
  <c r="E33" i="17"/>
  <c r="A32" i="17"/>
  <c r="K72" i="17" s="1"/>
  <c r="G31" i="17"/>
  <c r="A31" i="17"/>
  <c r="K71" i="17" s="1"/>
  <c r="A30" i="17"/>
  <c r="K70" i="17" s="1"/>
  <c r="F30" i="17"/>
  <c r="A29" i="17"/>
  <c r="K69" i="17" s="1"/>
  <c r="E29" i="17"/>
  <c r="A28" i="17"/>
  <c r="K68" i="17" s="1"/>
  <c r="G27" i="17"/>
  <c r="A27" i="17"/>
  <c r="K67" i="17" s="1"/>
  <c r="A26" i="17"/>
  <c r="K66" i="17" s="1"/>
  <c r="F26" i="17"/>
  <c r="A25" i="17"/>
  <c r="K65" i="17" s="1"/>
  <c r="E25" i="17"/>
  <c r="A24" i="17"/>
  <c r="K64" i="17" s="1"/>
  <c r="A23" i="17"/>
  <c r="K63" i="17" s="1"/>
  <c r="G23" i="17"/>
  <c r="F22" i="17"/>
  <c r="A22" i="17"/>
  <c r="A62" i="17" s="1"/>
  <c r="A21" i="17"/>
  <c r="K61" i="17" s="1"/>
  <c r="E21" i="17"/>
  <c r="A20" i="17"/>
  <c r="K60" i="17" s="1"/>
  <c r="A19" i="17"/>
  <c r="K59" i="17" s="1"/>
  <c r="G19" i="17"/>
  <c r="F18" i="17"/>
  <c r="A18" i="17"/>
  <c r="K58" i="17" s="1"/>
  <c r="A17" i="17"/>
  <c r="K57" i="17" s="1"/>
  <c r="E17" i="17"/>
  <c r="A16" i="17"/>
  <c r="K56" i="17" s="1"/>
  <c r="P45" i="12" l="1"/>
  <c r="C4" i="12"/>
  <c r="M44" i="12" s="1"/>
  <c r="C16" i="12"/>
  <c r="C16" i="23" s="1"/>
  <c r="M16" i="23" s="1"/>
  <c r="C20" i="12"/>
  <c r="C60" i="12" s="1"/>
  <c r="C24" i="12"/>
  <c r="C24" i="23" s="1"/>
  <c r="M24" i="23" s="1"/>
  <c r="C69" i="16"/>
  <c r="C48" i="12"/>
  <c r="F44" i="10"/>
  <c r="F48" i="10"/>
  <c r="F56" i="10"/>
  <c r="F60" i="10"/>
  <c r="F64" i="10"/>
  <c r="F68" i="10"/>
  <c r="F72" i="10"/>
  <c r="F72" i="6"/>
  <c r="M72" i="12"/>
  <c r="F56" i="6"/>
  <c r="F44" i="18"/>
  <c r="F68" i="18"/>
  <c r="F48" i="22"/>
  <c r="M44" i="14"/>
  <c r="M48" i="14"/>
  <c r="M52" i="14"/>
  <c r="M44" i="7"/>
  <c r="M48" i="7"/>
  <c r="M68" i="7"/>
  <c r="M56" i="15"/>
  <c r="C57" i="17"/>
  <c r="C45" i="15"/>
  <c r="C49" i="15"/>
  <c r="C69" i="15"/>
  <c r="C65" i="14"/>
  <c r="C72" i="11"/>
  <c r="C44" i="7"/>
  <c r="P74" i="15"/>
  <c r="M65" i="17"/>
  <c r="K53" i="18"/>
  <c r="K65" i="22"/>
  <c r="C59" i="15"/>
  <c r="P50" i="19"/>
  <c r="F47" i="19"/>
  <c r="I10" i="18"/>
  <c r="F47" i="18"/>
  <c r="F55" i="16"/>
  <c r="P67" i="16"/>
  <c r="F47" i="20"/>
  <c r="P52" i="14"/>
  <c r="I5" i="9"/>
  <c r="I11" i="8"/>
  <c r="I8" i="6"/>
  <c r="A49" i="22"/>
  <c r="K66" i="14"/>
  <c r="A74" i="11"/>
  <c r="K54" i="10"/>
  <c r="A71" i="8"/>
  <c r="K46" i="6"/>
  <c r="A45" i="13"/>
  <c r="A55" i="16"/>
  <c r="I8" i="19"/>
  <c r="F55" i="19"/>
  <c r="I9" i="18"/>
  <c r="I11" i="18"/>
  <c r="C59" i="19"/>
  <c r="C58" i="13"/>
  <c r="C48" i="7"/>
  <c r="M44" i="6"/>
  <c r="C50" i="12"/>
  <c r="C54" i="12"/>
  <c r="C45" i="8"/>
  <c r="C52" i="8"/>
  <c r="F71" i="19"/>
  <c r="F44" i="20"/>
  <c r="F48" i="20"/>
  <c r="F52" i="20"/>
  <c r="F62" i="12"/>
  <c r="F75" i="11"/>
  <c r="I5" i="10"/>
  <c r="I6" i="10"/>
  <c r="I8" i="10"/>
  <c r="I9" i="10"/>
  <c r="I10" i="10"/>
  <c r="P63" i="7"/>
  <c r="I11" i="3"/>
  <c r="F70" i="3"/>
  <c r="F50" i="14"/>
  <c r="P54" i="14"/>
  <c r="F70" i="14"/>
  <c r="P71" i="13"/>
  <c r="I5" i="11"/>
  <c r="F50" i="11"/>
  <c r="F66" i="11"/>
  <c r="I11" i="11"/>
  <c r="P70" i="11"/>
  <c r="I10" i="9"/>
  <c r="M56" i="7"/>
  <c r="F70" i="7"/>
  <c r="F74" i="7"/>
  <c r="K44" i="19"/>
  <c r="A61" i="19"/>
  <c r="A69" i="19"/>
  <c r="K50" i="16"/>
  <c r="A52" i="13"/>
  <c r="K59" i="13"/>
  <c r="K44" i="13"/>
  <c r="A52" i="6"/>
  <c r="A75" i="6"/>
  <c r="K71" i="6"/>
  <c r="K61" i="6"/>
  <c r="K53" i="3"/>
  <c r="A68" i="3"/>
  <c r="K47" i="8"/>
  <c r="A60" i="10"/>
  <c r="A46" i="10"/>
  <c r="A62" i="10"/>
  <c r="K50" i="10"/>
  <c r="K70" i="10"/>
  <c r="K46" i="11"/>
  <c r="K60" i="11"/>
  <c r="K52" i="11"/>
  <c r="A64" i="11"/>
  <c r="A56" i="11"/>
  <c r="K71" i="11"/>
  <c r="K70" i="14"/>
  <c r="K56" i="14"/>
  <c r="A61" i="14"/>
  <c r="A71" i="15"/>
  <c r="A63" i="15"/>
  <c r="K46" i="15"/>
  <c r="A55" i="15"/>
  <c r="A57" i="22"/>
  <c r="K67" i="22"/>
  <c r="A63" i="22"/>
  <c r="A75" i="22"/>
  <c r="A47" i="22"/>
  <c r="K54" i="20"/>
  <c r="A50" i="20"/>
  <c r="A56" i="20"/>
  <c r="A66" i="20"/>
  <c r="K59" i="18"/>
  <c r="K57" i="23" s="1"/>
  <c r="A14" i="23"/>
  <c r="K14" i="23" s="1"/>
  <c r="K67" i="18"/>
  <c r="K65" i="23" s="1"/>
  <c r="A10" i="23"/>
  <c r="K10" i="23" s="1"/>
  <c r="K47" i="18"/>
  <c r="F60" i="19"/>
  <c r="F50" i="18"/>
  <c r="P46" i="18"/>
  <c r="F66" i="18"/>
  <c r="I8" i="17"/>
  <c r="I9" i="17"/>
  <c r="I10" i="17"/>
  <c r="P74" i="16"/>
  <c r="I6" i="16"/>
  <c r="I7" i="16"/>
  <c r="F60" i="16"/>
  <c r="F64" i="16"/>
  <c r="F68" i="16"/>
  <c r="P47" i="20"/>
  <c r="P55" i="20"/>
  <c r="F59" i="20"/>
  <c r="F60" i="20"/>
  <c r="P63" i="20"/>
  <c r="P44" i="15"/>
  <c r="P50" i="15"/>
  <c r="P52" i="15"/>
  <c r="P62" i="15"/>
  <c r="P47" i="15"/>
  <c r="P48" i="15"/>
  <c r="P55" i="15"/>
  <c r="P63" i="15"/>
  <c r="P64" i="15"/>
  <c r="P67" i="15"/>
  <c r="P72" i="15"/>
  <c r="P65" i="13"/>
  <c r="P73" i="13"/>
  <c r="P72" i="13"/>
  <c r="F45" i="13"/>
  <c r="F54" i="13"/>
  <c r="P58" i="13"/>
  <c r="F70" i="13"/>
  <c r="F74" i="13"/>
  <c r="I8" i="12"/>
  <c r="F54" i="12"/>
  <c r="F66" i="12"/>
  <c r="I8" i="11"/>
  <c r="I11" i="10"/>
  <c r="I7" i="10"/>
  <c r="P53" i="7"/>
  <c r="P73" i="7"/>
  <c r="F47" i="7"/>
  <c r="F59" i="7"/>
  <c r="F71" i="7"/>
  <c r="F75" i="7"/>
  <c r="P58" i="8"/>
  <c r="P66" i="8"/>
  <c r="P46" i="8"/>
  <c r="F50" i="8"/>
  <c r="F44" i="6"/>
  <c r="F50" i="6"/>
  <c r="F66" i="6"/>
  <c r="F70" i="6"/>
  <c r="F74" i="6"/>
  <c r="M46" i="8"/>
  <c r="C47" i="3"/>
  <c r="M57" i="3"/>
  <c r="C60" i="3"/>
  <c r="A34" i="23"/>
  <c r="K34" i="23" s="1"/>
  <c r="K49" i="18"/>
  <c r="K61" i="18"/>
  <c r="K59" i="23" s="1"/>
  <c r="K75" i="18"/>
  <c r="K73" i="23" s="1"/>
  <c r="A26" i="23"/>
  <c r="K26" i="23" s="1"/>
  <c r="A6" i="23"/>
  <c r="K6" i="23" s="1"/>
  <c r="A46" i="18"/>
  <c r="K65" i="18"/>
  <c r="K63" i="23" s="1"/>
  <c r="A44" i="18"/>
  <c r="K51" i="18"/>
  <c r="K63" i="18"/>
  <c r="K61" i="23" s="1"/>
  <c r="A18" i="23"/>
  <c r="K18" i="23" s="1"/>
  <c r="A47" i="20"/>
  <c r="K44" i="20"/>
  <c r="A48" i="20"/>
  <c r="K52" i="20"/>
  <c r="A58" i="20"/>
  <c r="K72" i="20"/>
  <c r="A45" i="20"/>
  <c r="A62" i="20"/>
  <c r="A61" i="22"/>
  <c r="K69" i="22"/>
  <c r="A45" i="22"/>
  <c r="A71" i="22"/>
  <c r="A53" i="22"/>
  <c r="A49" i="15"/>
  <c r="K58" i="15"/>
  <c r="K68" i="15"/>
  <c r="K74" i="15"/>
  <c r="K60" i="15"/>
  <c r="A69" i="15"/>
  <c r="A53" i="15"/>
  <c r="A45" i="15"/>
  <c r="K54" i="15"/>
  <c r="K62" i="15"/>
  <c r="K70" i="15"/>
  <c r="A49" i="14"/>
  <c r="K52" i="14"/>
  <c r="A57" i="14"/>
  <c r="A67" i="14"/>
  <c r="K72" i="14"/>
  <c r="A45" i="14"/>
  <c r="A53" i="14"/>
  <c r="K58" i="14"/>
  <c r="A63" i="14"/>
  <c r="K74" i="14"/>
  <c r="K48" i="14"/>
  <c r="K54" i="14"/>
  <c r="A59" i="14"/>
  <c r="A65" i="14"/>
  <c r="A69" i="14"/>
  <c r="A44" i="11"/>
  <c r="K48" i="11"/>
  <c r="A62" i="11"/>
  <c r="A66" i="11"/>
  <c r="A58" i="11"/>
  <c r="K67" i="11"/>
  <c r="A48" i="10"/>
  <c r="A52" i="10"/>
  <c r="A58" i="10"/>
  <c r="A66" i="10"/>
  <c r="K68" i="10"/>
  <c r="K74" i="10"/>
  <c r="A44" i="10"/>
  <c r="K48" i="9"/>
  <c r="K52" i="9"/>
  <c r="K56" i="9"/>
  <c r="A64" i="9"/>
  <c r="K71" i="9"/>
  <c r="A44" i="9"/>
  <c r="A50" i="9"/>
  <c r="A54" i="9"/>
  <c r="A58" i="9"/>
  <c r="K73" i="9"/>
  <c r="A60" i="9"/>
  <c r="A66" i="9"/>
  <c r="K75" i="9"/>
  <c r="K69" i="9"/>
  <c r="A44" i="7"/>
  <c r="K56" i="7"/>
  <c r="K60" i="7"/>
  <c r="A66" i="7"/>
  <c r="A70" i="7"/>
  <c r="A74" i="7"/>
  <c r="K52" i="7"/>
  <c r="A57" i="7"/>
  <c r="A61" i="7"/>
  <c r="K45" i="7"/>
  <c r="K54" i="7"/>
  <c r="K58" i="7"/>
  <c r="K62" i="7"/>
  <c r="A68" i="7"/>
  <c r="A72" i="7"/>
  <c r="A48" i="7"/>
  <c r="A55" i="7"/>
  <c r="A59" i="7"/>
  <c r="A63" i="7"/>
  <c r="A61" i="8"/>
  <c r="A53" i="8"/>
  <c r="A44" i="8"/>
  <c r="A55" i="8"/>
  <c r="A63" i="8"/>
  <c r="K72" i="8"/>
  <c r="A46" i="8"/>
  <c r="A57" i="8"/>
  <c r="K55" i="3"/>
  <c r="A70" i="3"/>
  <c r="K75" i="3"/>
  <c r="K45" i="3"/>
  <c r="K58" i="3"/>
  <c r="A72" i="3"/>
  <c r="K49" i="3"/>
  <c r="A60" i="3"/>
  <c r="A74" i="3"/>
  <c r="A47" i="12"/>
  <c r="A53" i="12"/>
  <c r="A57" i="12"/>
  <c r="K63" i="12"/>
  <c r="K67" i="12"/>
  <c r="K71" i="12"/>
  <c r="K75" i="12"/>
  <c r="A55" i="12"/>
  <c r="A61" i="12"/>
  <c r="A64" i="12"/>
  <c r="A68" i="12"/>
  <c r="A72" i="12"/>
  <c r="K45" i="12"/>
  <c r="A49" i="12"/>
  <c r="A66" i="12"/>
  <c r="A70" i="12"/>
  <c r="A74" i="12"/>
  <c r="A51" i="12"/>
  <c r="A56" i="12"/>
  <c r="K48" i="13"/>
  <c r="A46" i="13"/>
  <c r="A54" i="13"/>
  <c r="K61" i="13"/>
  <c r="A66" i="13"/>
  <c r="K63" i="13"/>
  <c r="K73" i="13"/>
  <c r="A60" i="13"/>
  <c r="A64" i="13"/>
  <c r="A58" i="13"/>
  <c r="A62" i="13"/>
  <c r="A70" i="13"/>
  <c r="A69" i="16"/>
  <c r="K52" i="16"/>
  <c r="A60" i="16"/>
  <c r="K44" i="16"/>
  <c r="A54" i="16"/>
  <c r="A66" i="16"/>
  <c r="A45" i="16"/>
  <c r="A45" i="19"/>
  <c r="A49" i="19"/>
  <c r="K56" i="19"/>
  <c r="K62" i="19"/>
  <c r="K70" i="19"/>
  <c r="A55" i="19"/>
  <c r="K46" i="19"/>
  <c r="A53" i="19"/>
  <c r="K58" i="19"/>
  <c r="K64" i="19"/>
  <c r="K72" i="19"/>
  <c r="K48" i="19"/>
  <c r="K74" i="19"/>
  <c r="A47" i="19"/>
  <c r="K54" i="19"/>
  <c r="K60" i="19"/>
  <c r="K68" i="19"/>
  <c r="A73" i="19"/>
  <c r="A48" i="6"/>
  <c r="A54" i="6"/>
  <c r="K57" i="6"/>
  <c r="K63" i="6"/>
  <c r="K67" i="6"/>
  <c r="A72" i="6"/>
  <c r="A66" i="6"/>
  <c r="K44" i="6"/>
  <c r="A50" i="6"/>
  <c r="A58" i="6"/>
  <c r="A64" i="6"/>
  <c r="A68" i="6"/>
  <c r="A73" i="6"/>
  <c r="A56" i="6"/>
  <c r="K59" i="6"/>
  <c r="K65" i="6"/>
  <c r="A70" i="6"/>
  <c r="A60" i="17"/>
  <c r="M62" i="15"/>
  <c r="C75" i="15"/>
  <c r="M49" i="7"/>
  <c r="M59" i="3"/>
  <c r="C44" i="6"/>
  <c r="C56" i="6"/>
  <c r="M68" i="12"/>
  <c r="C45" i="13"/>
  <c r="C57" i="16"/>
  <c r="M69" i="17"/>
  <c r="M68" i="17"/>
  <c r="M61" i="17"/>
  <c r="C50" i="15"/>
  <c r="C65" i="15"/>
  <c r="C66" i="15"/>
  <c r="C73" i="15"/>
  <c r="C46" i="11"/>
  <c r="M50" i="7"/>
  <c r="M51" i="8"/>
  <c r="M47" i="8"/>
  <c r="M48" i="8"/>
  <c r="M44" i="8"/>
  <c r="M50" i="8"/>
  <c r="C57" i="8"/>
  <c r="C53" i="8"/>
  <c r="M54" i="8"/>
  <c r="C55" i="3"/>
  <c r="C57" i="3"/>
  <c r="C52" i="6"/>
  <c r="C46" i="6"/>
  <c r="F49" i="18"/>
  <c r="I6" i="18"/>
  <c r="F45" i="18"/>
  <c r="I5" i="18"/>
  <c r="P48" i="18"/>
  <c r="P56" i="18"/>
  <c r="P60" i="18"/>
  <c r="P64" i="18"/>
  <c r="P72" i="18"/>
  <c r="F53" i="18"/>
  <c r="I7" i="18"/>
  <c r="P57" i="18"/>
  <c r="I8" i="18"/>
  <c r="I5" i="19"/>
  <c r="I6" i="19"/>
  <c r="I7" i="19"/>
  <c r="I9" i="19"/>
  <c r="I10" i="19"/>
  <c r="I11" i="19"/>
  <c r="P66" i="19"/>
  <c r="P51" i="19"/>
  <c r="P67" i="19"/>
  <c r="I11" i="17"/>
  <c r="F57" i="16"/>
  <c r="I8" i="16"/>
  <c r="F69" i="16"/>
  <c r="I11" i="16"/>
  <c r="P61" i="16"/>
  <c r="I9" i="16"/>
  <c r="P70" i="16"/>
  <c r="I5" i="16"/>
  <c r="F65" i="16"/>
  <c r="I10" i="16"/>
  <c r="P51" i="16"/>
  <c r="F56" i="20"/>
  <c r="I5" i="20"/>
  <c r="I6" i="20"/>
  <c r="I7" i="20"/>
  <c r="I8" i="20"/>
  <c r="I9" i="20"/>
  <c r="I10" i="20"/>
  <c r="I11" i="20"/>
  <c r="F51" i="20"/>
  <c r="P45" i="22"/>
  <c r="F44" i="22"/>
  <c r="P70" i="22"/>
  <c r="F46" i="22"/>
  <c r="P62" i="22"/>
  <c r="P50" i="22"/>
  <c r="P49" i="15"/>
  <c r="I6" i="15"/>
  <c r="P57" i="15"/>
  <c r="I8" i="15"/>
  <c r="I5" i="15"/>
  <c r="I7" i="15"/>
  <c r="I9" i="15"/>
  <c r="P65" i="15"/>
  <c r="I10" i="15"/>
  <c r="P66" i="15"/>
  <c r="P69" i="15"/>
  <c r="I11" i="15"/>
  <c r="P70" i="15"/>
  <c r="P56" i="15"/>
  <c r="P45" i="14"/>
  <c r="I5" i="14"/>
  <c r="F53" i="14"/>
  <c r="I7" i="14"/>
  <c r="F69" i="14"/>
  <c r="I11" i="14"/>
  <c r="I6" i="14"/>
  <c r="I8" i="14"/>
  <c r="F58" i="14"/>
  <c r="I9" i="14"/>
  <c r="F65" i="14"/>
  <c r="I10" i="14"/>
  <c r="P74" i="14"/>
  <c r="F44" i="14"/>
  <c r="F51" i="14"/>
  <c r="F73" i="14"/>
  <c r="F45" i="14"/>
  <c r="I5" i="13"/>
  <c r="I6" i="13"/>
  <c r="I7" i="13"/>
  <c r="I8" i="13"/>
  <c r="I10" i="13"/>
  <c r="F69" i="13"/>
  <c r="I11" i="13"/>
  <c r="F73" i="13"/>
  <c r="F44" i="13"/>
  <c r="P59" i="13"/>
  <c r="F60" i="13"/>
  <c r="P68" i="13"/>
  <c r="P61" i="13"/>
  <c r="I9" i="13"/>
  <c r="F51" i="13"/>
  <c r="F47" i="12"/>
  <c r="F53" i="12"/>
  <c r="I7" i="12"/>
  <c r="I11" i="12"/>
  <c r="F45" i="12"/>
  <c r="I5" i="12"/>
  <c r="F49" i="12"/>
  <c r="I6" i="12"/>
  <c r="I9" i="12"/>
  <c r="I10" i="12"/>
  <c r="P64" i="12"/>
  <c r="P52" i="12"/>
  <c r="P65" i="11"/>
  <c r="I10" i="11"/>
  <c r="P49" i="11"/>
  <c r="I6" i="11"/>
  <c r="F53" i="11"/>
  <c r="I7" i="11"/>
  <c r="I9" i="11"/>
  <c r="F58" i="11"/>
  <c r="F59" i="11"/>
  <c r="F55" i="11"/>
  <c r="P67" i="11"/>
  <c r="F71" i="11"/>
  <c r="F47" i="10"/>
  <c r="P65" i="10"/>
  <c r="F46" i="10"/>
  <c r="F50" i="10"/>
  <c r="P53" i="9"/>
  <c r="I7" i="9"/>
  <c r="P57" i="9"/>
  <c r="I8" i="9"/>
  <c r="P61" i="9"/>
  <c r="I9" i="9"/>
  <c r="P49" i="9"/>
  <c r="I6" i="9"/>
  <c r="P69" i="9"/>
  <c r="I11" i="9"/>
  <c r="P66" i="9"/>
  <c r="P67" i="9"/>
  <c r="P54" i="9"/>
  <c r="P62" i="9"/>
  <c r="F45" i="9"/>
  <c r="F66" i="9"/>
  <c r="P46" i="9"/>
  <c r="P50" i="9"/>
  <c r="P58" i="9"/>
  <c r="P70" i="9"/>
  <c r="I5" i="7"/>
  <c r="F49" i="7"/>
  <c r="I6" i="7"/>
  <c r="I7" i="7"/>
  <c r="P54" i="7"/>
  <c r="I9" i="7"/>
  <c r="P62" i="7"/>
  <c r="I10" i="7"/>
  <c r="F69" i="7"/>
  <c r="I11" i="7"/>
  <c r="P51" i="7"/>
  <c r="F57" i="7"/>
  <c r="I8" i="7"/>
  <c r="I7" i="8"/>
  <c r="F62" i="8"/>
  <c r="I6" i="8"/>
  <c r="I5" i="8"/>
  <c r="P47" i="8"/>
  <c r="I8" i="8"/>
  <c r="F54" i="8"/>
  <c r="P61" i="8"/>
  <c r="I9" i="8"/>
  <c r="P65" i="8"/>
  <c r="I10" i="8"/>
  <c r="F53" i="8"/>
  <c r="P59" i="8"/>
  <c r="F51" i="8"/>
  <c r="P67" i="8"/>
  <c r="I5" i="3"/>
  <c r="I6" i="3"/>
  <c r="I7" i="3"/>
  <c r="I8" i="3"/>
  <c r="I9" i="3"/>
  <c r="P65" i="3"/>
  <c r="I10" i="3"/>
  <c r="P73" i="3"/>
  <c r="P46" i="3"/>
  <c r="P55" i="6"/>
  <c r="F58" i="6"/>
  <c r="F62" i="6"/>
  <c r="F45" i="6"/>
  <c r="I5" i="6"/>
  <c r="F49" i="6"/>
  <c r="I6" i="6"/>
  <c r="F53" i="6"/>
  <c r="I7" i="6"/>
  <c r="I9" i="6"/>
  <c r="I10" i="6"/>
  <c r="I11" i="6"/>
  <c r="F47" i="6"/>
  <c r="M63" i="19"/>
  <c r="C50" i="19"/>
  <c r="M51" i="19"/>
  <c r="C74" i="19"/>
  <c r="C66" i="19"/>
  <c r="C47" i="19"/>
  <c r="C55" i="19"/>
  <c r="C64" i="19"/>
  <c r="C75" i="17"/>
  <c r="M62" i="17"/>
  <c r="C73" i="17"/>
  <c r="C67" i="17"/>
  <c r="M59" i="17"/>
  <c r="M63" i="17"/>
  <c r="M71" i="17"/>
  <c r="M55" i="16"/>
  <c r="M56" i="16"/>
  <c r="M71" i="16"/>
  <c r="C53" i="15"/>
  <c r="C58" i="15"/>
  <c r="C61" i="15"/>
  <c r="C74" i="15"/>
  <c r="C47" i="15"/>
  <c r="C48" i="15"/>
  <c r="C57" i="15"/>
  <c r="C60" i="15"/>
  <c r="C55" i="15"/>
  <c r="C71" i="15"/>
  <c r="K46" i="14"/>
  <c r="K50" i="14"/>
  <c r="K60" i="14"/>
  <c r="K62" i="14"/>
  <c r="K68" i="14"/>
  <c r="A51" i="14"/>
  <c r="A55" i="14"/>
  <c r="A71" i="14"/>
  <c r="A73" i="14"/>
  <c r="A44" i="14"/>
  <c r="K47" i="14"/>
  <c r="K75" i="14"/>
  <c r="A64" i="14"/>
  <c r="C71" i="14"/>
  <c r="C51" i="14"/>
  <c r="C63" i="14"/>
  <c r="C55" i="14"/>
  <c r="C67" i="14"/>
  <c r="M60" i="13"/>
  <c r="C62" i="13"/>
  <c r="M68" i="13"/>
  <c r="C46" i="13"/>
  <c r="C44" i="13"/>
  <c r="M72" i="13"/>
  <c r="M46" i="12"/>
  <c r="M51" i="12"/>
  <c r="M54" i="12"/>
  <c r="C58" i="12"/>
  <c r="M52" i="12"/>
  <c r="M62" i="12"/>
  <c r="M66" i="12"/>
  <c r="C70" i="12"/>
  <c r="C60" i="11"/>
  <c r="M50" i="11"/>
  <c r="M74" i="11"/>
  <c r="C47" i="11"/>
  <c r="C48" i="11"/>
  <c r="C52" i="11"/>
  <c r="C68" i="11"/>
  <c r="C71" i="11"/>
  <c r="C63" i="7"/>
  <c r="M45" i="7"/>
  <c r="M54" i="7"/>
  <c r="C58" i="7"/>
  <c r="C46" i="7"/>
  <c r="M66" i="7"/>
  <c r="C44" i="8"/>
  <c r="C48" i="8"/>
  <c r="C49" i="8"/>
  <c r="C51" i="8"/>
  <c r="C59" i="8"/>
  <c r="M49" i="8"/>
  <c r="C55" i="8"/>
  <c r="C71" i="8"/>
  <c r="C47" i="8"/>
  <c r="M52" i="8"/>
  <c r="C65" i="8"/>
  <c r="C69" i="8"/>
  <c r="C50" i="8"/>
  <c r="M71" i="8"/>
  <c r="C54" i="3"/>
  <c r="C46" i="3"/>
  <c r="C74" i="3"/>
  <c r="C62" i="3"/>
  <c r="C66" i="3"/>
  <c r="C51" i="3"/>
  <c r="C52" i="3"/>
  <c r="C58" i="3"/>
  <c r="C59" i="3"/>
  <c r="C70" i="3"/>
  <c r="M72" i="3"/>
  <c r="C48" i="3"/>
  <c r="C48" i="6"/>
  <c r="C74" i="6"/>
  <c r="C66" i="6"/>
  <c r="C58" i="6"/>
  <c r="C50" i="6"/>
  <c r="C54" i="6"/>
  <c r="C64" i="6"/>
  <c r="K69" i="18"/>
  <c r="K67" i="23" s="1"/>
  <c r="K73" i="18"/>
  <c r="K71" i="23" s="1"/>
  <c r="K44" i="18"/>
  <c r="A48" i="18"/>
  <c r="A50" i="18"/>
  <c r="A52" i="18"/>
  <c r="A54" i="18"/>
  <c r="A56" i="18"/>
  <c r="A54" i="23" s="1"/>
  <c r="A58" i="18"/>
  <c r="A56" i="23" s="1"/>
  <c r="A60" i="18"/>
  <c r="A58" i="23" s="1"/>
  <c r="A62" i="18"/>
  <c r="A60" i="23" s="1"/>
  <c r="A64" i="18"/>
  <c r="A62" i="23" s="1"/>
  <c r="A66" i="18"/>
  <c r="A64" i="23" s="1"/>
  <c r="A68" i="18"/>
  <c r="A66" i="23" s="1"/>
  <c r="A70" i="18"/>
  <c r="A68" i="23" s="1"/>
  <c r="A72" i="18"/>
  <c r="A70" i="23" s="1"/>
  <c r="A74" i="18"/>
  <c r="A72" i="23" s="1"/>
  <c r="A33" i="23"/>
  <c r="K33" i="23" s="1"/>
  <c r="A29" i="23"/>
  <c r="K29" i="23" s="1"/>
  <c r="A25" i="23"/>
  <c r="K25" i="23" s="1"/>
  <c r="A21" i="23"/>
  <c r="K21" i="23" s="1"/>
  <c r="A17" i="23"/>
  <c r="K17" i="23" s="1"/>
  <c r="A13" i="23"/>
  <c r="K13" i="23" s="1"/>
  <c r="A9" i="23"/>
  <c r="K9" i="23" s="1"/>
  <c r="A5" i="23"/>
  <c r="K5" i="23" s="1"/>
  <c r="K55" i="18"/>
  <c r="K57" i="18"/>
  <c r="K55" i="23" s="1"/>
  <c r="A30" i="23"/>
  <c r="K30" i="23" s="1"/>
  <c r="A22" i="23"/>
  <c r="K22" i="23" s="1"/>
  <c r="A45" i="18"/>
  <c r="K48" i="18"/>
  <c r="K52" i="18"/>
  <c r="K56" i="18"/>
  <c r="K54" i="23" s="1"/>
  <c r="K60" i="18"/>
  <c r="K58" i="23" s="1"/>
  <c r="K64" i="18"/>
  <c r="K62" i="23" s="1"/>
  <c r="K68" i="18"/>
  <c r="K66" i="23" s="1"/>
  <c r="K72" i="18"/>
  <c r="K70" i="23" s="1"/>
  <c r="K71" i="18"/>
  <c r="K69" i="23" s="1"/>
  <c r="A47" i="18"/>
  <c r="A51" i="18"/>
  <c r="A55" i="18"/>
  <c r="A59" i="18"/>
  <c r="A57" i="23" s="1"/>
  <c r="A63" i="18"/>
  <c r="A61" i="23" s="1"/>
  <c r="A67" i="18"/>
  <c r="A65" i="23" s="1"/>
  <c r="A71" i="18"/>
  <c r="A69" i="23" s="1"/>
  <c r="A75" i="18"/>
  <c r="A73" i="23" s="1"/>
  <c r="K46" i="20"/>
  <c r="A60" i="20"/>
  <c r="A64" i="20"/>
  <c r="A49" i="20"/>
  <c r="A51" i="20"/>
  <c r="A53" i="20"/>
  <c r="A55" i="20"/>
  <c r="A57" i="20"/>
  <c r="A59" i="20"/>
  <c r="A61" i="20"/>
  <c r="A63" i="20"/>
  <c r="A65" i="20"/>
  <c r="A67" i="20"/>
  <c r="A69" i="20"/>
  <c r="A71" i="20"/>
  <c r="A73" i="20"/>
  <c r="A75" i="20"/>
  <c r="A68" i="20"/>
  <c r="A70" i="20"/>
  <c r="A74" i="20"/>
  <c r="A55" i="22"/>
  <c r="A59" i="22"/>
  <c r="A73" i="22"/>
  <c r="K51" i="22"/>
  <c r="K44" i="22"/>
  <c r="K46" i="22"/>
  <c r="K48" i="22"/>
  <c r="K50" i="22"/>
  <c r="K52" i="22"/>
  <c r="K54" i="22"/>
  <c r="K56" i="22"/>
  <c r="K58" i="22"/>
  <c r="K60" i="22"/>
  <c r="K62" i="22"/>
  <c r="K64" i="22"/>
  <c r="K66" i="22"/>
  <c r="K68" i="22"/>
  <c r="K70" i="22"/>
  <c r="K72" i="22"/>
  <c r="K74" i="22"/>
  <c r="K52" i="15"/>
  <c r="K56" i="15"/>
  <c r="K72" i="15"/>
  <c r="A47" i="15"/>
  <c r="A51" i="15"/>
  <c r="A73" i="15"/>
  <c r="K57" i="15"/>
  <c r="K59" i="15"/>
  <c r="K61" i="15"/>
  <c r="K65" i="15"/>
  <c r="K67" i="15"/>
  <c r="K75" i="15"/>
  <c r="K44" i="15"/>
  <c r="K48" i="15"/>
  <c r="K50" i="15"/>
  <c r="K64" i="15"/>
  <c r="K66" i="15"/>
  <c r="A54" i="11"/>
  <c r="K75" i="11"/>
  <c r="K50" i="11"/>
  <c r="A68" i="11"/>
  <c r="A70" i="11"/>
  <c r="K45" i="11"/>
  <c r="K47" i="11"/>
  <c r="K49" i="11"/>
  <c r="K51" i="11"/>
  <c r="K53" i="11"/>
  <c r="K55" i="11"/>
  <c r="K57" i="11"/>
  <c r="K59" i="11"/>
  <c r="K61" i="11"/>
  <c r="K63" i="11"/>
  <c r="K65" i="11"/>
  <c r="A69" i="11"/>
  <c r="A73" i="11"/>
  <c r="A72" i="11"/>
  <c r="A56" i="10"/>
  <c r="K64" i="10"/>
  <c r="K72" i="10"/>
  <c r="K45" i="10"/>
  <c r="K47" i="10"/>
  <c r="K49" i="10"/>
  <c r="K51" i="10"/>
  <c r="K53" i="10"/>
  <c r="K55" i="10"/>
  <c r="K57" i="10"/>
  <c r="K59" i="10"/>
  <c r="K61" i="10"/>
  <c r="K63" i="10"/>
  <c r="K65" i="10"/>
  <c r="K67" i="10"/>
  <c r="K69" i="10"/>
  <c r="K71" i="10"/>
  <c r="K73" i="10"/>
  <c r="K75" i="10"/>
  <c r="K67" i="9"/>
  <c r="K46" i="9"/>
  <c r="K62" i="9"/>
  <c r="A68" i="9"/>
  <c r="A74" i="9"/>
  <c r="A45" i="9"/>
  <c r="A47" i="9"/>
  <c r="A49" i="9"/>
  <c r="A51" i="9"/>
  <c r="A53" i="9"/>
  <c r="A55" i="9"/>
  <c r="A57" i="9"/>
  <c r="A59" i="9"/>
  <c r="A61" i="9"/>
  <c r="A63" i="9"/>
  <c r="A65" i="9"/>
  <c r="K70" i="9"/>
  <c r="K72" i="9"/>
  <c r="K47" i="7"/>
  <c r="A49" i="7"/>
  <c r="A46" i="7"/>
  <c r="A50" i="7"/>
  <c r="K51" i="7"/>
  <c r="K53" i="7"/>
  <c r="A65" i="7"/>
  <c r="A67" i="7"/>
  <c r="A69" i="7"/>
  <c r="A71" i="7"/>
  <c r="A73" i="7"/>
  <c r="A75" i="7"/>
  <c r="A64" i="7"/>
  <c r="K45" i="8"/>
  <c r="A49" i="8"/>
  <c r="K65" i="8"/>
  <c r="K67" i="8"/>
  <c r="K69" i="8"/>
  <c r="A73" i="8"/>
  <c r="A48" i="8"/>
  <c r="A51" i="8"/>
  <c r="A54" i="8"/>
  <c r="A56" i="8"/>
  <c r="A58" i="8"/>
  <c r="A60" i="8"/>
  <c r="A62" i="8"/>
  <c r="A64" i="8"/>
  <c r="A66" i="8"/>
  <c r="A68" i="8"/>
  <c r="A70" i="8"/>
  <c r="K75" i="8"/>
  <c r="A59" i="8"/>
  <c r="K74" i="8"/>
  <c r="K50" i="8"/>
  <c r="A52" i="8"/>
  <c r="K51" i="3"/>
  <c r="A64" i="3"/>
  <c r="A66" i="3"/>
  <c r="A47" i="3"/>
  <c r="A57" i="3"/>
  <c r="K61" i="3"/>
  <c r="K63" i="3"/>
  <c r="K65" i="3"/>
  <c r="K67" i="3"/>
  <c r="K69" i="3"/>
  <c r="K71" i="3"/>
  <c r="K73" i="3"/>
  <c r="A62" i="3"/>
  <c r="A44" i="3"/>
  <c r="A46" i="3"/>
  <c r="A48" i="3"/>
  <c r="A50" i="3"/>
  <c r="A52" i="3"/>
  <c r="A54" i="3"/>
  <c r="A56" i="3"/>
  <c r="A59" i="3"/>
  <c r="A59" i="12"/>
  <c r="A65" i="12"/>
  <c r="A69" i="12"/>
  <c r="A73" i="12"/>
  <c r="A44" i="12"/>
  <c r="A46" i="12"/>
  <c r="A48" i="12"/>
  <c r="A50" i="12"/>
  <c r="A52" i="12"/>
  <c r="A54" i="12"/>
  <c r="A58" i="12"/>
  <c r="A60" i="12"/>
  <c r="A62" i="12"/>
  <c r="A56" i="13"/>
  <c r="K67" i="13"/>
  <c r="K69" i="13"/>
  <c r="K71" i="13"/>
  <c r="A75" i="13"/>
  <c r="K50" i="13"/>
  <c r="A68" i="13"/>
  <c r="A72" i="13"/>
  <c r="A47" i="13"/>
  <c r="A49" i="13"/>
  <c r="A51" i="13"/>
  <c r="A53" i="13"/>
  <c r="A55" i="13"/>
  <c r="A57" i="13"/>
  <c r="A74" i="13"/>
  <c r="K65" i="13"/>
  <c r="A46" i="16"/>
  <c r="A53" i="16"/>
  <c r="A57" i="16"/>
  <c r="K62" i="16"/>
  <c r="A73" i="16"/>
  <c r="A59" i="16"/>
  <c r="K50" i="19"/>
  <c r="K52" i="19"/>
  <c r="A51" i="19"/>
  <c r="A65" i="19"/>
  <c r="A67" i="19"/>
  <c r="A66" i="19"/>
  <c r="A57" i="19"/>
  <c r="A59" i="19"/>
  <c r="A63" i="19"/>
  <c r="A71" i="19"/>
  <c r="A75" i="19"/>
  <c r="K62" i="17"/>
  <c r="A56" i="17"/>
  <c r="A68" i="17"/>
  <c r="A70" i="17"/>
  <c r="A45" i="6"/>
  <c r="A47" i="6"/>
  <c r="A49" i="6"/>
  <c r="A51" i="6"/>
  <c r="A53" i="6"/>
  <c r="A55" i="6"/>
  <c r="K60" i="6"/>
  <c r="K62" i="6"/>
  <c r="A74" i="6"/>
  <c r="K69" i="6"/>
  <c r="F49" i="22"/>
  <c r="I6" i="22"/>
  <c r="P55" i="22"/>
  <c r="P57" i="22"/>
  <c r="I8" i="22"/>
  <c r="P71" i="22"/>
  <c r="P73" i="22"/>
  <c r="P44" i="22"/>
  <c r="F47" i="22"/>
  <c r="P58" i="22"/>
  <c r="P60" i="22"/>
  <c r="P63" i="22"/>
  <c r="P69" i="22"/>
  <c r="I11" i="22"/>
  <c r="P74" i="22"/>
  <c r="P47" i="22"/>
  <c r="P46" i="22"/>
  <c r="I10" i="22"/>
  <c r="P48" i="22"/>
  <c r="P52" i="22"/>
  <c r="P53" i="22"/>
  <c r="I7" i="22"/>
  <c r="P56" i="22"/>
  <c r="P72" i="22"/>
  <c r="P49" i="22"/>
  <c r="F45" i="22"/>
  <c r="I5" i="22"/>
  <c r="P51" i="22"/>
  <c r="P59" i="22"/>
  <c r="P61" i="22"/>
  <c r="I9" i="22"/>
  <c r="P64" i="22"/>
  <c r="P68" i="22"/>
  <c r="P75" i="22"/>
  <c r="P48" i="19"/>
  <c r="F48" i="19"/>
  <c r="P64" i="19"/>
  <c r="F64" i="19"/>
  <c r="P71" i="19"/>
  <c r="P46" i="19"/>
  <c r="P49" i="19"/>
  <c r="P58" i="19"/>
  <c r="P62" i="19"/>
  <c r="P65" i="19"/>
  <c r="F56" i="19"/>
  <c r="P47" i="19"/>
  <c r="P63" i="19"/>
  <c r="F67" i="19"/>
  <c r="P57" i="19"/>
  <c r="P59" i="19"/>
  <c r="P55" i="19"/>
  <c r="F63" i="19"/>
  <c r="F66" i="19"/>
  <c r="P66" i="18"/>
  <c r="F73" i="18"/>
  <c r="P68" i="18"/>
  <c r="F46" i="18"/>
  <c r="F57" i="18"/>
  <c r="P45" i="18"/>
  <c r="P73" i="18"/>
  <c r="P58" i="17"/>
  <c r="P69" i="17"/>
  <c r="P71" i="17"/>
  <c r="F72" i="16"/>
  <c r="P45" i="16"/>
  <c r="F73" i="16"/>
  <c r="P58" i="16"/>
  <c r="P46" i="16"/>
  <c r="F53" i="16"/>
  <c r="P54" i="16"/>
  <c r="P62" i="20"/>
  <c r="P45" i="20"/>
  <c r="P46" i="20"/>
  <c r="P50" i="20"/>
  <c r="P53" i="20"/>
  <c r="P54" i="20"/>
  <c r="P57" i="20"/>
  <c r="P61" i="20"/>
  <c r="P56" i="20"/>
  <c r="P60" i="20"/>
  <c r="F55" i="20"/>
  <c r="F63" i="20"/>
  <c r="P44" i="20"/>
  <c r="P52" i="20"/>
  <c r="P54" i="15"/>
  <c r="P60" i="15"/>
  <c r="P57" i="14"/>
  <c r="F57" i="14"/>
  <c r="F46" i="14"/>
  <c r="F54" i="14"/>
  <c r="P58" i="14"/>
  <c r="F62" i="14"/>
  <c r="F66" i="14"/>
  <c r="P72" i="14"/>
  <c r="F74" i="14"/>
  <c r="P50" i="14"/>
  <c r="P73" i="14"/>
  <c r="F52" i="14"/>
  <c r="F56" i="14"/>
  <c r="F75" i="13"/>
  <c r="P75" i="13"/>
  <c r="F67" i="13"/>
  <c r="P51" i="13"/>
  <c r="P45" i="13"/>
  <c r="P50" i="13"/>
  <c r="P54" i="13"/>
  <c r="F65" i="13"/>
  <c r="P74" i="13"/>
  <c r="P64" i="13"/>
  <c r="F51" i="12"/>
  <c r="P51" i="12"/>
  <c r="F67" i="12"/>
  <c r="P67" i="12"/>
  <c r="F75" i="12"/>
  <c r="P75" i="12"/>
  <c r="F44" i="12"/>
  <c r="F46" i="12"/>
  <c r="F48" i="12"/>
  <c r="F60" i="12"/>
  <c r="P44" i="12"/>
  <c r="P47" i="12"/>
  <c r="P54" i="12"/>
  <c r="P58" i="12"/>
  <c r="P62" i="12"/>
  <c r="P66" i="12"/>
  <c r="P70" i="12"/>
  <c r="F64" i="12"/>
  <c r="P49" i="12"/>
  <c r="P60" i="12"/>
  <c r="P62" i="11"/>
  <c r="P46" i="11"/>
  <c r="F54" i="11"/>
  <c r="F70" i="11"/>
  <c r="P54" i="11"/>
  <c r="F62" i="11"/>
  <c r="F49" i="11"/>
  <c r="P57" i="11"/>
  <c r="F65" i="11"/>
  <c r="P73" i="11"/>
  <c r="P64" i="11"/>
  <c r="P74" i="11"/>
  <c r="P50" i="11"/>
  <c r="P60" i="11"/>
  <c r="P66" i="11"/>
  <c r="F46" i="11"/>
  <c r="P71" i="11"/>
  <c r="F45" i="10"/>
  <c r="F49" i="10"/>
  <c r="F65" i="10"/>
  <c r="P56" i="10"/>
  <c r="P60" i="10"/>
  <c r="P64" i="10"/>
  <c r="P68" i="10"/>
  <c r="P72" i="10"/>
  <c r="F46" i="9"/>
  <c r="P75" i="9"/>
  <c r="F49" i="9"/>
  <c r="F50" i="9"/>
  <c r="F69" i="9"/>
  <c r="F70" i="9"/>
  <c r="P74" i="9"/>
  <c r="P45" i="9"/>
  <c r="F53" i="9"/>
  <c r="F54" i="9"/>
  <c r="F61" i="9"/>
  <c r="F62" i="9"/>
  <c r="F73" i="9"/>
  <c r="P55" i="7"/>
  <c r="F55" i="7"/>
  <c r="F67" i="7"/>
  <c r="P67" i="7"/>
  <c r="F65" i="7"/>
  <c r="F73" i="7"/>
  <c r="P65" i="7"/>
  <c r="F50" i="7"/>
  <c r="F51" i="7"/>
  <c r="F58" i="7"/>
  <c r="F63" i="7"/>
  <c r="F66" i="7"/>
  <c r="P49" i="7"/>
  <c r="P71" i="7"/>
  <c r="P55" i="8"/>
  <c r="F55" i="8"/>
  <c r="P56" i="8"/>
  <c r="P69" i="8"/>
  <c r="P54" i="8"/>
  <c r="P62" i="8"/>
  <c r="P70" i="8"/>
  <c r="F49" i="8"/>
  <c r="P53" i="8"/>
  <c r="F66" i="8"/>
  <c r="F74" i="8"/>
  <c r="F49" i="3"/>
  <c r="P49" i="3"/>
  <c r="P74" i="3"/>
  <c r="P48" i="3"/>
  <c r="F60" i="3"/>
  <c r="P75" i="3"/>
  <c r="F46" i="3"/>
  <c r="F61" i="3"/>
  <c r="F69" i="3"/>
  <c r="P70" i="3"/>
  <c r="F46" i="6"/>
  <c r="P46" i="6"/>
  <c r="P54" i="6"/>
  <c r="F54" i="6"/>
  <c r="F55" i="6"/>
  <c r="F57" i="6"/>
  <c r="P56" i="6"/>
  <c r="M67" i="19"/>
  <c r="C67" i="19"/>
  <c r="M71" i="19"/>
  <c r="C71" i="19"/>
  <c r="M75" i="19"/>
  <c r="C75" i="19"/>
  <c r="M49" i="19"/>
  <c r="M50" i="19"/>
  <c r="M53" i="19"/>
  <c r="M61" i="19"/>
  <c r="M66" i="19"/>
  <c r="M73" i="19"/>
  <c r="M74" i="19"/>
  <c r="M69" i="19"/>
  <c r="M45" i="19"/>
  <c r="M55" i="19"/>
  <c r="M59" i="19"/>
  <c r="C51" i="19"/>
  <c r="C63" i="19"/>
  <c r="M70" i="17"/>
  <c r="C56" i="17"/>
  <c r="C64" i="17"/>
  <c r="M73" i="16"/>
  <c r="C73" i="16"/>
  <c r="C51" i="16"/>
  <c r="M63" i="16"/>
  <c r="M75" i="16"/>
  <c r="M48" i="16"/>
  <c r="M50" i="16"/>
  <c r="M69" i="16"/>
  <c r="M53" i="16"/>
  <c r="M66" i="15"/>
  <c r="M50" i="15"/>
  <c r="M68" i="15"/>
  <c r="M58" i="15"/>
  <c r="M74" i="15"/>
  <c r="M48" i="15"/>
  <c r="M60" i="15"/>
  <c r="M70" i="15"/>
  <c r="C59" i="14"/>
  <c r="M59" i="14"/>
  <c r="M46" i="14"/>
  <c r="C47" i="14"/>
  <c r="M50" i="14"/>
  <c r="M58" i="14"/>
  <c r="M62" i="14"/>
  <c r="C73" i="14"/>
  <c r="M65" i="14"/>
  <c r="M54" i="14"/>
  <c r="M56" i="14"/>
  <c r="C69" i="14"/>
  <c r="M70" i="14"/>
  <c r="M66" i="14"/>
  <c r="M74" i="14"/>
  <c r="M71" i="14"/>
  <c r="C65" i="13"/>
  <c r="M65" i="13"/>
  <c r="C52" i="13"/>
  <c r="M49" i="13"/>
  <c r="M46" i="13"/>
  <c r="M50" i="13"/>
  <c r="C60" i="13"/>
  <c r="C72" i="13"/>
  <c r="C50" i="13"/>
  <c r="C48" i="13"/>
  <c r="C56" i="13"/>
  <c r="C68" i="13"/>
  <c r="M62" i="13"/>
  <c r="M54" i="13"/>
  <c r="M58" i="13"/>
  <c r="M53" i="12"/>
  <c r="C62" i="12"/>
  <c r="C44" i="12"/>
  <c r="C64" i="12"/>
  <c r="M57" i="12"/>
  <c r="M65" i="12"/>
  <c r="C46" i="12"/>
  <c r="C74" i="12"/>
  <c r="C52" i="12"/>
  <c r="C66" i="12"/>
  <c r="C68" i="12"/>
  <c r="C56" i="12"/>
  <c r="C72" i="12"/>
  <c r="M49" i="12"/>
  <c r="M50" i="12"/>
  <c r="M61" i="12"/>
  <c r="C51" i="11"/>
  <c r="M51" i="11"/>
  <c r="M64" i="11"/>
  <c r="C64" i="11"/>
  <c r="C50" i="11"/>
  <c r="C62" i="11"/>
  <c r="C70" i="11"/>
  <c r="C74" i="11"/>
  <c r="M60" i="11"/>
  <c r="M52" i="11"/>
  <c r="M48" i="11"/>
  <c r="C54" i="11"/>
  <c r="M68" i="11"/>
  <c r="M72" i="11"/>
  <c r="M46" i="7"/>
  <c r="M47" i="7"/>
  <c r="C52" i="7"/>
  <c r="M63" i="7"/>
  <c r="M71" i="7"/>
  <c r="C75" i="7"/>
  <c r="F65" i="18"/>
  <c r="P65" i="18"/>
  <c r="F70" i="18"/>
  <c r="P70" i="18"/>
  <c r="F71" i="18"/>
  <c r="P71" i="18"/>
  <c r="P50" i="18"/>
  <c r="F59" i="18"/>
  <c r="P59" i="18"/>
  <c r="F75" i="18"/>
  <c r="P75" i="18"/>
  <c r="F69" i="18"/>
  <c r="P69" i="18"/>
  <c r="F72" i="18"/>
  <c r="F74" i="18"/>
  <c r="P74" i="18"/>
  <c r="P49" i="18"/>
  <c r="P53" i="18"/>
  <c r="F52" i="18"/>
  <c r="F60" i="18"/>
  <c r="F62" i="18"/>
  <c r="P62" i="18"/>
  <c r="F63" i="18"/>
  <c r="P63" i="18"/>
  <c r="P44" i="18"/>
  <c r="P52" i="18"/>
  <c r="F48" i="18"/>
  <c r="F54" i="18"/>
  <c r="P54" i="18"/>
  <c r="F55" i="18"/>
  <c r="P55" i="18"/>
  <c r="F56" i="18"/>
  <c r="F58" i="18"/>
  <c r="P58" i="18"/>
  <c r="F61" i="18"/>
  <c r="P61" i="18"/>
  <c r="F64" i="18"/>
  <c r="F67" i="18"/>
  <c r="P67" i="18"/>
  <c r="P47" i="18"/>
  <c r="P51" i="18"/>
  <c r="P66" i="20"/>
  <c r="F66" i="20"/>
  <c r="P72" i="20"/>
  <c r="F72" i="20"/>
  <c r="P49" i="20"/>
  <c r="P65" i="20"/>
  <c r="F65" i="20"/>
  <c r="P69" i="20"/>
  <c r="F69" i="20"/>
  <c r="P70" i="20"/>
  <c r="F70" i="20"/>
  <c r="P73" i="20"/>
  <c r="F73" i="20"/>
  <c r="P74" i="20"/>
  <c r="F74" i="20"/>
  <c r="P58" i="20"/>
  <c r="P64" i="20"/>
  <c r="F64" i="20"/>
  <c r="P68" i="20"/>
  <c r="F68" i="20"/>
  <c r="P48" i="20"/>
  <c r="F46" i="20"/>
  <c r="F50" i="20"/>
  <c r="F54" i="20"/>
  <c r="F58" i="20"/>
  <c r="F62" i="20"/>
  <c r="P51" i="20"/>
  <c r="P59" i="20"/>
  <c r="P67" i="20"/>
  <c r="F67" i="20"/>
  <c r="P71" i="20"/>
  <c r="F71" i="20"/>
  <c r="P75" i="20"/>
  <c r="F75" i="20"/>
  <c r="F45" i="20"/>
  <c r="F49" i="20"/>
  <c r="F53" i="20"/>
  <c r="F57" i="20"/>
  <c r="F61" i="20"/>
  <c r="P65" i="22"/>
  <c r="F65" i="22"/>
  <c r="P66" i="22"/>
  <c r="P67" i="22"/>
  <c r="F67" i="22"/>
  <c r="P54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6" i="22"/>
  <c r="F68" i="22"/>
  <c r="F69" i="22"/>
  <c r="F70" i="22"/>
  <c r="F71" i="22"/>
  <c r="F72" i="22"/>
  <c r="F73" i="22"/>
  <c r="F74" i="22"/>
  <c r="F75" i="22"/>
  <c r="P45" i="15"/>
  <c r="F45" i="15"/>
  <c r="P53" i="15"/>
  <c r="F53" i="15"/>
  <c r="P61" i="15"/>
  <c r="F61" i="15"/>
  <c r="P73" i="15"/>
  <c r="F73" i="15"/>
  <c r="P58" i="15"/>
  <c r="P68" i="15"/>
  <c r="P51" i="15"/>
  <c r="F51" i="15"/>
  <c r="P59" i="15"/>
  <c r="F59" i="15"/>
  <c r="P71" i="15"/>
  <c r="F71" i="15"/>
  <c r="P75" i="15"/>
  <c r="F75" i="15"/>
  <c r="P46" i="15"/>
  <c r="F44" i="15"/>
  <c r="F46" i="15"/>
  <c r="F47" i="15"/>
  <c r="F48" i="15"/>
  <c r="F49" i="15"/>
  <c r="F50" i="15"/>
  <c r="F52" i="15"/>
  <c r="F54" i="15"/>
  <c r="F55" i="15"/>
  <c r="F56" i="15"/>
  <c r="F57" i="15"/>
  <c r="F58" i="15"/>
  <c r="F60" i="15"/>
  <c r="F62" i="15"/>
  <c r="F63" i="15"/>
  <c r="F64" i="15"/>
  <c r="F65" i="15"/>
  <c r="F66" i="15"/>
  <c r="F67" i="15"/>
  <c r="F68" i="15"/>
  <c r="F69" i="15"/>
  <c r="F70" i="15"/>
  <c r="F72" i="15"/>
  <c r="F74" i="15"/>
  <c r="M46" i="15"/>
  <c r="M52" i="15"/>
  <c r="M72" i="15"/>
  <c r="C51" i="15"/>
  <c r="M51" i="15"/>
  <c r="C63" i="15"/>
  <c r="M63" i="15"/>
  <c r="C67" i="15"/>
  <c r="M67" i="15"/>
  <c r="M44" i="15"/>
  <c r="M54" i="15"/>
  <c r="M64" i="15"/>
  <c r="C44" i="15"/>
  <c r="C46" i="15"/>
  <c r="C52" i="15"/>
  <c r="C54" i="15"/>
  <c r="C56" i="15"/>
  <c r="C62" i="15"/>
  <c r="C64" i="15"/>
  <c r="C68" i="15"/>
  <c r="C70" i="15"/>
  <c r="C72" i="15"/>
  <c r="M45" i="15"/>
  <c r="M47" i="15"/>
  <c r="M49" i="15"/>
  <c r="M53" i="15"/>
  <c r="M55" i="15"/>
  <c r="M57" i="15"/>
  <c r="M59" i="15"/>
  <c r="M61" i="15"/>
  <c r="M65" i="15"/>
  <c r="M69" i="15"/>
  <c r="M71" i="15"/>
  <c r="M73" i="15"/>
  <c r="M75" i="15"/>
  <c r="P47" i="14"/>
  <c r="F47" i="14"/>
  <c r="F63" i="14"/>
  <c r="P63" i="14"/>
  <c r="F67" i="14"/>
  <c r="P67" i="14"/>
  <c r="F49" i="14"/>
  <c r="P49" i="14"/>
  <c r="F61" i="14"/>
  <c r="P61" i="14"/>
  <c r="F75" i="14"/>
  <c r="P75" i="14"/>
  <c r="P56" i="14"/>
  <c r="F55" i="14"/>
  <c r="P55" i="14"/>
  <c r="P59" i="14"/>
  <c r="F59" i="14"/>
  <c r="F71" i="14"/>
  <c r="P71" i="14"/>
  <c r="F48" i="14"/>
  <c r="F60" i="14"/>
  <c r="F64" i="14"/>
  <c r="F68" i="14"/>
  <c r="P44" i="14"/>
  <c r="P46" i="14"/>
  <c r="P48" i="14"/>
  <c r="P51" i="14"/>
  <c r="P53" i="14"/>
  <c r="F72" i="14"/>
  <c r="P60" i="14"/>
  <c r="P62" i="14"/>
  <c r="P64" i="14"/>
  <c r="P65" i="14"/>
  <c r="P66" i="14"/>
  <c r="P68" i="14"/>
  <c r="P69" i="14"/>
  <c r="P70" i="14"/>
  <c r="C57" i="14"/>
  <c r="M57" i="14"/>
  <c r="M60" i="14"/>
  <c r="C60" i="14"/>
  <c r="M64" i="14"/>
  <c r="C64" i="14"/>
  <c r="M68" i="14"/>
  <c r="C68" i="14"/>
  <c r="C75" i="14"/>
  <c r="M75" i="14"/>
  <c r="C45" i="14"/>
  <c r="M45" i="14"/>
  <c r="C49" i="14"/>
  <c r="M49" i="14"/>
  <c r="C53" i="14"/>
  <c r="M53" i="14"/>
  <c r="M72" i="14"/>
  <c r="C72" i="14"/>
  <c r="M61" i="14"/>
  <c r="M55" i="14"/>
  <c r="C61" i="14"/>
  <c r="C44" i="14"/>
  <c r="C46" i="14"/>
  <c r="C48" i="14"/>
  <c r="C50" i="14"/>
  <c r="C52" i="14"/>
  <c r="C54" i="14"/>
  <c r="C56" i="14"/>
  <c r="C58" i="14"/>
  <c r="C62" i="14"/>
  <c r="C66" i="14"/>
  <c r="C70" i="14"/>
  <c r="C74" i="14"/>
  <c r="M47" i="14"/>
  <c r="M51" i="14"/>
  <c r="M63" i="14"/>
  <c r="M67" i="14"/>
  <c r="M69" i="14"/>
  <c r="M73" i="14"/>
  <c r="P45" i="11"/>
  <c r="F69" i="11"/>
  <c r="F44" i="11"/>
  <c r="P44" i="11"/>
  <c r="P48" i="11"/>
  <c r="F48" i="11"/>
  <c r="F52" i="11"/>
  <c r="P52" i="11"/>
  <c r="F56" i="11"/>
  <c r="P56" i="11"/>
  <c r="F68" i="11"/>
  <c r="P68" i="11"/>
  <c r="P72" i="11"/>
  <c r="F72" i="11"/>
  <c r="P61" i="11"/>
  <c r="P47" i="11"/>
  <c r="F47" i="11"/>
  <c r="F51" i="11"/>
  <c r="P51" i="11"/>
  <c r="P63" i="11"/>
  <c r="F63" i="11"/>
  <c r="F57" i="11"/>
  <c r="F73" i="11"/>
  <c r="F61" i="11"/>
  <c r="P53" i="11"/>
  <c r="P55" i="11"/>
  <c r="P58" i="11"/>
  <c r="P59" i="11"/>
  <c r="F64" i="11"/>
  <c r="F67" i="11"/>
  <c r="P75" i="11"/>
  <c r="F45" i="11"/>
  <c r="F74" i="11"/>
  <c r="F60" i="11"/>
  <c r="P69" i="11"/>
  <c r="C53" i="11"/>
  <c r="M53" i="11"/>
  <c r="M66" i="11"/>
  <c r="C66" i="11"/>
  <c r="C45" i="11"/>
  <c r="M45" i="11"/>
  <c r="C49" i="11"/>
  <c r="M49" i="11"/>
  <c r="C57" i="11"/>
  <c r="M57" i="11"/>
  <c r="C61" i="11"/>
  <c r="M61" i="11"/>
  <c r="C65" i="11"/>
  <c r="M65" i="11"/>
  <c r="C69" i="11"/>
  <c r="M69" i="11"/>
  <c r="C73" i="11"/>
  <c r="M73" i="11"/>
  <c r="M58" i="11"/>
  <c r="M62" i="11"/>
  <c r="M56" i="11"/>
  <c r="M46" i="11"/>
  <c r="C63" i="11"/>
  <c r="M63" i="11"/>
  <c r="M70" i="11"/>
  <c r="C56" i="11"/>
  <c r="C55" i="11"/>
  <c r="M55" i="11"/>
  <c r="C67" i="11"/>
  <c r="M67" i="11"/>
  <c r="C75" i="11"/>
  <c r="M75" i="11"/>
  <c r="M44" i="11"/>
  <c r="M54" i="11"/>
  <c r="C59" i="11"/>
  <c r="M59" i="11"/>
  <c r="C44" i="11"/>
  <c r="C58" i="11"/>
  <c r="M47" i="11"/>
  <c r="M71" i="11"/>
  <c r="F51" i="10"/>
  <c r="P51" i="10"/>
  <c r="F54" i="10"/>
  <c r="P54" i="10"/>
  <c r="F55" i="10"/>
  <c r="P55" i="10"/>
  <c r="F69" i="10"/>
  <c r="P69" i="10"/>
  <c r="F74" i="10"/>
  <c r="P74" i="10"/>
  <c r="F75" i="10"/>
  <c r="P75" i="10"/>
  <c r="P47" i="10"/>
  <c r="F53" i="10"/>
  <c r="P53" i="10"/>
  <c r="F58" i="10"/>
  <c r="P58" i="10"/>
  <c r="F59" i="10"/>
  <c r="P59" i="10"/>
  <c r="F73" i="10"/>
  <c r="P73" i="10"/>
  <c r="P46" i="10"/>
  <c r="P50" i="10"/>
  <c r="F57" i="10"/>
  <c r="P57" i="10"/>
  <c r="F62" i="10"/>
  <c r="P62" i="10"/>
  <c r="F63" i="10"/>
  <c r="P63" i="10"/>
  <c r="F66" i="10"/>
  <c r="P66" i="10"/>
  <c r="F67" i="10"/>
  <c r="P67" i="10"/>
  <c r="P45" i="10"/>
  <c r="P49" i="10"/>
  <c r="F52" i="10"/>
  <c r="P52" i="10"/>
  <c r="F61" i="10"/>
  <c r="P61" i="10"/>
  <c r="F70" i="10"/>
  <c r="P70" i="10"/>
  <c r="F71" i="10"/>
  <c r="P71" i="10"/>
  <c r="P44" i="10"/>
  <c r="P48" i="10"/>
  <c r="P56" i="17"/>
  <c r="P62" i="17"/>
  <c r="P64" i="17"/>
  <c r="P57" i="17"/>
  <c r="P60" i="17"/>
  <c r="P68" i="17"/>
  <c r="P72" i="17"/>
  <c r="C60" i="17"/>
  <c r="M60" i="17"/>
  <c r="C68" i="17"/>
  <c r="C72" i="17"/>
  <c r="M72" i="17"/>
  <c r="C74" i="17"/>
  <c r="M56" i="17"/>
  <c r="C61" i="17"/>
  <c r="C63" i="17"/>
  <c r="C70" i="17"/>
  <c r="C58" i="17"/>
  <c r="C66" i="17"/>
  <c r="M74" i="17"/>
  <c r="M66" i="17"/>
  <c r="M58" i="17"/>
  <c r="C59" i="17"/>
  <c r="C62" i="17"/>
  <c r="M64" i="17"/>
  <c r="P52" i="19"/>
  <c r="F52" i="19"/>
  <c r="F45" i="19"/>
  <c r="P45" i="19"/>
  <c r="P53" i="19"/>
  <c r="F53" i="19"/>
  <c r="F61" i="19"/>
  <c r="P61" i="19"/>
  <c r="P69" i="19"/>
  <c r="F69" i="19"/>
  <c r="F73" i="19"/>
  <c r="P73" i="19"/>
  <c r="F62" i="19"/>
  <c r="P70" i="19"/>
  <c r="F74" i="19"/>
  <c r="P74" i="19"/>
  <c r="F44" i="19"/>
  <c r="P44" i="19"/>
  <c r="F38" i="19"/>
  <c r="F72" i="19"/>
  <c r="P72" i="19"/>
  <c r="P54" i="19"/>
  <c r="F54" i="19"/>
  <c r="P68" i="19"/>
  <c r="F68" i="19"/>
  <c r="F50" i="19"/>
  <c r="F46" i="19"/>
  <c r="F57" i="19"/>
  <c r="F58" i="19"/>
  <c r="F59" i="19"/>
  <c r="F75" i="19"/>
  <c r="P75" i="19"/>
  <c r="F49" i="19"/>
  <c r="P56" i="19"/>
  <c r="F65" i="19"/>
  <c r="F51" i="19"/>
  <c r="P60" i="19"/>
  <c r="F70" i="19"/>
  <c r="C54" i="19"/>
  <c r="M54" i="19"/>
  <c r="M57" i="19"/>
  <c r="C57" i="19"/>
  <c r="M65" i="19"/>
  <c r="C46" i="19"/>
  <c r="M46" i="19"/>
  <c r="C62" i="19"/>
  <c r="C49" i="19"/>
  <c r="C65" i="19"/>
  <c r="C73" i="19"/>
  <c r="C38" i="19"/>
  <c r="C44" i="19"/>
  <c r="M44" i="19"/>
  <c r="C48" i="19"/>
  <c r="M48" i="19"/>
  <c r="C56" i="19"/>
  <c r="M56" i="19"/>
  <c r="C68" i="19"/>
  <c r="M68" i="19"/>
  <c r="C72" i="19"/>
  <c r="M72" i="19"/>
  <c r="C52" i="19"/>
  <c r="M52" i="19"/>
  <c r="C58" i="19"/>
  <c r="M58" i="19"/>
  <c r="C60" i="19"/>
  <c r="M60" i="19"/>
  <c r="C70" i="19"/>
  <c r="M70" i="19"/>
  <c r="M47" i="19"/>
  <c r="C45" i="19"/>
  <c r="C53" i="19"/>
  <c r="C61" i="19"/>
  <c r="C69" i="19"/>
  <c r="M62" i="19"/>
  <c r="M64" i="19"/>
  <c r="F47" i="16"/>
  <c r="P47" i="16"/>
  <c r="P63" i="16"/>
  <c r="P66" i="16"/>
  <c r="F66" i="16"/>
  <c r="P48" i="16"/>
  <c r="F49" i="16"/>
  <c r="P52" i="16"/>
  <c r="F71" i="16"/>
  <c r="F70" i="16"/>
  <c r="P44" i="16"/>
  <c r="F50" i="16"/>
  <c r="P56" i="16"/>
  <c r="P72" i="16"/>
  <c r="F75" i="16"/>
  <c r="F61" i="16"/>
  <c r="P68" i="16"/>
  <c r="F44" i="16"/>
  <c r="F56" i="16"/>
  <c r="F74" i="16"/>
  <c r="M45" i="16"/>
  <c r="C45" i="16"/>
  <c r="M61" i="16"/>
  <c r="C61" i="16"/>
  <c r="M65" i="16"/>
  <c r="C65" i="16"/>
  <c r="M47" i="16"/>
  <c r="C47" i="16"/>
  <c r="C67" i="16"/>
  <c r="M67" i="16"/>
  <c r="C75" i="16"/>
  <c r="C46" i="16"/>
  <c r="C44" i="16"/>
  <c r="C49" i="16"/>
  <c r="M59" i="16"/>
  <c r="C63" i="16"/>
  <c r="C48" i="16"/>
  <c r="C56" i="16"/>
  <c r="C71" i="16"/>
  <c r="F49" i="13"/>
  <c r="P49" i="13"/>
  <c r="F66" i="13"/>
  <c r="P66" i="13"/>
  <c r="P48" i="13"/>
  <c r="F48" i="13"/>
  <c r="F50" i="13"/>
  <c r="F59" i="13"/>
  <c r="P67" i="13"/>
  <c r="F53" i="13"/>
  <c r="P53" i="13"/>
  <c r="F57" i="13"/>
  <c r="P57" i="13"/>
  <c r="F52" i="13"/>
  <c r="P52" i="13"/>
  <c r="P62" i="13"/>
  <c r="F62" i="13"/>
  <c r="F58" i="13"/>
  <c r="P70" i="13"/>
  <c r="P44" i="13"/>
  <c r="F56" i="13"/>
  <c r="P56" i="13"/>
  <c r="P60" i="13"/>
  <c r="F68" i="13"/>
  <c r="F72" i="13"/>
  <c r="P46" i="13"/>
  <c r="F46" i="13"/>
  <c r="F61" i="13"/>
  <c r="P69" i="13"/>
  <c r="P47" i="13"/>
  <c r="F47" i="13"/>
  <c r="F55" i="13"/>
  <c r="P55" i="13"/>
  <c r="P63" i="13"/>
  <c r="F63" i="13"/>
  <c r="F71" i="13"/>
  <c r="E21" i="23"/>
  <c r="O21" i="23" s="1"/>
  <c r="F64" i="13"/>
  <c r="C51" i="13"/>
  <c r="M51" i="13"/>
  <c r="M64" i="13"/>
  <c r="C64" i="13"/>
  <c r="C69" i="13"/>
  <c r="M69" i="13"/>
  <c r="M74" i="13"/>
  <c r="C74" i="13"/>
  <c r="C75" i="13"/>
  <c r="M75" i="13"/>
  <c r="C47" i="13"/>
  <c r="M47" i="13"/>
  <c r="C55" i="13"/>
  <c r="M55" i="13"/>
  <c r="C59" i="13"/>
  <c r="M59" i="13"/>
  <c r="C67" i="13"/>
  <c r="M67" i="13"/>
  <c r="C71" i="13"/>
  <c r="M71" i="13"/>
  <c r="M44" i="13"/>
  <c r="C63" i="13"/>
  <c r="M63" i="13"/>
  <c r="M66" i="13"/>
  <c r="C66" i="13"/>
  <c r="M70" i="13"/>
  <c r="C70" i="13"/>
  <c r="M56" i="13"/>
  <c r="C54" i="13"/>
  <c r="C53" i="13"/>
  <c r="M53" i="13"/>
  <c r="C57" i="13"/>
  <c r="M57" i="13"/>
  <c r="M48" i="13"/>
  <c r="M52" i="13"/>
  <c r="M45" i="13"/>
  <c r="M61" i="13"/>
  <c r="M73" i="13"/>
  <c r="P53" i="12"/>
  <c r="F65" i="12"/>
  <c r="P65" i="12"/>
  <c r="F73" i="12"/>
  <c r="P73" i="12"/>
  <c r="F70" i="12"/>
  <c r="P48" i="12"/>
  <c r="F52" i="12"/>
  <c r="F56" i="12"/>
  <c r="P56" i="12"/>
  <c r="F68" i="12"/>
  <c r="P68" i="12"/>
  <c r="F72" i="12"/>
  <c r="P72" i="12"/>
  <c r="F55" i="12"/>
  <c r="P55" i="12"/>
  <c r="F59" i="12"/>
  <c r="P59" i="12"/>
  <c r="F63" i="12"/>
  <c r="P63" i="12"/>
  <c r="F71" i="12"/>
  <c r="P71" i="12"/>
  <c r="F50" i="12"/>
  <c r="F57" i="12"/>
  <c r="P57" i="12"/>
  <c r="F58" i="12"/>
  <c r="F61" i="12"/>
  <c r="P61" i="12"/>
  <c r="F69" i="12"/>
  <c r="P69" i="12"/>
  <c r="F74" i="12"/>
  <c r="P74" i="12"/>
  <c r="P46" i="12"/>
  <c r="P50" i="12"/>
  <c r="M45" i="12"/>
  <c r="C45" i="12"/>
  <c r="M69" i="12"/>
  <c r="C69" i="12"/>
  <c r="M73" i="12"/>
  <c r="C73" i="12"/>
  <c r="M74" i="12"/>
  <c r="M47" i="12"/>
  <c r="C47" i="12"/>
  <c r="M55" i="12"/>
  <c r="C55" i="12"/>
  <c r="M59" i="12"/>
  <c r="C59" i="12"/>
  <c r="M63" i="12"/>
  <c r="C63" i="12"/>
  <c r="M67" i="12"/>
  <c r="C67" i="12"/>
  <c r="M71" i="12"/>
  <c r="C71" i="12"/>
  <c r="M75" i="12"/>
  <c r="C75" i="12"/>
  <c r="C49" i="12"/>
  <c r="C51" i="12"/>
  <c r="C53" i="12"/>
  <c r="C57" i="12"/>
  <c r="C61" i="12"/>
  <c r="C65" i="12"/>
  <c r="D19" i="23"/>
  <c r="N19" i="23" s="1"/>
  <c r="M48" i="12"/>
  <c r="M58" i="12"/>
  <c r="M70" i="12"/>
  <c r="B34" i="23"/>
  <c r="L34" i="23" s="1"/>
  <c r="D16" i="23"/>
  <c r="N16" i="23" s="1"/>
  <c r="P44" i="9"/>
  <c r="F44" i="9"/>
  <c r="P48" i="9"/>
  <c r="F48" i="9"/>
  <c r="P52" i="9"/>
  <c r="F52" i="9"/>
  <c r="P56" i="9"/>
  <c r="F56" i="9"/>
  <c r="P60" i="9"/>
  <c r="F60" i="9"/>
  <c r="P64" i="9"/>
  <c r="F64" i="9"/>
  <c r="P68" i="9"/>
  <c r="F68" i="9"/>
  <c r="P72" i="9"/>
  <c r="F72" i="9"/>
  <c r="P65" i="9"/>
  <c r="P47" i="9"/>
  <c r="F47" i="9"/>
  <c r="P51" i="9"/>
  <c r="F51" i="9"/>
  <c r="P55" i="9"/>
  <c r="F55" i="9"/>
  <c r="P59" i="9"/>
  <c r="F59" i="9"/>
  <c r="P63" i="9"/>
  <c r="F63" i="9"/>
  <c r="P71" i="9"/>
  <c r="F71" i="9"/>
  <c r="P73" i="9"/>
  <c r="F74" i="9"/>
  <c r="G29" i="23"/>
  <c r="Q29" i="23" s="1"/>
  <c r="F57" i="9"/>
  <c r="F58" i="9"/>
  <c r="F65" i="9"/>
  <c r="F67" i="9"/>
  <c r="F75" i="9"/>
  <c r="M57" i="7"/>
  <c r="C57" i="7"/>
  <c r="C65" i="7"/>
  <c r="M65" i="7"/>
  <c r="M69" i="7"/>
  <c r="C69" i="7"/>
  <c r="M70" i="7"/>
  <c r="C70" i="7"/>
  <c r="M73" i="7"/>
  <c r="C73" i="7"/>
  <c r="C74" i="7"/>
  <c r="M74" i="7"/>
  <c r="C53" i="7"/>
  <c r="C55" i="7"/>
  <c r="M55" i="7"/>
  <c r="M62" i="7"/>
  <c r="C62" i="7"/>
  <c r="M72" i="7"/>
  <c r="C72" i="7"/>
  <c r="M75" i="7"/>
  <c r="M61" i="7"/>
  <c r="C61" i="7"/>
  <c r="M58" i="7"/>
  <c r="M59" i="7"/>
  <c r="C59" i="7"/>
  <c r="C66" i="7"/>
  <c r="C47" i="7"/>
  <c r="M60" i="7"/>
  <c r="C60" i="7"/>
  <c r="C50" i="7"/>
  <c r="C54" i="7"/>
  <c r="M53" i="7"/>
  <c r="C68" i="7"/>
  <c r="C51" i="7"/>
  <c r="C67" i="7"/>
  <c r="M67" i="7"/>
  <c r="C64" i="7"/>
  <c r="C45" i="7"/>
  <c r="C49" i="7"/>
  <c r="M51" i="7"/>
  <c r="M52" i="7"/>
  <c r="C56" i="7"/>
  <c r="M64" i="7"/>
  <c r="C71" i="7"/>
  <c r="C35" i="23"/>
  <c r="M35" i="23" s="1"/>
  <c r="C25" i="23"/>
  <c r="M25" i="23" s="1"/>
  <c r="B20" i="23"/>
  <c r="L20" i="23" s="1"/>
  <c r="D17" i="23"/>
  <c r="N17" i="23" s="1"/>
  <c r="F61" i="7"/>
  <c r="P61" i="7"/>
  <c r="F72" i="7"/>
  <c r="P72" i="7"/>
  <c r="F45" i="7"/>
  <c r="F46" i="7"/>
  <c r="P46" i="7"/>
  <c r="F48" i="7"/>
  <c r="P48" i="7"/>
  <c r="F52" i="7"/>
  <c r="P52" i="7"/>
  <c r="P57" i="7"/>
  <c r="E29" i="23"/>
  <c r="O29" i="23" s="1"/>
  <c r="F62" i="7"/>
  <c r="P45" i="7"/>
  <c r="P59" i="7"/>
  <c r="P75" i="7"/>
  <c r="F53" i="7"/>
  <c r="F54" i="7"/>
  <c r="P47" i="7"/>
  <c r="P69" i="7"/>
  <c r="F44" i="7"/>
  <c r="P44" i="7"/>
  <c r="F56" i="7"/>
  <c r="P56" i="7"/>
  <c r="F60" i="7"/>
  <c r="P60" i="7"/>
  <c r="F64" i="7"/>
  <c r="P64" i="7"/>
  <c r="F68" i="7"/>
  <c r="P68" i="7"/>
  <c r="P50" i="7"/>
  <c r="P58" i="7"/>
  <c r="P66" i="7"/>
  <c r="P70" i="7"/>
  <c r="P74" i="7"/>
  <c r="P52" i="8"/>
  <c r="F52" i="8"/>
  <c r="G17" i="23"/>
  <c r="Q17" i="23" s="1"/>
  <c r="F57" i="8"/>
  <c r="P60" i="8"/>
  <c r="F20" i="23"/>
  <c r="P20" i="23" s="1"/>
  <c r="F60" i="8"/>
  <c r="P73" i="8"/>
  <c r="P63" i="8"/>
  <c r="F63" i="8"/>
  <c r="P71" i="8"/>
  <c r="F71" i="8"/>
  <c r="P75" i="8"/>
  <c r="F75" i="8"/>
  <c r="P44" i="8"/>
  <c r="F44" i="8"/>
  <c r="P48" i="8"/>
  <c r="F48" i="8"/>
  <c r="P64" i="8"/>
  <c r="F64" i="8"/>
  <c r="P68" i="8"/>
  <c r="F68" i="8"/>
  <c r="F72" i="8"/>
  <c r="P72" i="8"/>
  <c r="F45" i="8"/>
  <c r="P49" i="8"/>
  <c r="P57" i="8"/>
  <c r="F56" i="8"/>
  <c r="F65" i="8"/>
  <c r="F69" i="8"/>
  <c r="F70" i="8"/>
  <c r="E17" i="23"/>
  <c r="O17" i="23" s="1"/>
  <c r="E19" i="23"/>
  <c r="O19" i="23" s="1"/>
  <c r="P45" i="8"/>
  <c r="P51" i="8"/>
  <c r="F73" i="8"/>
  <c r="E34" i="23"/>
  <c r="O34" i="23" s="1"/>
  <c r="G25" i="23"/>
  <c r="Q25" i="23" s="1"/>
  <c r="E23" i="23"/>
  <c r="O23" i="23" s="1"/>
  <c r="F46" i="8"/>
  <c r="F47" i="8"/>
  <c r="P74" i="8"/>
  <c r="G33" i="23"/>
  <c r="Q33" i="23" s="1"/>
  <c r="P50" i="8"/>
  <c r="F58" i="8"/>
  <c r="F59" i="8"/>
  <c r="F61" i="8"/>
  <c r="F67" i="8"/>
  <c r="G32" i="23"/>
  <c r="Q32" i="23" s="1"/>
  <c r="E27" i="23"/>
  <c r="O27" i="23" s="1"/>
  <c r="G23" i="23"/>
  <c r="Q23" i="23" s="1"/>
  <c r="G27" i="23"/>
  <c r="Q27" i="23" s="1"/>
  <c r="G31" i="23"/>
  <c r="Q31" i="23" s="1"/>
  <c r="G35" i="23"/>
  <c r="Q35" i="23" s="1"/>
  <c r="F44" i="3"/>
  <c r="P44" i="3"/>
  <c r="F55" i="3"/>
  <c r="P55" i="3"/>
  <c r="F56" i="3"/>
  <c r="P56" i="3"/>
  <c r="P63" i="3"/>
  <c r="F63" i="3"/>
  <c r="P67" i="3"/>
  <c r="F67" i="3"/>
  <c r="P71" i="3"/>
  <c r="F71" i="3"/>
  <c r="F50" i="3"/>
  <c r="P50" i="3"/>
  <c r="F54" i="3"/>
  <c r="P54" i="3"/>
  <c r="P58" i="3"/>
  <c r="F18" i="23"/>
  <c r="P18" i="23" s="1"/>
  <c r="F58" i="3"/>
  <c r="P62" i="3"/>
  <c r="F62" i="3"/>
  <c r="F22" i="23"/>
  <c r="P22" i="23" s="1"/>
  <c r="P66" i="3"/>
  <c r="F66" i="3"/>
  <c r="P64" i="3"/>
  <c r="G16" i="23"/>
  <c r="Q16" i="23" s="1"/>
  <c r="E30" i="23"/>
  <c r="O30" i="23" s="1"/>
  <c r="F47" i="3"/>
  <c r="F51" i="3"/>
  <c r="P59" i="3"/>
  <c r="E33" i="23"/>
  <c r="O33" i="23" s="1"/>
  <c r="F52" i="3"/>
  <c r="P72" i="3"/>
  <c r="P45" i="3"/>
  <c r="P53" i="3"/>
  <c r="F74" i="3"/>
  <c r="G21" i="23"/>
  <c r="Q21" i="23" s="1"/>
  <c r="E18" i="23"/>
  <c r="O18" i="23" s="1"/>
  <c r="E22" i="23"/>
  <c r="O22" i="23" s="1"/>
  <c r="F32" i="23"/>
  <c r="P32" i="23" s="1"/>
  <c r="F57" i="3"/>
  <c r="P57" i="3"/>
  <c r="P60" i="3"/>
  <c r="P52" i="3"/>
  <c r="F65" i="3"/>
  <c r="F73" i="3"/>
  <c r="F45" i="3"/>
  <c r="F53" i="3"/>
  <c r="P69" i="3"/>
  <c r="G19" i="23"/>
  <c r="Q19" i="23" s="1"/>
  <c r="E20" i="23"/>
  <c r="O20" i="23" s="1"/>
  <c r="E24" i="23"/>
  <c r="O24" i="23" s="1"/>
  <c r="E25" i="23"/>
  <c r="O25" i="23" s="1"/>
  <c r="E28" i="23"/>
  <c r="O28" i="23" s="1"/>
  <c r="F48" i="3"/>
  <c r="P61" i="3"/>
  <c r="P68" i="3"/>
  <c r="F28" i="23"/>
  <c r="P28" i="23" s="1"/>
  <c r="P47" i="3"/>
  <c r="P51" i="3"/>
  <c r="F59" i="3"/>
  <c r="F64" i="3"/>
  <c r="F68" i="3"/>
  <c r="F72" i="3"/>
  <c r="F24" i="23"/>
  <c r="P24" i="23" s="1"/>
  <c r="E16" i="23"/>
  <c r="O16" i="23" s="1"/>
  <c r="G26" i="23"/>
  <c r="Q26" i="23" s="1"/>
  <c r="G30" i="23"/>
  <c r="Q30" i="23" s="1"/>
  <c r="E32" i="23"/>
  <c r="O32" i="23" s="1"/>
  <c r="G34" i="23"/>
  <c r="Q34" i="23" s="1"/>
  <c r="E26" i="23"/>
  <c r="O26" i="23" s="1"/>
  <c r="E31" i="23"/>
  <c r="O31" i="23" s="1"/>
  <c r="E35" i="23"/>
  <c r="O35" i="23" s="1"/>
  <c r="G20" i="23"/>
  <c r="Q20" i="23" s="1"/>
  <c r="P60" i="6"/>
  <c r="P44" i="6"/>
  <c r="P45" i="6"/>
  <c r="P47" i="6"/>
  <c r="P48" i="6"/>
  <c r="P49" i="6"/>
  <c r="P50" i="6"/>
  <c r="P51" i="6"/>
  <c r="P52" i="6"/>
  <c r="P53" i="6"/>
  <c r="F16" i="23"/>
  <c r="P16" i="23" s="1"/>
  <c r="F21" i="23"/>
  <c r="P61" i="6"/>
  <c r="F25" i="23"/>
  <c r="P65" i="6"/>
  <c r="F29" i="23"/>
  <c r="P69" i="6"/>
  <c r="F33" i="23"/>
  <c r="P33" i="23" s="1"/>
  <c r="P73" i="6"/>
  <c r="G18" i="23"/>
  <c r="Q18" i="23" s="1"/>
  <c r="P58" i="6"/>
  <c r="G22" i="23"/>
  <c r="Q22" i="23" s="1"/>
  <c r="P62" i="6"/>
  <c r="F61" i="6"/>
  <c r="F65" i="6"/>
  <c r="F69" i="6"/>
  <c r="F73" i="6"/>
  <c r="G24" i="23"/>
  <c r="Q24" i="23" s="1"/>
  <c r="P64" i="6"/>
  <c r="F27" i="23"/>
  <c r="P27" i="23" s="1"/>
  <c r="P67" i="6"/>
  <c r="G28" i="23"/>
  <c r="Q28" i="23" s="1"/>
  <c r="P68" i="6"/>
  <c r="F30" i="23"/>
  <c r="P30" i="23" s="1"/>
  <c r="P70" i="6"/>
  <c r="F34" i="23"/>
  <c r="P34" i="23" s="1"/>
  <c r="P74" i="6"/>
  <c r="F48" i="6"/>
  <c r="F51" i="6"/>
  <c r="F52" i="6"/>
  <c r="F60" i="6"/>
  <c r="F64" i="6"/>
  <c r="F68" i="6"/>
  <c r="F19" i="23"/>
  <c r="P19" i="23" s="1"/>
  <c r="P59" i="6"/>
  <c r="F23" i="23"/>
  <c r="P23" i="23" s="1"/>
  <c r="P63" i="6"/>
  <c r="F31" i="23"/>
  <c r="P31" i="23" s="1"/>
  <c r="P71" i="6"/>
  <c r="F35" i="23"/>
  <c r="P35" i="23" s="1"/>
  <c r="P75" i="6"/>
  <c r="F17" i="23"/>
  <c r="P57" i="6"/>
  <c r="F26" i="23"/>
  <c r="P26" i="23" s="1"/>
  <c r="P66" i="6"/>
  <c r="P72" i="6"/>
  <c r="F59" i="6"/>
  <c r="F63" i="6"/>
  <c r="F67" i="6"/>
  <c r="F71" i="6"/>
  <c r="F75" i="6"/>
  <c r="C68" i="6"/>
  <c r="M68" i="6"/>
  <c r="C72" i="6"/>
  <c r="C60" i="6"/>
  <c r="M60" i="6"/>
  <c r="C70" i="6"/>
  <c r="B32" i="23"/>
  <c r="L32" i="23" s="1"/>
  <c r="M56" i="6"/>
  <c r="M64" i="6"/>
  <c r="M72" i="6"/>
  <c r="D34" i="23"/>
  <c r="N34" i="23" s="1"/>
  <c r="M68" i="3"/>
  <c r="C68" i="3"/>
  <c r="C64" i="3"/>
  <c r="M64" i="3"/>
  <c r="C71" i="3"/>
  <c r="C67" i="3"/>
  <c r="M67" i="3"/>
  <c r="C63" i="3"/>
  <c r="D21" i="23"/>
  <c r="N21" i="23" s="1"/>
  <c r="C72" i="3"/>
  <c r="B21" i="23"/>
  <c r="L21" i="23" s="1"/>
  <c r="D27" i="23"/>
  <c r="N27" i="23" s="1"/>
  <c r="M71" i="3"/>
  <c r="C61" i="3"/>
  <c r="C65" i="3"/>
  <c r="C69" i="3"/>
  <c r="C73" i="3"/>
  <c r="B28" i="23"/>
  <c r="L28" i="23" s="1"/>
  <c r="M60" i="3"/>
  <c r="B35" i="23"/>
  <c r="L35" i="23" s="1"/>
  <c r="D32" i="23"/>
  <c r="N32" i="23" s="1"/>
  <c r="D24" i="23"/>
  <c r="N24" i="23" s="1"/>
  <c r="D20" i="23"/>
  <c r="N20" i="23" s="1"/>
  <c r="B24" i="23"/>
  <c r="L24" i="23" s="1"/>
  <c r="D28" i="23"/>
  <c r="N28" i="23" s="1"/>
  <c r="C32" i="23"/>
  <c r="M32" i="23" s="1"/>
  <c r="C56" i="3"/>
  <c r="M56" i="3"/>
  <c r="B16" i="23"/>
  <c r="L16" i="23" s="1"/>
  <c r="C49" i="3"/>
  <c r="M49" i="3"/>
  <c r="C45" i="3"/>
  <c r="C50" i="3"/>
  <c r="C53" i="3"/>
  <c r="M51" i="3"/>
  <c r="M53" i="3"/>
  <c r="M74" i="8"/>
  <c r="M68" i="8"/>
  <c r="C28" i="23"/>
  <c r="M28" i="23" s="1"/>
  <c r="C68" i="8"/>
  <c r="M66" i="8"/>
  <c r="C66" i="8"/>
  <c r="C56" i="8"/>
  <c r="M56" i="8"/>
  <c r="C64" i="8"/>
  <c r="D26" i="23"/>
  <c r="N26" i="23" s="1"/>
  <c r="M58" i="8"/>
  <c r="M62" i="8"/>
  <c r="C58" i="8"/>
  <c r="C62" i="8"/>
  <c r="M64" i="8"/>
  <c r="D35" i="23"/>
  <c r="N35" i="23" s="1"/>
  <c r="M60" i="8"/>
  <c r="C31" i="23"/>
  <c r="M31" i="23" s="1"/>
  <c r="C63" i="8"/>
  <c r="C67" i="8"/>
  <c r="C73" i="8"/>
  <c r="C75" i="8"/>
  <c r="C60" i="8"/>
  <c r="M72" i="8"/>
  <c r="D31" i="23"/>
  <c r="N31" i="23" s="1"/>
  <c r="M59" i="8"/>
  <c r="C72" i="8"/>
  <c r="B25" i="23"/>
  <c r="L25" i="23" s="1"/>
  <c r="B23" i="23"/>
  <c r="L23" i="23" s="1"/>
  <c r="B33" i="23"/>
  <c r="L33" i="23" s="1"/>
  <c r="B29" i="23"/>
  <c r="L29" i="23" s="1"/>
  <c r="B31" i="23"/>
  <c r="L31" i="23" s="1"/>
  <c r="M70" i="8"/>
  <c r="C70" i="8"/>
  <c r="C61" i="8"/>
  <c r="M61" i="8"/>
  <c r="C46" i="8"/>
  <c r="C54" i="8"/>
  <c r="C74" i="8"/>
  <c r="C23" i="23"/>
  <c r="M23" i="23" s="1"/>
  <c r="C33" i="23"/>
  <c r="M33" i="23" s="1"/>
  <c r="B18" i="23"/>
  <c r="L18" i="23" s="1"/>
  <c r="B22" i="23"/>
  <c r="L22" i="23" s="1"/>
  <c r="B27" i="23"/>
  <c r="L27" i="23" s="1"/>
  <c r="M45" i="8"/>
  <c r="M53" i="8"/>
  <c r="M55" i="8"/>
  <c r="M57" i="8"/>
  <c r="M63" i="8"/>
  <c r="M65" i="8"/>
  <c r="M67" i="8"/>
  <c r="M69" i="8"/>
  <c r="M73" i="8"/>
  <c r="M75" i="8"/>
  <c r="B17" i="23"/>
  <c r="L17" i="23" s="1"/>
  <c r="D23" i="23"/>
  <c r="N23" i="23" s="1"/>
  <c r="C29" i="23"/>
  <c r="M29" i="23" s="1"/>
  <c r="B30" i="23"/>
  <c r="L30" i="23" s="1"/>
  <c r="D33" i="23"/>
  <c r="N33" i="23" s="1"/>
  <c r="B26" i="23"/>
  <c r="L26" i="23" s="1"/>
  <c r="C17" i="23"/>
  <c r="M17" i="23" s="1"/>
  <c r="C30" i="23"/>
  <c r="M30" i="23" s="1"/>
  <c r="D18" i="23"/>
  <c r="N18" i="23" s="1"/>
  <c r="D22" i="23"/>
  <c r="N22" i="23" s="1"/>
  <c r="M45" i="3"/>
  <c r="M47" i="3"/>
  <c r="M55" i="3"/>
  <c r="M61" i="3"/>
  <c r="M69" i="3"/>
  <c r="M75" i="3"/>
  <c r="C75" i="3"/>
  <c r="C19" i="23"/>
  <c r="M19" i="23" s="1"/>
  <c r="C21" i="23"/>
  <c r="M21" i="23" s="1"/>
  <c r="D29" i="23"/>
  <c r="N29" i="23" s="1"/>
  <c r="M44" i="3"/>
  <c r="M46" i="3"/>
  <c r="M48" i="3"/>
  <c r="M50" i="3"/>
  <c r="M52" i="3"/>
  <c r="M54" i="3"/>
  <c r="M58" i="3"/>
  <c r="M62" i="3"/>
  <c r="M66" i="3"/>
  <c r="M70" i="3"/>
  <c r="M74" i="3"/>
  <c r="M63" i="3"/>
  <c r="M65" i="3"/>
  <c r="M73" i="3"/>
  <c r="B19" i="23"/>
  <c r="L19" i="23" s="1"/>
  <c r="C27" i="23"/>
  <c r="M27" i="23" s="1"/>
  <c r="C44" i="3"/>
  <c r="M53" i="6"/>
  <c r="C53" i="6"/>
  <c r="D25" i="23"/>
  <c r="N25" i="23" s="1"/>
  <c r="C65" i="6"/>
  <c r="C62" i="6"/>
  <c r="C22" i="23"/>
  <c r="M22" i="23" s="1"/>
  <c r="M62" i="6"/>
  <c r="C45" i="6"/>
  <c r="C47" i="6"/>
  <c r="C49" i="6"/>
  <c r="C51" i="6"/>
  <c r="C55" i="6"/>
  <c r="C57" i="6"/>
  <c r="C59" i="6"/>
  <c r="C61" i="6"/>
  <c r="C63" i="6"/>
  <c r="C67" i="6"/>
  <c r="C69" i="6"/>
  <c r="C71" i="6"/>
  <c r="C73" i="6"/>
  <c r="C75" i="6"/>
  <c r="D30" i="23"/>
  <c r="N30" i="23" s="1"/>
  <c r="M46" i="6"/>
  <c r="M48" i="6"/>
  <c r="M50" i="6"/>
  <c r="M52" i="6"/>
  <c r="M54" i="6"/>
  <c r="M58" i="6"/>
  <c r="M66" i="6"/>
  <c r="M70" i="6"/>
  <c r="M74" i="6"/>
  <c r="C34" i="23"/>
  <c r="M34" i="23" s="1"/>
  <c r="C26" i="23"/>
  <c r="M26" i="23" s="1"/>
  <c r="C18" i="23"/>
  <c r="M18" i="23" s="1"/>
  <c r="M45" i="6"/>
  <c r="M47" i="6"/>
  <c r="M49" i="6"/>
  <c r="M51" i="6"/>
  <c r="M55" i="6"/>
  <c r="M57" i="6"/>
  <c r="M59" i="6"/>
  <c r="M61" i="6"/>
  <c r="M63" i="6"/>
  <c r="M65" i="6"/>
  <c r="M67" i="6"/>
  <c r="M69" i="6"/>
  <c r="M71" i="6"/>
  <c r="M73" i="6"/>
  <c r="M75" i="6"/>
  <c r="F38" i="8"/>
  <c r="F38" i="3"/>
  <c r="F38" i="20"/>
  <c r="F38" i="15"/>
  <c r="C38" i="18"/>
  <c r="F38" i="18"/>
  <c r="C38" i="20"/>
  <c r="C38" i="22"/>
  <c r="F38" i="22"/>
  <c r="C38" i="15"/>
  <c r="C38" i="14"/>
  <c r="F38" i="14"/>
  <c r="C38" i="11"/>
  <c r="F38" i="11"/>
  <c r="C38" i="10"/>
  <c r="F38" i="10"/>
  <c r="C38" i="9"/>
  <c r="F38" i="9"/>
  <c r="C38" i="7"/>
  <c r="F38" i="7"/>
  <c r="C38" i="8"/>
  <c r="C38" i="3"/>
  <c r="C38" i="6"/>
  <c r="F38" i="6"/>
  <c r="F38" i="12"/>
  <c r="C38" i="13"/>
  <c r="F38" i="13"/>
  <c r="C54" i="16"/>
  <c r="M54" i="16"/>
  <c r="C52" i="16"/>
  <c r="M52" i="16"/>
  <c r="C60" i="16"/>
  <c r="M60" i="16"/>
  <c r="C64" i="16"/>
  <c r="M64" i="16"/>
  <c r="A47" i="16"/>
  <c r="M49" i="16"/>
  <c r="F51" i="16"/>
  <c r="P53" i="16"/>
  <c r="M57" i="16"/>
  <c r="C58" i="16"/>
  <c r="M58" i="16"/>
  <c r="C68" i="16"/>
  <c r="M68" i="16"/>
  <c r="C72" i="16"/>
  <c r="M72" i="16"/>
  <c r="F45" i="16"/>
  <c r="F46" i="16"/>
  <c r="A48" i="16"/>
  <c r="A49" i="16"/>
  <c r="P49" i="16"/>
  <c r="M51" i="16"/>
  <c r="C55" i="16"/>
  <c r="K56" i="16"/>
  <c r="P57" i="16"/>
  <c r="C59" i="16"/>
  <c r="A63" i="16"/>
  <c r="K70" i="16"/>
  <c r="P71" i="16"/>
  <c r="K74" i="16"/>
  <c r="P75" i="16"/>
  <c r="C50" i="16"/>
  <c r="C66" i="16"/>
  <c r="M66" i="16"/>
  <c r="M44" i="16"/>
  <c r="F48" i="16"/>
  <c r="A51" i="16"/>
  <c r="C53" i="16"/>
  <c r="F54" i="16"/>
  <c r="F58" i="16"/>
  <c r="K64" i="16"/>
  <c r="P65" i="16"/>
  <c r="A67" i="16"/>
  <c r="A71" i="16"/>
  <c r="A75" i="16"/>
  <c r="P50" i="16"/>
  <c r="F59" i="16"/>
  <c r="P60" i="16"/>
  <c r="C62" i="16"/>
  <c r="M62" i="16"/>
  <c r="P62" i="16"/>
  <c r="F63" i="16"/>
  <c r="P64" i="16"/>
  <c r="F67" i="16"/>
  <c r="C70" i="16"/>
  <c r="M70" i="16"/>
  <c r="C74" i="16"/>
  <c r="M74" i="16"/>
  <c r="M46" i="16"/>
  <c r="F52" i="16"/>
  <c r="P55" i="16"/>
  <c r="K58" i="16"/>
  <c r="P59" i="16"/>
  <c r="A61" i="16"/>
  <c r="F62" i="16"/>
  <c r="A65" i="16"/>
  <c r="K68" i="16"/>
  <c r="P69" i="16"/>
  <c r="K72" i="16"/>
  <c r="P73" i="16"/>
  <c r="C38" i="16"/>
  <c r="F38" i="16"/>
  <c r="P59" i="17"/>
  <c r="F59" i="17"/>
  <c r="P65" i="17"/>
  <c r="F65" i="17"/>
  <c r="P63" i="17"/>
  <c r="F63" i="17"/>
  <c r="P66" i="17"/>
  <c r="F66" i="17"/>
  <c r="P67" i="17"/>
  <c r="F67" i="17"/>
  <c r="P75" i="17"/>
  <c r="F75" i="17"/>
  <c r="F61" i="17"/>
  <c r="P61" i="17"/>
  <c r="P70" i="17"/>
  <c r="F70" i="17"/>
  <c r="F73" i="17"/>
  <c r="P73" i="17"/>
  <c r="P74" i="17"/>
  <c r="F74" i="17"/>
  <c r="A74" i="17"/>
  <c r="A72" i="17"/>
  <c r="F71" i="17"/>
  <c r="F69" i="17"/>
  <c r="A66" i="17"/>
  <c r="A64" i="17"/>
  <c r="A58" i="17"/>
  <c r="F57" i="17"/>
  <c r="C71" i="17"/>
  <c r="C69" i="17"/>
  <c r="C65" i="17"/>
  <c r="M75" i="17"/>
  <c r="A75" i="17"/>
  <c r="M73" i="17"/>
  <c r="A73" i="17"/>
  <c r="F72" i="17"/>
  <c r="A71" i="17"/>
  <c r="A69" i="17"/>
  <c r="F68" i="17"/>
  <c r="M67" i="17"/>
  <c r="A67" i="17"/>
  <c r="A65" i="17"/>
  <c r="F64" i="17"/>
  <c r="A63" i="17"/>
  <c r="F62" i="17"/>
  <c r="A61" i="17"/>
  <c r="F60" i="17"/>
  <c r="A59" i="17"/>
  <c r="F58" i="17"/>
  <c r="M57" i="17"/>
  <c r="A57" i="17"/>
  <c r="F56" i="17"/>
  <c r="B43" i="23"/>
  <c r="D43" i="23"/>
  <c r="E43" i="23"/>
  <c r="G43" i="23"/>
  <c r="B44" i="23"/>
  <c r="D44" i="23"/>
  <c r="E44" i="23"/>
  <c r="G44" i="23"/>
  <c r="B45" i="23"/>
  <c r="D45" i="23"/>
  <c r="E45" i="23"/>
  <c r="G45" i="23"/>
  <c r="B46" i="23"/>
  <c r="D46" i="23"/>
  <c r="E46" i="23"/>
  <c r="G46" i="23"/>
  <c r="B47" i="23"/>
  <c r="D47" i="23"/>
  <c r="E47" i="23"/>
  <c r="G47" i="23"/>
  <c r="B48" i="23"/>
  <c r="D48" i="23"/>
  <c r="E48" i="23"/>
  <c r="G48" i="23"/>
  <c r="B49" i="23"/>
  <c r="D49" i="23"/>
  <c r="E49" i="23"/>
  <c r="G49" i="23"/>
  <c r="B50" i="23"/>
  <c r="D50" i="23"/>
  <c r="E50" i="23"/>
  <c r="G50" i="23"/>
  <c r="B51" i="23"/>
  <c r="D51" i="23"/>
  <c r="E51" i="23"/>
  <c r="G51" i="23"/>
  <c r="B52" i="23"/>
  <c r="D52" i="23"/>
  <c r="E52" i="23"/>
  <c r="G52" i="23"/>
  <c r="B53" i="23"/>
  <c r="D53" i="23"/>
  <c r="E53" i="23"/>
  <c r="G53" i="23"/>
  <c r="D42" i="23"/>
  <c r="E42" i="23"/>
  <c r="G42" i="23"/>
  <c r="L43" i="23"/>
  <c r="N43" i="23"/>
  <c r="O43" i="23"/>
  <c r="Q43" i="23"/>
  <c r="L44" i="23"/>
  <c r="N44" i="23"/>
  <c r="O44" i="23"/>
  <c r="Q44" i="23"/>
  <c r="L45" i="23"/>
  <c r="N45" i="23"/>
  <c r="O45" i="23"/>
  <c r="Q45" i="23"/>
  <c r="L46" i="23"/>
  <c r="N46" i="23"/>
  <c r="O46" i="23"/>
  <c r="Q46" i="23"/>
  <c r="L47" i="23"/>
  <c r="N47" i="23"/>
  <c r="O47" i="23"/>
  <c r="Q47" i="23"/>
  <c r="L48" i="23"/>
  <c r="N48" i="23"/>
  <c r="O48" i="23"/>
  <c r="Q48" i="23"/>
  <c r="L49" i="23"/>
  <c r="N49" i="23"/>
  <c r="O49" i="23"/>
  <c r="Q49" i="23"/>
  <c r="L50" i="23"/>
  <c r="N50" i="23"/>
  <c r="O50" i="23"/>
  <c r="Q50" i="23"/>
  <c r="L51" i="23"/>
  <c r="N51" i="23"/>
  <c r="O51" i="23"/>
  <c r="Q51" i="23"/>
  <c r="L52" i="23"/>
  <c r="N52" i="23"/>
  <c r="O52" i="23"/>
  <c r="Q52" i="23"/>
  <c r="L53" i="23"/>
  <c r="N53" i="23"/>
  <c r="O53" i="23"/>
  <c r="Q53" i="23"/>
  <c r="N42" i="23"/>
  <c r="O42" i="23"/>
  <c r="Q42" i="23"/>
  <c r="L42" i="23"/>
  <c r="B42" i="23"/>
  <c r="C38" i="12" l="1"/>
  <c r="C20" i="23"/>
  <c r="M20" i="23" s="1"/>
  <c r="M60" i="12"/>
  <c r="M58" i="23" s="1"/>
  <c r="M64" i="12"/>
  <c r="M56" i="12"/>
  <c r="P25" i="23"/>
  <c r="I10" i="23"/>
  <c r="P17" i="23"/>
  <c r="I8" i="23"/>
  <c r="I11" i="23"/>
  <c r="P29" i="23"/>
  <c r="I9" i="23"/>
  <c r="P21" i="23"/>
  <c r="C56" i="23"/>
  <c r="C71" i="23"/>
  <c r="F54" i="23"/>
  <c r="P58" i="23"/>
  <c r="C58" i="23"/>
  <c r="P56" i="23"/>
  <c r="C54" i="23"/>
  <c r="F65" i="23"/>
  <c r="P65" i="23"/>
  <c r="P63" i="23"/>
  <c r="F64" i="23"/>
  <c r="F60" i="23"/>
  <c r="F72" i="23"/>
  <c r="M55" i="23"/>
  <c r="F55" i="23"/>
  <c r="F68" i="23"/>
  <c r="F59" i="23"/>
  <c r="C68" i="23"/>
  <c r="M62" i="23"/>
  <c r="C72" i="23"/>
  <c r="C60" i="23"/>
  <c r="C62" i="23"/>
  <c r="C64" i="23"/>
  <c r="P64" i="23"/>
  <c r="P60" i="23"/>
  <c r="M54" i="23"/>
  <c r="M69" i="23"/>
  <c r="C55" i="23"/>
  <c r="F71" i="23"/>
  <c r="P72" i="23"/>
  <c r="P66" i="23"/>
  <c r="C63" i="23"/>
  <c r="C57" i="23"/>
  <c r="P61" i="23"/>
  <c r="F66" i="23"/>
  <c r="P71" i="23"/>
  <c r="C69" i="23"/>
  <c r="C67" i="23"/>
  <c r="P73" i="23"/>
  <c r="P68" i="23"/>
  <c r="F62" i="23"/>
  <c r="P54" i="23"/>
  <c r="F73" i="23"/>
  <c r="F57" i="23"/>
  <c r="P69" i="23"/>
  <c r="F58" i="23"/>
  <c r="P62" i="23"/>
  <c r="F56" i="23"/>
  <c r="F61" i="23"/>
  <c r="F67" i="23"/>
  <c r="F70" i="23"/>
  <c r="P55" i="23"/>
  <c r="P57" i="23"/>
  <c r="F63" i="23"/>
  <c r="P67" i="23"/>
  <c r="P59" i="23"/>
  <c r="F69" i="23"/>
  <c r="P70" i="23"/>
  <c r="M70" i="23"/>
  <c r="M66" i="23"/>
  <c r="C66" i="23"/>
  <c r="C70" i="23"/>
  <c r="C65" i="23"/>
  <c r="C61" i="23"/>
  <c r="M73" i="23"/>
  <c r="M65" i="23"/>
  <c r="M57" i="23"/>
  <c r="M64" i="23"/>
  <c r="C59" i="23"/>
  <c r="M60" i="23"/>
  <c r="M61" i="23"/>
  <c r="M67" i="23"/>
  <c r="M59" i="23"/>
  <c r="M68" i="23"/>
  <c r="M71" i="23"/>
  <c r="M63" i="23"/>
  <c r="M56" i="23"/>
  <c r="M72" i="23"/>
  <c r="C73" i="23"/>
  <c r="K53" i="23"/>
  <c r="K52" i="23"/>
  <c r="K45" i="23"/>
  <c r="K44" i="23"/>
  <c r="A15" i="17"/>
  <c r="K55" i="17" s="1"/>
  <c r="A14" i="17"/>
  <c r="K54" i="17" s="1"/>
  <c r="A13" i="17"/>
  <c r="K53" i="17" s="1"/>
  <c r="A12" i="17"/>
  <c r="K52" i="17" s="1"/>
  <c r="A11" i="17"/>
  <c r="K51" i="17" s="1"/>
  <c r="A10" i="17"/>
  <c r="K50" i="17" s="1"/>
  <c r="A9" i="17"/>
  <c r="A49" i="17" s="1"/>
  <c r="A8" i="17"/>
  <c r="K48" i="17" s="1"/>
  <c r="A7" i="17"/>
  <c r="K47" i="17" s="1"/>
  <c r="A6" i="17"/>
  <c r="K46" i="17" s="1"/>
  <c r="A5" i="17"/>
  <c r="K45" i="17" s="1"/>
  <c r="A4" i="17"/>
  <c r="K44" i="17" s="1"/>
  <c r="K51" i="23"/>
  <c r="K50" i="23"/>
  <c r="K47" i="23"/>
  <c r="K46" i="23"/>
  <c r="K43" i="23"/>
  <c r="K42" i="23"/>
  <c r="K49" i="23"/>
  <c r="K48" i="23"/>
  <c r="F43" i="18"/>
  <c r="F43" i="20"/>
  <c r="F43" i="22"/>
  <c r="F43" i="15"/>
  <c r="F43" i="14"/>
  <c r="F43" i="11"/>
  <c r="F43" i="10"/>
  <c r="F43" i="9"/>
  <c r="F43" i="7"/>
  <c r="F43" i="8"/>
  <c r="F43" i="3"/>
  <c r="F43" i="6"/>
  <c r="F43" i="12"/>
  <c r="F43" i="13"/>
  <c r="F43" i="16"/>
  <c r="F43" i="19"/>
  <c r="A55" i="17"/>
  <c r="F43" i="17"/>
  <c r="A45" i="17" l="1"/>
  <c r="K49" i="17"/>
  <c r="A53" i="17"/>
  <c r="A51" i="17"/>
  <c r="A47" i="17"/>
  <c r="A44" i="17"/>
  <c r="A48" i="17"/>
  <c r="A52" i="17"/>
  <c r="A46" i="17"/>
  <c r="A50" i="17"/>
  <c r="A54" i="17"/>
  <c r="G15" i="17" l="1"/>
  <c r="G15" i="23" s="1"/>
  <c r="Q15" i="23" s="1"/>
  <c r="F15" i="17"/>
  <c r="F15" i="23" s="1"/>
  <c r="P15" i="23" s="1"/>
  <c r="E15" i="17"/>
  <c r="E15" i="23" s="1"/>
  <c r="O15" i="23" s="1"/>
  <c r="G14" i="17"/>
  <c r="G14" i="23" s="1"/>
  <c r="Q14" i="23" s="1"/>
  <c r="F14" i="17"/>
  <c r="F14" i="23" s="1"/>
  <c r="P14" i="23" s="1"/>
  <c r="E14" i="17"/>
  <c r="E14" i="23" s="1"/>
  <c r="O14" i="23" s="1"/>
  <c r="G13" i="17"/>
  <c r="G13" i="23" s="1"/>
  <c r="Q13" i="23" s="1"/>
  <c r="F13" i="17"/>
  <c r="E13" i="17"/>
  <c r="E13" i="23" s="1"/>
  <c r="O13" i="23" s="1"/>
  <c r="G12" i="17"/>
  <c r="G12" i="23" s="1"/>
  <c r="Q12" i="23" s="1"/>
  <c r="F12" i="17"/>
  <c r="F12" i="23" s="1"/>
  <c r="P12" i="23" s="1"/>
  <c r="E12" i="17"/>
  <c r="E12" i="23" s="1"/>
  <c r="O12" i="23" s="1"/>
  <c r="G11" i="17"/>
  <c r="G11" i="23" s="1"/>
  <c r="Q11" i="23" s="1"/>
  <c r="F11" i="17"/>
  <c r="F11" i="23" s="1"/>
  <c r="P11" i="23" s="1"/>
  <c r="E11" i="17"/>
  <c r="E11" i="23" s="1"/>
  <c r="O11" i="23" s="1"/>
  <c r="G10" i="17"/>
  <c r="G10" i="23" s="1"/>
  <c r="Q10" i="23" s="1"/>
  <c r="F10" i="17"/>
  <c r="F10" i="23" s="1"/>
  <c r="P10" i="23" s="1"/>
  <c r="E10" i="17"/>
  <c r="E10" i="23" s="1"/>
  <c r="O10" i="23" s="1"/>
  <c r="G9" i="17"/>
  <c r="G9" i="23" s="1"/>
  <c r="Q9" i="23" s="1"/>
  <c r="F9" i="17"/>
  <c r="E9" i="17"/>
  <c r="E9" i="23" s="1"/>
  <c r="O9" i="23" s="1"/>
  <c r="G8" i="17"/>
  <c r="F8" i="17"/>
  <c r="F8" i="23" s="1"/>
  <c r="P8" i="23" s="1"/>
  <c r="E8" i="17"/>
  <c r="G7" i="17"/>
  <c r="F7" i="17"/>
  <c r="F7" i="23" s="1"/>
  <c r="P7" i="23" s="1"/>
  <c r="E7" i="17"/>
  <c r="G6" i="17"/>
  <c r="F6" i="17"/>
  <c r="F6" i="23" s="1"/>
  <c r="P6" i="23" s="1"/>
  <c r="E6" i="17"/>
  <c r="G5" i="17"/>
  <c r="F5" i="17"/>
  <c r="E5" i="17"/>
  <c r="G4" i="17"/>
  <c r="F4" i="17"/>
  <c r="E4" i="17"/>
  <c r="F13" i="23" l="1"/>
  <c r="I7" i="23" s="1"/>
  <c r="I7" i="17"/>
  <c r="F5" i="23"/>
  <c r="AM5" i="23" s="1"/>
  <c r="I5" i="17"/>
  <c r="F9" i="23"/>
  <c r="P9" i="23" s="1"/>
  <c r="I6" i="17"/>
  <c r="G4" i="23"/>
  <c r="E6" i="23"/>
  <c r="E5" i="23"/>
  <c r="E4" i="23"/>
  <c r="G6" i="23"/>
  <c r="E8" i="23"/>
  <c r="F38" i="17"/>
  <c r="F4" i="23"/>
  <c r="G5" i="23"/>
  <c r="E7" i="23"/>
  <c r="G8" i="23"/>
  <c r="G7" i="23"/>
  <c r="F51" i="17"/>
  <c r="P51" i="17"/>
  <c r="P55" i="17"/>
  <c r="F55" i="17"/>
  <c r="AM6" i="23"/>
  <c r="P46" i="17"/>
  <c r="P44" i="23" s="1"/>
  <c r="F46" i="17"/>
  <c r="P50" i="17"/>
  <c r="F50" i="17"/>
  <c r="F45" i="17"/>
  <c r="F43" i="23" s="1"/>
  <c r="P45" i="17"/>
  <c r="F49" i="17"/>
  <c r="P49" i="17"/>
  <c r="F53" i="17"/>
  <c r="P53" i="17"/>
  <c r="P44" i="17"/>
  <c r="F44" i="17"/>
  <c r="F42" i="23" s="1"/>
  <c r="AM8" i="23"/>
  <c r="P48" i="17"/>
  <c r="P46" i="23" s="1"/>
  <c r="F48" i="17"/>
  <c r="P52" i="17"/>
  <c r="F52" i="17"/>
  <c r="AM7" i="23"/>
  <c r="F47" i="17"/>
  <c r="P47" i="17"/>
  <c r="P54" i="17"/>
  <c r="F54" i="17"/>
  <c r="F52" i="23" s="1"/>
  <c r="D15" i="23"/>
  <c r="N15" i="23" s="1"/>
  <c r="C15" i="23"/>
  <c r="M15" i="23" s="1"/>
  <c r="B15" i="23"/>
  <c r="L15" i="23" s="1"/>
  <c r="D14" i="23"/>
  <c r="N14" i="23" s="1"/>
  <c r="C14" i="23"/>
  <c r="M14" i="23" s="1"/>
  <c r="B14" i="23"/>
  <c r="L14" i="23" s="1"/>
  <c r="D13" i="23"/>
  <c r="N13" i="23" s="1"/>
  <c r="C13" i="23"/>
  <c r="M13" i="23" s="1"/>
  <c r="B13" i="23"/>
  <c r="L13" i="23" s="1"/>
  <c r="D12" i="23"/>
  <c r="N12" i="23" s="1"/>
  <c r="C12" i="23"/>
  <c r="M12" i="23" s="1"/>
  <c r="B12" i="23"/>
  <c r="L12" i="23" s="1"/>
  <c r="D11" i="23"/>
  <c r="N11" i="23" s="1"/>
  <c r="C11" i="23"/>
  <c r="M11" i="23" s="1"/>
  <c r="B11" i="23"/>
  <c r="L11" i="23" s="1"/>
  <c r="D10" i="23"/>
  <c r="N10" i="23" s="1"/>
  <c r="C10" i="23"/>
  <c r="M10" i="23" s="1"/>
  <c r="B10" i="23"/>
  <c r="L10" i="23" s="1"/>
  <c r="D9" i="23"/>
  <c r="N9" i="23" s="1"/>
  <c r="C9" i="23"/>
  <c r="M9" i="23" s="1"/>
  <c r="B9" i="23"/>
  <c r="L9" i="23" s="1"/>
  <c r="C8" i="23"/>
  <c r="M8" i="23" s="1"/>
  <c r="C7" i="23"/>
  <c r="M7" i="23" s="1"/>
  <c r="C6" i="23"/>
  <c r="M6" i="23" s="1"/>
  <c r="C5" i="23"/>
  <c r="M5" i="23" s="1"/>
  <c r="A53" i="23"/>
  <c r="A52" i="23"/>
  <c r="A51" i="23"/>
  <c r="A50" i="23"/>
  <c r="A49" i="23"/>
  <c r="A48" i="23"/>
  <c r="A47" i="23"/>
  <c r="A46" i="23"/>
  <c r="A45" i="23"/>
  <c r="A44" i="23"/>
  <c r="A43" i="23"/>
  <c r="A42" i="23"/>
  <c r="P13" i="23" l="1"/>
  <c r="I6" i="23"/>
  <c r="I5" i="23"/>
  <c r="P5" i="23"/>
  <c r="AL7" i="23"/>
  <c r="O7" i="23"/>
  <c r="AL8" i="23"/>
  <c r="O8" i="23"/>
  <c r="AL6" i="23"/>
  <c r="O6" i="23"/>
  <c r="AN5" i="23"/>
  <c r="Q5" i="23"/>
  <c r="AN6" i="23"/>
  <c r="Q6" i="23"/>
  <c r="AN4" i="23"/>
  <c r="Q4" i="23"/>
  <c r="AN7" i="23"/>
  <c r="Q7" i="23"/>
  <c r="AM4" i="23"/>
  <c r="P4" i="23"/>
  <c r="AL4" i="23"/>
  <c r="O4" i="23"/>
  <c r="AN8" i="23"/>
  <c r="Q8" i="23"/>
  <c r="AL5" i="23"/>
  <c r="O5" i="23"/>
  <c r="C44" i="17"/>
  <c r="C38" i="17"/>
  <c r="B5" i="23"/>
  <c r="C4" i="23"/>
  <c r="D5" i="23"/>
  <c r="B7" i="23"/>
  <c r="D4" i="23"/>
  <c r="B6" i="23"/>
  <c r="D8" i="23"/>
  <c r="D7" i="23"/>
  <c r="B4" i="23"/>
  <c r="D6" i="23"/>
  <c r="B8" i="23"/>
  <c r="F53" i="23"/>
  <c r="F50" i="23"/>
  <c r="P47" i="23"/>
  <c r="F49" i="23"/>
  <c r="P50" i="23"/>
  <c r="F47" i="23"/>
  <c r="F44" i="23"/>
  <c r="P53" i="23"/>
  <c r="F45" i="23"/>
  <c r="F51" i="23"/>
  <c r="F48" i="23"/>
  <c r="F46" i="23"/>
  <c r="P43" i="23"/>
  <c r="P52" i="23"/>
  <c r="P42" i="23"/>
  <c r="P48" i="23"/>
  <c r="P49" i="23"/>
  <c r="P45" i="23"/>
  <c r="P51" i="23"/>
  <c r="C47" i="17"/>
  <c r="M47" i="17"/>
  <c r="C51" i="17"/>
  <c r="M51" i="17"/>
  <c r="C55" i="17"/>
  <c r="M55" i="17"/>
  <c r="C46" i="17"/>
  <c r="M46" i="17"/>
  <c r="C50" i="17"/>
  <c r="M50" i="17"/>
  <c r="C54" i="17"/>
  <c r="M54" i="17"/>
  <c r="C45" i="17"/>
  <c r="M45" i="17"/>
  <c r="C49" i="17"/>
  <c r="M49" i="17"/>
  <c r="M47" i="23" s="1"/>
  <c r="C53" i="17"/>
  <c r="M53" i="17"/>
  <c r="M44" i="17"/>
  <c r="C48" i="17"/>
  <c r="M48" i="17"/>
  <c r="C52" i="17"/>
  <c r="M52" i="17"/>
  <c r="AJ5" i="23"/>
  <c r="AJ8" i="23"/>
  <c r="AJ7" i="23"/>
  <c r="AJ6" i="23"/>
  <c r="AK6" i="23" l="1"/>
  <c r="N6" i="23"/>
  <c r="AI6" i="23"/>
  <c r="L6" i="23"/>
  <c r="AJ4" i="23"/>
  <c r="M4" i="23"/>
  <c r="AI4" i="23"/>
  <c r="L4" i="23"/>
  <c r="AK4" i="23"/>
  <c r="N4" i="23"/>
  <c r="AI5" i="23"/>
  <c r="L5" i="23"/>
  <c r="AK7" i="23"/>
  <c r="N7" i="23"/>
  <c r="AI7" i="23"/>
  <c r="L7" i="23"/>
  <c r="AI8" i="23"/>
  <c r="L8" i="23"/>
  <c r="AK8" i="23"/>
  <c r="N8" i="23"/>
  <c r="AK5" i="23"/>
  <c r="N5" i="23"/>
  <c r="C45" i="23"/>
  <c r="M44" i="23"/>
  <c r="M45" i="23"/>
  <c r="C46" i="23"/>
  <c r="C51" i="23"/>
  <c r="C43" i="23"/>
  <c r="C48" i="23"/>
  <c r="C53" i="23"/>
  <c r="C50" i="23"/>
  <c r="C42" i="23"/>
  <c r="C47" i="23"/>
  <c r="C52" i="23"/>
  <c r="C44" i="23"/>
  <c r="C49" i="23"/>
  <c r="M50" i="23"/>
  <c r="M42" i="23"/>
  <c r="M52" i="23"/>
  <c r="M49" i="23"/>
  <c r="M46" i="23"/>
  <c r="M51" i="23"/>
  <c r="M43" i="23"/>
  <c r="M48" i="23"/>
  <c r="M53" i="23"/>
</calcChain>
</file>

<file path=xl/sharedStrings.xml><?xml version="1.0" encoding="utf-8"?>
<sst xmlns="http://schemas.openxmlformats.org/spreadsheetml/2006/main" count="2210" uniqueCount="108">
  <si>
    <t>Year</t>
  </si>
  <si>
    <t>ACSS</t>
  </si>
  <si>
    <t>LVTS</t>
  </si>
  <si>
    <t>BNDCCA</t>
  </si>
  <si>
    <t>BLCMCA</t>
  </si>
  <si>
    <t>ATBRCA</t>
  </si>
  <si>
    <t>BCANCA</t>
  </si>
  <si>
    <t>BNPACA</t>
  </si>
  <si>
    <t>N/A</t>
  </si>
  <si>
    <t>BOFACA</t>
  </si>
  <si>
    <t>BOFMCA</t>
  </si>
  <si>
    <t>CCDQCA</t>
  </si>
  <si>
    <t>CIBCCA</t>
  </si>
  <si>
    <t>CUCXCA</t>
  </si>
  <si>
    <t>HKBCCA</t>
  </si>
  <si>
    <t>NOSCCA</t>
  </si>
  <si>
    <t>ROYCCA</t>
  </si>
  <si>
    <t>SBOSCA</t>
  </si>
  <si>
    <t>TDOMCA</t>
  </si>
  <si>
    <t>Lower Bound</t>
  </si>
  <si>
    <t>Upper Bound</t>
  </si>
  <si>
    <t>* Forecasts based on only 3 years of data (For MCBTCA ACSS Volumes near negligible)</t>
  </si>
  <si>
    <t>MCBTCA*</t>
  </si>
  <si>
    <t>ROYCCA (Minus 1 Standard Deviation)</t>
  </si>
  <si>
    <t>TDOMCA (Minus 1 Standard Deviation)</t>
  </si>
  <si>
    <t>NOSCCA (Minus 1 Standard Deviation)</t>
  </si>
  <si>
    <t>CIBCCA (Minus 1 Standard Deviation)</t>
  </si>
  <si>
    <t>CCDQCA (Minus 1 Standard Deviation)</t>
  </si>
  <si>
    <t>ATBRCA (Minus 1 Standard Deviation)</t>
  </si>
  <si>
    <t>BCANCA (Minus 1 Standard Deviation)</t>
  </si>
  <si>
    <t>BLCMCA (Minus 1 Standard Deviation)</t>
  </si>
  <si>
    <t>BNDCCA (Minus 1 Standard Deviation)</t>
  </si>
  <si>
    <t>BNPACA (Minus 1 Standard Deviation)</t>
  </si>
  <si>
    <t>BOFACA (Minus 1 Standard Deviation)</t>
  </si>
  <si>
    <t>BOFMCA (Minus 1 Standard Deviation)</t>
  </si>
  <si>
    <t>CUCXCA (Minus 1 Standard Deviation)</t>
  </si>
  <si>
    <t>HKBCCA (Minus 1 Standard Deviation)</t>
  </si>
  <si>
    <t>MCBTCA* (Minus 1 Standard Deviation)</t>
  </si>
  <si>
    <t>SBOSCA (Minus 1 Standard Deviation)</t>
  </si>
  <si>
    <t>Mean</t>
  </si>
  <si>
    <t>Forecast Minus One Standard Deviation (millions)</t>
  </si>
  <si>
    <t>ACSS +USBE</t>
  </si>
  <si>
    <t>Point Forecast</t>
  </si>
  <si>
    <t>Lo 95</t>
  </si>
  <si>
    <t>Hi 95</t>
  </si>
  <si>
    <t>ICICCA*</t>
  </si>
  <si>
    <t>Total</t>
  </si>
  <si>
    <t>ROYCCA (Minus 0.5 Standard Deviation)</t>
  </si>
  <si>
    <t>Forecast Minus Half A Standard Deviation (millions)</t>
  </si>
  <si>
    <t>TDOMCA (Minus 0.5 Standard Deviation)</t>
  </si>
  <si>
    <t>NOSCCA (Minus 0.5 Standard Deviation)</t>
  </si>
  <si>
    <t>CIBCCA (Minus 0.5 Standard Deviation)</t>
  </si>
  <si>
    <t>CCDQCA (Minus 0.5 Standard Deviation)</t>
  </si>
  <si>
    <t>ATBRCA (Minus 0.5 Standard Deviation)</t>
  </si>
  <si>
    <t>BCANCA (Minus 0.5 Standard Deviation)</t>
  </si>
  <si>
    <t>BLCMCA (Minus 0.5 Standard Deviation)</t>
  </si>
  <si>
    <t>BNDCCA (Minus 0.5 Standard Deviation)</t>
  </si>
  <si>
    <t>BNPACA (Minus 0.5 Standard Deviation)</t>
  </si>
  <si>
    <t>BOFACA (Minus 0.5 Standard Deviation)</t>
  </si>
  <si>
    <t>BOFMCA (Minus 0.5 Standard Deviation)</t>
  </si>
  <si>
    <t>CUCXCA (Minus 0.5 Standard Deviation)</t>
  </si>
  <si>
    <t>HKBCCA (Minus 0.5 Standard Deviation)</t>
  </si>
  <si>
    <t>ICICCA* (Minus 0.5 Standard Deviation)</t>
  </si>
  <si>
    <t>ICICCA (Minus 1 Standard Deviation)</t>
  </si>
  <si>
    <t>MCBTCA* (Minus 0.5 Standard Deviation)</t>
  </si>
  <si>
    <t>SBOSCA (Minus 0.5 Standard Deviation)</t>
  </si>
  <si>
    <t>* Forecasts based on monthly data between 2015 and current date</t>
  </si>
  <si>
    <t>Total (Half A Standard Deviation)</t>
  </si>
  <si>
    <t>Total (One Standard Deviation)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</si>
  <si>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</si>
  <si>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</si>
  <si>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</si>
  <si>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</si>
  <si>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</si>
  <si>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</si>
  <si>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</si>
  <si>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</si>
  <si>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</si>
  <si>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</si>
  <si>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</si>
  <si>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2025Q4</t>
  </si>
  <si>
    <t>2025Q1</t>
  </si>
  <si>
    <t>2025Q2</t>
  </si>
  <si>
    <t>2025Q3</t>
  </si>
  <si>
    <t>2024Q4</t>
  </si>
  <si>
    <t>Overall Portfolio Forecast</t>
  </si>
  <si>
    <t>Overall Portfolio Forecast (Minus 0.5 Standard Deviation)</t>
  </si>
  <si>
    <t>Overall Portfolio Forecast (Minus 1 Standard Deviation)</t>
  </si>
  <si>
    <t>Deviation from Overall Portfolio Forecast</t>
  </si>
  <si>
    <t>Volume Forecast (millions)</t>
  </si>
  <si>
    <t>Volume Forecast (%)</t>
  </si>
  <si>
    <t>Volume Forecast  (millions)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</si>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</sst>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5" fillId="0" borderId="0"/>
  </cellStyleXfs>
  <cellXfs count="68">
    <xf numFmtId="0" fontId="0" fillId="0" borderId="0" xfId="0"/>
    <xf numFmtId="0" fontId="2" fillId="0" borderId="0" xfId="0" applyFont="1"/>
    <xf numFmtId="0" fontId="2" fillId="2" borderId="1" xfId="1" applyFont="1" applyBorder="1"/>
    <xf numFmtId="0" fontId="3" fillId="2" borderId="1" xfId="1" applyFont="1" applyBorder="1"/>
    <xf numFmtId="0" fontId="2" fillId="3" borderId="1" xfId="2" applyFont="1" applyBorder="1"/>
    <xf numFmtId="17" fontId="2" fillId="2" borderId="1" xfId="1" applyNumberFormat="1" applyFont="1" applyBorder="1"/>
    <xf numFmtId="0" fontId="1" fillId="4" borderId="1" xfId="3" applyBorder="1"/>
    <xf numFmtId="17" fontId="1" fillId="4" borderId="1" xfId="3" applyNumberFormat="1" applyBorder="1"/>
    <xf numFmtId="0" fontId="4" fillId="4" borderId="1" xfId="3" applyFont="1" applyBorder="1" applyAlignment="1">
      <alignment horizontal="center"/>
    </xf>
    <xf numFmtId="0" fontId="4" fillId="4" borderId="1" xfId="3" applyFont="1" applyBorder="1"/>
    <xf numFmtId="0" fontId="1" fillId="4" borderId="1" xfId="3" applyBorder="1" applyAlignment="1">
      <alignment horizontal="center" wrapText="1"/>
    </xf>
    <xf numFmtId="0" fontId="4" fillId="4" borderId="1" xfId="3" applyFont="1" applyBorder="1" applyAlignment="1">
      <alignment horizontal="center" wrapText="1"/>
    </xf>
    <xf numFmtId="10" fontId="2" fillId="0" borderId="0" xfId="4" applyNumberFormat="1" applyFont="1"/>
    <xf numFmtId="0" fontId="3" fillId="2" borderId="1" xfId="1" applyFont="1" applyBorder="1" applyAlignment="1">
      <alignment horizontal="center"/>
    </xf>
    <xf numFmtId="0" fontId="2" fillId="5" borderId="0" xfId="0" applyFont="1" applyFill="1"/>
    <xf numFmtId="0" fontId="2" fillId="2" borderId="0" xfId="1" applyFont="1" applyBorder="1" applyAlignment="1">
      <alignment horizontal="center"/>
    </xf>
    <xf numFmtId="0" fontId="2" fillId="3" borderId="0" xfId="2" applyFont="1" applyBorder="1"/>
    <xf numFmtId="9" fontId="2" fillId="0" borderId="0" xfId="4" applyFont="1"/>
    <xf numFmtId="0" fontId="2" fillId="2" borderId="1" xfId="1" applyFont="1" applyBorder="1" applyAlignment="1">
      <alignment horizontal="center"/>
    </xf>
    <xf numFmtId="17" fontId="1" fillId="6" borderId="1" xfId="5" applyNumberFormat="1" applyBorder="1"/>
    <xf numFmtId="10" fontId="1" fillId="6" borderId="1" xfId="5" applyNumberFormat="1" applyBorder="1"/>
    <xf numFmtId="10" fontId="4" fillId="6" borderId="1" xfId="5" applyNumberFormat="1" applyFont="1" applyBorder="1"/>
    <xf numFmtId="0" fontId="4" fillId="6" borderId="1" xfId="5" applyFont="1" applyBorder="1"/>
    <xf numFmtId="0" fontId="2" fillId="2" borderId="1" xfId="1" applyFont="1" applyBorder="1" applyAlignment="1">
      <alignment horizontal="center" wrapText="1"/>
    </xf>
    <xf numFmtId="0" fontId="3" fillId="2" borderId="1" xfId="1" applyFont="1" applyBorder="1" applyAlignment="1">
      <alignment horizontal="center" wrapText="1"/>
    </xf>
    <xf numFmtId="17" fontId="1" fillId="6" borderId="1" xfId="5" applyNumberFormat="1" applyBorder="1" applyAlignment="1">
      <alignment horizontal="center" wrapText="1"/>
    </xf>
    <xf numFmtId="10" fontId="1" fillId="6" borderId="1" xfId="5" applyNumberFormat="1" applyBorder="1" applyAlignment="1">
      <alignment horizontal="center" wrapText="1"/>
    </xf>
    <xf numFmtId="10" fontId="4" fillId="6" borderId="1" xfId="5" applyNumberFormat="1" applyFont="1" applyBorder="1" applyAlignment="1">
      <alignment horizontal="center" wrapText="1"/>
    </xf>
    <xf numFmtId="0" fontId="3" fillId="7" borderId="0" xfId="0" applyFont="1" applyFill="1"/>
    <xf numFmtId="0" fontId="0" fillId="4" borderId="1" xfId="3" applyFont="1" applyBorder="1" applyAlignment="1">
      <alignment horizontal="center"/>
    </xf>
    <xf numFmtId="0" fontId="1" fillId="4" borderId="1" xfId="3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1" applyFont="1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3" borderId="1" xfId="2" applyFont="1" applyBorder="1" applyAlignment="1">
      <alignment horizontal="center"/>
    </xf>
    <xf numFmtId="0" fontId="1" fillId="3" borderId="1" xfId="2" applyBorder="1" applyAlignment="1">
      <alignment horizontal="center"/>
    </xf>
    <xf numFmtId="0" fontId="4" fillId="6" borderId="1" xfId="5" applyFont="1" applyBorder="1" applyAlignment="1">
      <alignment horizontal="center"/>
    </xf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  <xf numFmtId="0" fontId="5" fillId="0" borderId="0" xfId="6"/>
  </cellXfs>
  <cellStyles count="7">
    <cellStyle name="20% - Accent3" xfId="1" builtinId="38"/>
    <cellStyle name="20% - Accent6" xfId="5" builtinId="50"/>
    <cellStyle name="40% - Accent3" xfId="2" builtinId="39"/>
    <cellStyle name="40% - Accent4" xfId="3" builtinId="43"/>
    <cellStyle name="Normal" xfId="0" builtinId="0"/>
    <cellStyle name="Normal 2" xfId="6" xr:uid="{00000000-0005-0000-0000-00002F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"/>
  <sheetViews>
    <sheetView tabSelected="1" zoomScale="85" zoomScaleNormal="85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81640625" style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20.453125" style="1" customWidth="1"/>
    <col min="14" max="15" width="9.1796875" style="1"/>
    <col min="16" max="16" width="19.81640625" style="1" customWidth="1"/>
    <col min="17" max="16384" width="9.1796875" style="1"/>
  </cols>
  <sheetData>
    <row r="1" spans="1:30" ht="13" thickTop="1" thickBot="1" x14ac:dyDescent="0.35">
      <c r="A1" s="32" t="s">
        <v>16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J3" s="28"/>
      <c r="K3" s="14" t="s">
        <v>69</v>
      </c>
      <c r="L3" s="66">
        <v>980.52665476714867</v>
      </c>
      <c r="M3" s="66">
        <v>923.35963973793787</v>
      </c>
      <c r="N3" s="66">
        <v>1037.6936697963595</v>
      </c>
      <c r="O3" s="1">
        <f t="shared" ref="O3:O34" si="0">ROUND(M3,3)</f>
        <v>923.36</v>
      </c>
      <c r="P3" s="1">
        <f t="shared" ref="P3:P34" si="1">ROUND(L3,3)</f>
        <v>980.52700000000004</v>
      </c>
      <c r="Q3" s="1">
        <f t="shared" ref="Q3:Q34" si="2">ROUND(N3,3)</f>
        <v>1037.694</v>
      </c>
      <c r="R3" s="14" t="str">
        <f>K3</f>
        <v>2022Q1</v>
      </c>
      <c r="S3" s="52">
        <v>1.5236935176945743</v>
      </c>
      <c r="T3" s="52">
        <v>1.4750960983906807</v>
      </c>
      <c r="U3" s="52">
        <v>1.5722909369984679</v>
      </c>
      <c r="V3" s="1">
        <f t="shared" ref="V3:V34" si="3">ROUND(T3,3)</f>
        <v>1.4750000000000001</v>
      </c>
      <c r="W3" s="1">
        <f t="shared" ref="W3:W34" si="4">ROUND(S3,3)</f>
        <v>1.524</v>
      </c>
      <c r="X3" s="1">
        <f t="shared" ref="X3:X34" si="5">ROUND(U3,3)</f>
        <v>1.5720000000000001</v>
      </c>
    </row>
    <row r="4" spans="1:30" ht="15.5" thickTop="1" thickBot="1" x14ac:dyDescent="0.4">
      <c r="A4" s="5" t="str">
        <f>K3</f>
        <v>2022Q1</v>
      </c>
      <c r="B4" s="2">
        <f>O3</f>
        <v>923.36</v>
      </c>
      <c r="C4" s="3">
        <f>P3</f>
        <v>980.52700000000004</v>
      </c>
      <c r="D4" s="2">
        <f>Q3</f>
        <v>1037.694</v>
      </c>
      <c r="E4" s="2">
        <f>V3</f>
        <v>1.4750000000000001</v>
      </c>
      <c r="F4" s="3">
        <f>W3</f>
        <v>1.524</v>
      </c>
      <c r="G4" s="2">
        <f>X3</f>
        <v>1.5720000000000001</v>
      </c>
      <c r="J4" s="28"/>
      <c r="K4" s="14" t="s">
        <v>70</v>
      </c>
      <c r="L4" s="66">
        <v>1040.8203058596073</v>
      </c>
      <c r="M4" s="66">
        <v>979.1968910135198</v>
      </c>
      <c r="N4" s="66">
        <v>1102.4437207056947</v>
      </c>
      <c r="O4" s="1">
        <f t="shared" si="0"/>
        <v>979.197</v>
      </c>
      <c r="P4" s="1">
        <f t="shared" si="1"/>
        <v>1040.82</v>
      </c>
      <c r="Q4" s="1">
        <f t="shared" si="2"/>
        <v>1102.444</v>
      </c>
      <c r="R4" s="14" t="str">
        <f t="shared" ref="R4:R34" si="6">K4</f>
        <v>2022Q2</v>
      </c>
      <c r="S4" s="52">
        <v>1.5737671517212781</v>
      </c>
      <c r="T4" s="52">
        <v>1.5151797766394153</v>
      </c>
      <c r="U4" s="52">
        <v>1.632354526803141</v>
      </c>
      <c r="V4" s="1">
        <f t="shared" si="3"/>
        <v>1.5149999999999999</v>
      </c>
      <c r="W4" s="1">
        <f t="shared" si="4"/>
        <v>1.5740000000000001</v>
      </c>
      <c r="X4" s="1">
        <f t="shared" si="5"/>
        <v>1.6319999999999999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15" si="7">K4</f>
        <v>2022Q2</v>
      </c>
      <c r="B5" s="2">
        <f t="shared" ref="B5:D20" si="8">O4</f>
        <v>979.197</v>
      </c>
      <c r="C5" s="3">
        <f t="shared" si="8"/>
        <v>1040.82</v>
      </c>
      <c r="D5" s="2">
        <f t="shared" si="8"/>
        <v>1102.444</v>
      </c>
      <c r="E5" s="2">
        <f t="shared" ref="E5:E15" si="9">V4</f>
        <v>1.5149999999999999</v>
      </c>
      <c r="F5" s="3">
        <f t="shared" ref="F5:F15" si="10">W4</f>
        <v>1.5740000000000001</v>
      </c>
      <c r="G5" s="2">
        <f t="shared" ref="G5:G15" si="11">X4</f>
        <v>1.6319999999999999</v>
      </c>
      <c r="I5" s="1">
        <f>SUM(F5:F8)</f>
        <v>6.3120000000000003</v>
      </c>
      <c r="K5" s="14" t="s">
        <v>71</v>
      </c>
      <c r="L5" s="66">
        <v>1046.0452921957071</v>
      </c>
      <c r="M5" s="66">
        <v>981.37981903946388</v>
      </c>
      <c r="N5" s="66">
        <v>1110.7107653519504</v>
      </c>
      <c r="O5" s="1">
        <f t="shared" si="0"/>
        <v>981.38</v>
      </c>
      <c r="P5" s="1">
        <f t="shared" si="1"/>
        <v>1046.0450000000001</v>
      </c>
      <c r="Q5" s="1">
        <f t="shared" si="2"/>
        <v>1110.711</v>
      </c>
      <c r="R5" s="14" t="str">
        <f t="shared" si="6"/>
        <v>2022Q3</v>
      </c>
      <c r="S5" s="52">
        <v>1.5778205742530251</v>
      </c>
      <c r="T5" s="52">
        <v>1.5112884123410499</v>
      </c>
      <c r="U5" s="52">
        <v>1.6443527361650003</v>
      </c>
      <c r="V5" s="1">
        <f t="shared" si="3"/>
        <v>1.5109999999999999</v>
      </c>
      <c r="W5" s="1">
        <f t="shared" si="4"/>
        <v>1.5780000000000001</v>
      </c>
      <c r="X5" s="1">
        <f t="shared" si="5"/>
        <v>1.6439999999999999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981.38</v>
      </c>
      <c r="C6" s="3">
        <f t="shared" si="8"/>
        <v>1046.0450000000001</v>
      </c>
      <c r="D6" s="2">
        <f t="shared" si="8"/>
        <v>1110.711</v>
      </c>
      <c r="E6" s="2">
        <f t="shared" si="9"/>
        <v>1.5109999999999999</v>
      </c>
      <c r="F6" s="3">
        <f t="shared" si="10"/>
        <v>1.5780000000000001</v>
      </c>
      <c r="G6" s="2">
        <f t="shared" si="11"/>
        <v>1.6439999999999999</v>
      </c>
      <c r="I6" s="1">
        <f>SUM(F9:F12)</f>
        <v>6.5120000000000005</v>
      </c>
      <c r="K6" s="14" t="s">
        <v>72</v>
      </c>
      <c r="L6" s="66">
        <v>1064.7506128892817</v>
      </c>
      <c r="M6" s="66">
        <v>997.9641779124679</v>
      </c>
      <c r="N6" s="66">
        <v>1131.5370478660952</v>
      </c>
      <c r="O6" s="1">
        <f t="shared" si="0"/>
        <v>997.96400000000006</v>
      </c>
      <c r="P6" s="1">
        <f t="shared" si="1"/>
        <v>1064.751</v>
      </c>
      <c r="Q6" s="1">
        <f t="shared" si="2"/>
        <v>1131.537</v>
      </c>
      <c r="R6" s="14" t="str">
        <f t="shared" si="6"/>
        <v>2022Q4</v>
      </c>
      <c r="S6" s="52">
        <v>1.5858507844187202</v>
      </c>
      <c r="T6" s="52">
        <v>1.512264639343494</v>
      </c>
      <c r="U6" s="52">
        <v>1.6594369294939464</v>
      </c>
      <c r="V6" s="1">
        <f t="shared" si="3"/>
        <v>1.512</v>
      </c>
      <c r="W6" s="1">
        <f t="shared" si="4"/>
        <v>1.5860000000000001</v>
      </c>
      <c r="X6" s="1">
        <f t="shared" si="5"/>
        <v>1.659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997.96400000000006</v>
      </c>
      <c r="C7" s="3">
        <f t="shared" si="8"/>
        <v>1064.751</v>
      </c>
      <c r="D7" s="2">
        <f t="shared" si="8"/>
        <v>1131.537</v>
      </c>
      <c r="E7" s="2">
        <f t="shared" si="9"/>
        <v>1.512</v>
      </c>
      <c r="F7" s="3">
        <f t="shared" si="10"/>
        <v>1.5860000000000001</v>
      </c>
      <c r="G7" s="2">
        <f t="shared" si="11"/>
        <v>1.659</v>
      </c>
      <c r="I7" s="1">
        <f>SUM(F13:F16)</f>
        <v>6.7130000000000001</v>
      </c>
      <c r="K7" s="14" t="s">
        <v>73</v>
      </c>
      <c r="L7" s="66">
        <v>1017.0033186035076</v>
      </c>
      <c r="M7" s="66">
        <v>948.7189064593058</v>
      </c>
      <c r="N7" s="66">
        <v>1085.2877307477097</v>
      </c>
      <c r="O7" s="1">
        <f t="shared" si="0"/>
        <v>948.71900000000005</v>
      </c>
      <c r="P7" s="1">
        <f t="shared" si="1"/>
        <v>1017.003</v>
      </c>
      <c r="Q7" s="1">
        <f t="shared" si="2"/>
        <v>1085.288</v>
      </c>
      <c r="R7" s="14" t="str">
        <f t="shared" si="6"/>
        <v>2023Q1</v>
      </c>
      <c r="S7" s="52">
        <v>1.5742141618604295</v>
      </c>
      <c r="T7" s="52">
        <v>1.4941961130335057</v>
      </c>
      <c r="U7" s="52">
        <v>1.6542322106873533</v>
      </c>
      <c r="V7" s="1">
        <f t="shared" si="3"/>
        <v>1.494</v>
      </c>
      <c r="W7" s="1">
        <f t="shared" si="4"/>
        <v>1.5740000000000001</v>
      </c>
      <c r="X7" s="1">
        <f t="shared" si="5"/>
        <v>1.6539999999999999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948.71900000000005</v>
      </c>
      <c r="C8" s="3">
        <f t="shared" si="8"/>
        <v>1017.003</v>
      </c>
      <c r="D8" s="2">
        <f t="shared" si="8"/>
        <v>1085.288</v>
      </c>
      <c r="E8" s="2">
        <f t="shared" si="9"/>
        <v>1.494</v>
      </c>
      <c r="F8" s="3">
        <f t="shared" si="10"/>
        <v>1.5740000000000001</v>
      </c>
      <c r="G8" s="2">
        <f t="shared" si="11"/>
        <v>1.6539999999999999</v>
      </c>
      <c r="I8" s="1">
        <f>SUM(F17:F20)</f>
        <v>6.9150000000000009</v>
      </c>
      <c r="K8" s="14" t="s">
        <v>74</v>
      </c>
      <c r="L8" s="66">
        <v>1076.012609189532</v>
      </c>
      <c r="M8" s="66">
        <v>1006.6613482326666</v>
      </c>
      <c r="N8" s="66">
        <v>1145.3638701463974</v>
      </c>
      <c r="O8" s="1">
        <f t="shared" si="0"/>
        <v>1006.6609999999999</v>
      </c>
      <c r="P8" s="1">
        <f t="shared" si="1"/>
        <v>1076.0129999999999</v>
      </c>
      <c r="Q8" s="1">
        <f t="shared" si="2"/>
        <v>1145.364</v>
      </c>
      <c r="R8" s="14" t="str">
        <f t="shared" si="6"/>
        <v>2023Q2</v>
      </c>
      <c r="S8" s="52">
        <v>1.6240170652412389</v>
      </c>
      <c r="T8" s="52">
        <v>1.5380471659746779</v>
      </c>
      <c r="U8" s="52">
        <v>1.7099869645077999</v>
      </c>
      <c r="V8" s="1">
        <f t="shared" si="3"/>
        <v>1.538</v>
      </c>
      <c r="W8" s="1">
        <f t="shared" si="4"/>
        <v>1.6240000000000001</v>
      </c>
      <c r="X8" s="1">
        <f t="shared" si="5"/>
        <v>1.71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1006.6609999999999</v>
      </c>
      <c r="C9" s="3">
        <f t="shared" si="8"/>
        <v>1076.0129999999999</v>
      </c>
      <c r="D9" s="2">
        <f t="shared" si="8"/>
        <v>1145.364</v>
      </c>
      <c r="E9" s="2">
        <f t="shared" si="9"/>
        <v>1.538</v>
      </c>
      <c r="F9" s="3">
        <f t="shared" si="10"/>
        <v>1.6240000000000001</v>
      </c>
      <c r="G9" s="2">
        <f t="shared" si="11"/>
        <v>1.71</v>
      </c>
      <c r="I9" s="1">
        <f>SUM(F21:F24)</f>
        <v>7.1159999999999997</v>
      </c>
      <c r="K9" s="14" t="s">
        <v>75</v>
      </c>
      <c r="L9" s="66">
        <v>1080.1434616142685</v>
      </c>
      <c r="M9" s="66">
        <v>1010.0281348135228</v>
      </c>
      <c r="N9" s="66">
        <v>1150.2587884150144</v>
      </c>
      <c r="O9" s="1">
        <f t="shared" si="0"/>
        <v>1010.028</v>
      </c>
      <c r="P9" s="1">
        <f t="shared" si="1"/>
        <v>1080.143</v>
      </c>
      <c r="Q9" s="1">
        <f t="shared" si="2"/>
        <v>1150.259</v>
      </c>
      <c r="R9" s="14" t="str">
        <f t="shared" si="6"/>
        <v>2023Q3</v>
      </c>
      <c r="S9" s="52">
        <v>1.6280501231643638</v>
      </c>
      <c r="T9" s="52">
        <v>1.5365145747773581</v>
      </c>
      <c r="U9" s="52">
        <v>1.7195856715513695</v>
      </c>
      <c r="V9" s="1">
        <f t="shared" si="3"/>
        <v>1.5369999999999999</v>
      </c>
      <c r="W9" s="1">
        <f t="shared" si="4"/>
        <v>1.6279999999999999</v>
      </c>
      <c r="X9" s="1">
        <f t="shared" si="5"/>
        <v>1.72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1010.028</v>
      </c>
      <c r="C10" s="3">
        <f t="shared" si="8"/>
        <v>1080.143</v>
      </c>
      <c r="D10" s="2">
        <f t="shared" si="8"/>
        <v>1150.259</v>
      </c>
      <c r="E10" s="2">
        <f t="shared" si="9"/>
        <v>1.5369999999999999</v>
      </c>
      <c r="F10" s="3">
        <f t="shared" si="10"/>
        <v>1.6279999999999999</v>
      </c>
      <c r="G10" s="2">
        <f t="shared" si="11"/>
        <v>1.72</v>
      </c>
      <c r="I10" s="1">
        <f>SUM(F25:F28)</f>
        <v>7.3159999999999998</v>
      </c>
      <c r="K10" s="14" t="s">
        <v>76</v>
      </c>
      <c r="L10" s="66">
        <v>1097.9167005364104</v>
      </c>
      <c r="M10" s="66">
        <v>1027.2520515404422</v>
      </c>
      <c r="N10" s="66">
        <v>1168.5813495323787</v>
      </c>
      <c r="O10" s="1">
        <f t="shared" si="0"/>
        <v>1027.252</v>
      </c>
      <c r="P10" s="1">
        <f t="shared" si="1"/>
        <v>1097.9169999999999</v>
      </c>
      <c r="Q10" s="1">
        <f t="shared" si="2"/>
        <v>1168.5809999999999</v>
      </c>
      <c r="R10" s="14" t="str">
        <f t="shared" si="6"/>
        <v>2023Q4</v>
      </c>
      <c r="S10" s="52">
        <v>1.6360788014854355</v>
      </c>
      <c r="T10" s="52">
        <v>1.5392971427047335</v>
      </c>
      <c r="U10" s="52">
        <v>1.7328604602661375</v>
      </c>
      <c r="V10" s="1">
        <f t="shared" si="3"/>
        <v>1.5389999999999999</v>
      </c>
      <c r="W10" s="1">
        <f t="shared" si="4"/>
        <v>1.6359999999999999</v>
      </c>
      <c r="X10" s="1">
        <f t="shared" si="5"/>
        <v>1.7330000000000001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1027.252</v>
      </c>
      <c r="C11" s="3">
        <f t="shared" si="8"/>
        <v>1097.9169999999999</v>
      </c>
      <c r="D11" s="2">
        <f t="shared" si="8"/>
        <v>1168.5809999999999</v>
      </c>
      <c r="E11" s="2">
        <f t="shared" si="9"/>
        <v>1.5389999999999999</v>
      </c>
      <c r="F11" s="3">
        <f t="shared" si="10"/>
        <v>1.6359999999999999</v>
      </c>
      <c r="G11" s="2">
        <f t="shared" si="11"/>
        <v>1.7330000000000001</v>
      </c>
      <c r="I11" s="1">
        <f>SUM(F29:F32)</f>
        <v>7.5169999999999995</v>
      </c>
      <c r="K11" s="14" t="s">
        <v>77</v>
      </c>
      <c r="L11" s="66">
        <v>1049.3753750816784</v>
      </c>
      <c r="M11" s="66">
        <v>978.31473286862183</v>
      </c>
      <c r="N11" s="66">
        <v>1120.4360172947347</v>
      </c>
      <c r="O11" s="1">
        <f t="shared" si="0"/>
        <v>978.31500000000005</v>
      </c>
      <c r="P11" s="1">
        <f t="shared" si="1"/>
        <v>1049.375</v>
      </c>
      <c r="Q11" s="1">
        <f t="shared" si="2"/>
        <v>1120.4359999999999</v>
      </c>
      <c r="R11" s="14" t="str">
        <f t="shared" si="6"/>
        <v>2024Q1</v>
      </c>
      <c r="S11" s="52">
        <v>1.6244420637003805</v>
      </c>
      <c r="T11" s="52">
        <v>1.5226843990230665</v>
      </c>
      <c r="U11" s="52">
        <v>1.7261997283776944</v>
      </c>
      <c r="V11" s="1">
        <f t="shared" si="3"/>
        <v>1.5229999999999999</v>
      </c>
      <c r="W11" s="1">
        <f t="shared" si="4"/>
        <v>1.6240000000000001</v>
      </c>
      <c r="X11" s="1">
        <f t="shared" si="5"/>
        <v>1.726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978.31500000000005</v>
      </c>
      <c r="C12" s="3">
        <f t="shared" si="8"/>
        <v>1049.375</v>
      </c>
      <c r="D12" s="2">
        <f t="shared" si="8"/>
        <v>1120.4359999999999</v>
      </c>
      <c r="E12" s="2">
        <f t="shared" si="9"/>
        <v>1.5229999999999999</v>
      </c>
      <c r="F12" s="3">
        <f t="shared" si="10"/>
        <v>1.6240000000000001</v>
      </c>
      <c r="G12" s="2">
        <f t="shared" si="11"/>
        <v>1.726</v>
      </c>
      <c r="K12" s="14" t="s">
        <v>78</v>
      </c>
      <c r="L12" s="66">
        <v>1107.7082384307357</v>
      </c>
      <c r="M12" s="66">
        <v>1036.361593628943</v>
      </c>
      <c r="N12" s="66">
        <v>1179.0548832325285</v>
      </c>
      <c r="O12" s="1">
        <f t="shared" si="0"/>
        <v>1036.3620000000001</v>
      </c>
      <c r="P12" s="1">
        <f t="shared" si="1"/>
        <v>1107.7080000000001</v>
      </c>
      <c r="Q12" s="1">
        <f t="shared" si="2"/>
        <v>1179.0550000000001</v>
      </c>
      <c r="R12" s="14" t="str">
        <f t="shared" si="6"/>
        <v>2024Q2</v>
      </c>
      <c r="S12" s="52">
        <v>1.6742449584137269</v>
      </c>
      <c r="T12" s="52">
        <v>1.5677435257294934</v>
      </c>
      <c r="U12" s="52">
        <v>1.7807463910979604</v>
      </c>
      <c r="V12" s="1">
        <f t="shared" si="3"/>
        <v>1.5680000000000001</v>
      </c>
      <c r="W12" s="1">
        <f t="shared" si="4"/>
        <v>1.6739999999999999</v>
      </c>
      <c r="X12" s="1">
        <f t="shared" si="5"/>
        <v>1.7809999999999999</v>
      </c>
    </row>
    <row r="13" spans="1:30" ht="15.5" thickTop="1" thickBot="1" x14ac:dyDescent="0.4">
      <c r="A13" s="5" t="str">
        <f t="shared" si="7"/>
        <v>2024Q2</v>
      </c>
      <c r="B13" s="2">
        <f t="shared" si="8"/>
        <v>1036.3620000000001</v>
      </c>
      <c r="C13" s="3">
        <f t="shared" si="8"/>
        <v>1107.7080000000001</v>
      </c>
      <c r="D13" s="2">
        <f t="shared" si="8"/>
        <v>1179.0550000000001</v>
      </c>
      <c r="E13" s="2">
        <f t="shared" si="9"/>
        <v>1.5680000000000001</v>
      </c>
      <c r="F13" s="3">
        <f t="shared" si="10"/>
        <v>1.6739999999999999</v>
      </c>
      <c r="G13" s="2">
        <f t="shared" si="11"/>
        <v>1.7809999999999999</v>
      </c>
      <c r="K13" s="14" t="s">
        <v>79</v>
      </c>
      <c r="L13" s="66">
        <v>1111.2628492357499</v>
      </c>
      <c r="M13" s="66">
        <v>1039.7093634366204</v>
      </c>
      <c r="N13" s="66">
        <v>1182.8163350348793</v>
      </c>
      <c r="O13" s="1">
        <f t="shared" si="0"/>
        <v>1039.7090000000001</v>
      </c>
      <c r="P13" s="1">
        <f t="shared" si="1"/>
        <v>1111.2629999999999</v>
      </c>
      <c r="Q13" s="1">
        <f t="shared" si="2"/>
        <v>1182.816</v>
      </c>
      <c r="R13" s="14" t="str">
        <f t="shared" si="6"/>
        <v>2024Q3</v>
      </c>
      <c r="S13" s="52">
        <v>1.6782780156848771</v>
      </c>
      <c r="T13" s="52">
        <v>1.5672352851396902</v>
      </c>
      <c r="U13" s="52">
        <v>1.789320746230064</v>
      </c>
      <c r="V13" s="1">
        <f t="shared" si="3"/>
        <v>1.5669999999999999</v>
      </c>
      <c r="W13" s="1">
        <f t="shared" si="4"/>
        <v>1.6779999999999999</v>
      </c>
      <c r="X13" s="1">
        <f t="shared" si="5"/>
        <v>1.7889999999999999</v>
      </c>
    </row>
    <row r="14" spans="1:30" ht="15.5" thickTop="1" thickBot="1" x14ac:dyDescent="0.4">
      <c r="A14" s="5" t="str">
        <f t="shared" si="7"/>
        <v>2024Q3</v>
      </c>
      <c r="B14" s="2">
        <f t="shared" si="8"/>
        <v>1039.7090000000001</v>
      </c>
      <c r="C14" s="3">
        <f t="shared" si="8"/>
        <v>1111.2629999999999</v>
      </c>
      <c r="D14" s="2">
        <f t="shared" si="8"/>
        <v>1182.816</v>
      </c>
      <c r="E14" s="2">
        <f t="shared" si="9"/>
        <v>1.5669999999999999</v>
      </c>
      <c r="F14" s="3">
        <f t="shared" si="10"/>
        <v>1.6779999999999999</v>
      </c>
      <c r="G14" s="2">
        <f t="shared" si="11"/>
        <v>1.7889999999999999</v>
      </c>
      <c r="K14" s="14" t="s">
        <v>84</v>
      </c>
      <c r="L14" s="66">
        <v>1128.545193666728</v>
      </c>
      <c r="M14" s="66">
        <v>1056.8419735457082</v>
      </c>
      <c r="N14" s="66">
        <v>1200.2484137877477</v>
      </c>
      <c r="O14" s="1">
        <f t="shared" si="0"/>
        <v>1056.8420000000001</v>
      </c>
      <c r="P14" s="1">
        <f t="shared" si="1"/>
        <v>1128.5450000000001</v>
      </c>
      <c r="Q14" s="1">
        <f t="shared" si="2"/>
        <v>1200.248</v>
      </c>
      <c r="R14" s="14" t="str">
        <f t="shared" si="6"/>
        <v>2024Q4</v>
      </c>
      <c r="S14" s="52">
        <v>1.6863066939569065</v>
      </c>
      <c r="T14" s="52">
        <v>1.5709012311309991</v>
      </c>
      <c r="U14" s="52">
        <v>1.8017121567828138</v>
      </c>
      <c r="V14" s="1">
        <f t="shared" si="3"/>
        <v>1.571</v>
      </c>
      <c r="W14" s="1">
        <f t="shared" si="4"/>
        <v>1.6859999999999999</v>
      </c>
      <c r="X14" s="1">
        <f t="shared" si="5"/>
        <v>1.802</v>
      </c>
    </row>
    <row r="15" spans="1:30" ht="15.5" thickTop="1" thickBot="1" x14ac:dyDescent="0.4">
      <c r="A15" s="5" t="str">
        <f t="shared" si="7"/>
        <v>2024Q4</v>
      </c>
      <c r="B15" s="2">
        <f t="shared" si="8"/>
        <v>1056.8420000000001</v>
      </c>
      <c r="C15" s="3">
        <f t="shared" si="8"/>
        <v>1128.5450000000001</v>
      </c>
      <c r="D15" s="2">
        <f t="shared" si="8"/>
        <v>1200.248</v>
      </c>
      <c r="E15" s="2">
        <f t="shared" si="9"/>
        <v>1.571</v>
      </c>
      <c r="F15" s="3">
        <f t="shared" si="10"/>
        <v>1.6859999999999999</v>
      </c>
      <c r="G15" s="2">
        <f t="shared" si="11"/>
        <v>1.802</v>
      </c>
      <c r="K15" s="14" t="s">
        <v>81</v>
      </c>
      <c r="L15" s="66">
        <v>1079.5856800888068</v>
      </c>
      <c r="M15" s="66">
        <v>1007.7739907841795</v>
      </c>
      <c r="N15" s="66">
        <v>1151.397369393434</v>
      </c>
      <c r="O15" s="1">
        <f t="shared" si="0"/>
        <v>1007.774</v>
      </c>
      <c r="P15" s="1">
        <f t="shared" si="1"/>
        <v>1079.586</v>
      </c>
      <c r="Q15" s="1">
        <f t="shared" si="2"/>
        <v>1151.3969999999999</v>
      </c>
      <c r="R15" s="14" t="str">
        <f t="shared" si="6"/>
        <v>2025Q1</v>
      </c>
      <c r="S15" s="52">
        <v>1.6746699561681628</v>
      </c>
      <c r="T15" s="52">
        <v>1.5550607855615897</v>
      </c>
      <c r="U15" s="52">
        <v>1.794279126774736</v>
      </c>
      <c r="V15" s="1">
        <f t="shared" si="3"/>
        <v>1.5549999999999999</v>
      </c>
      <c r="W15" s="1">
        <f t="shared" si="4"/>
        <v>1.675</v>
      </c>
      <c r="X15" s="1">
        <f t="shared" si="5"/>
        <v>1.794</v>
      </c>
    </row>
    <row r="16" spans="1:30" ht="15.5" thickTop="1" thickBot="1" x14ac:dyDescent="0.4">
      <c r="A16" s="5" t="str">
        <f t="shared" ref="A16:A19" si="12">K15</f>
        <v>2025Q1</v>
      </c>
      <c r="B16" s="2">
        <f t="shared" si="8"/>
        <v>1007.774</v>
      </c>
      <c r="C16" s="3">
        <f t="shared" si="8"/>
        <v>1079.586</v>
      </c>
      <c r="D16" s="2">
        <f t="shared" si="8"/>
        <v>1151.3969999999999</v>
      </c>
      <c r="E16" s="2">
        <f t="shared" ref="E16:E19" si="13">V15</f>
        <v>1.5549999999999999</v>
      </c>
      <c r="F16" s="3">
        <f t="shared" ref="F16:F19" si="14">W15</f>
        <v>1.675</v>
      </c>
      <c r="G16" s="2">
        <f t="shared" ref="G16:G19" si="15">X15</f>
        <v>1.794</v>
      </c>
      <c r="K16" s="14" t="s">
        <v>82</v>
      </c>
      <c r="L16" s="66">
        <v>1137.5622931447274</v>
      </c>
      <c r="M16" s="66">
        <v>1065.6719884325589</v>
      </c>
      <c r="N16" s="66">
        <v>1209.4525978568959</v>
      </c>
      <c r="O16" s="1">
        <f t="shared" si="0"/>
        <v>1065.672</v>
      </c>
      <c r="P16" s="1">
        <f t="shared" si="1"/>
        <v>1137.5619999999999</v>
      </c>
      <c r="Q16" s="1">
        <f t="shared" si="2"/>
        <v>1209.453</v>
      </c>
      <c r="R16" s="14" t="str">
        <f t="shared" si="6"/>
        <v>2025Q2</v>
      </c>
      <c r="S16" s="52">
        <v>1.7244728508812313</v>
      </c>
      <c r="T16" s="52">
        <v>1.6008027795772866</v>
      </c>
      <c r="U16" s="52">
        <v>1.848142922185176</v>
      </c>
      <c r="V16" s="1">
        <f t="shared" si="3"/>
        <v>1.601</v>
      </c>
      <c r="W16" s="1">
        <f t="shared" si="4"/>
        <v>1.724</v>
      </c>
      <c r="X16" s="1">
        <f t="shared" si="5"/>
        <v>1.8480000000000001</v>
      </c>
    </row>
    <row r="17" spans="1:24" ht="15.5" thickTop="1" thickBot="1" x14ac:dyDescent="0.4">
      <c r="A17" s="5" t="str">
        <f t="shared" si="12"/>
        <v>2025Q2</v>
      </c>
      <c r="B17" s="2">
        <f t="shared" si="8"/>
        <v>1065.672</v>
      </c>
      <c r="C17" s="3">
        <f t="shared" si="8"/>
        <v>1137.5619999999999</v>
      </c>
      <c r="D17" s="2">
        <f t="shared" si="8"/>
        <v>1209.453</v>
      </c>
      <c r="E17" s="2">
        <f t="shared" si="13"/>
        <v>1.601</v>
      </c>
      <c r="F17" s="3">
        <f t="shared" si="14"/>
        <v>1.724</v>
      </c>
      <c r="G17" s="2">
        <f t="shared" si="15"/>
        <v>1.8480000000000001</v>
      </c>
      <c r="K17" s="14" t="s">
        <v>83</v>
      </c>
      <c r="L17" s="66">
        <v>1140.8134178765545</v>
      </c>
      <c r="M17" s="66">
        <v>1068.8661144468902</v>
      </c>
      <c r="N17" s="66">
        <v>1212.7607213062188</v>
      </c>
      <c r="O17" s="1">
        <f t="shared" si="0"/>
        <v>1068.866</v>
      </c>
      <c r="P17" s="1">
        <f t="shared" si="1"/>
        <v>1140.8130000000001</v>
      </c>
      <c r="Q17" s="1">
        <f t="shared" si="2"/>
        <v>1212.761</v>
      </c>
      <c r="R17" s="14" t="str">
        <f t="shared" si="6"/>
        <v>2025Q3</v>
      </c>
      <c r="S17" s="52">
        <v>1.7285059081523608</v>
      </c>
      <c r="T17" s="52">
        <v>1.6009041080888307</v>
      </c>
      <c r="U17" s="52">
        <v>1.856107708215891</v>
      </c>
      <c r="V17" s="1">
        <f t="shared" si="3"/>
        <v>1.601</v>
      </c>
      <c r="W17" s="1">
        <f t="shared" si="4"/>
        <v>1.7290000000000001</v>
      </c>
      <c r="X17" s="1">
        <f t="shared" si="5"/>
        <v>1.8560000000000001</v>
      </c>
    </row>
    <row r="18" spans="1:24" ht="15.5" thickTop="1" thickBot="1" x14ac:dyDescent="0.4">
      <c r="A18" s="5" t="str">
        <f t="shared" si="12"/>
        <v>2025Q3</v>
      </c>
      <c r="B18" s="2">
        <f t="shared" si="8"/>
        <v>1068.866</v>
      </c>
      <c r="C18" s="3">
        <f t="shared" si="8"/>
        <v>1140.8130000000001</v>
      </c>
      <c r="D18" s="2">
        <f t="shared" si="8"/>
        <v>1212.761</v>
      </c>
      <c r="E18" s="2">
        <f t="shared" si="13"/>
        <v>1.601</v>
      </c>
      <c r="F18" s="3">
        <f t="shared" si="14"/>
        <v>1.7290000000000001</v>
      </c>
      <c r="G18" s="2">
        <f t="shared" si="15"/>
        <v>1.8560000000000001</v>
      </c>
      <c r="K18" s="14" t="s">
        <v>80</v>
      </c>
      <c r="L18" s="66">
        <v>1157.8372255473032</v>
      </c>
      <c r="M18" s="66">
        <v>1085.8485854608075</v>
      </c>
      <c r="N18" s="66">
        <v>1229.8258656337989</v>
      </c>
      <c r="O18" s="1">
        <f t="shared" si="0"/>
        <v>1085.8489999999999</v>
      </c>
      <c r="P18" s="1">
        <f t="shared" si="1"/>
        <v>1157.837</v>
      </c>
      <c r="Q18" s="1">
        <f t="shared" si="2"/>
        <v>1229.826</v>
      </c>
      <c r="R18" s="14" t="str">
        <f t="shared" si="6"/>
        <v>2025Q4</v>
      </c>
      <c r="S18" s="52">
        <v>1.7365345864243888</v>
      </c>
      <c r="T18" s="52">
        <v>1.6051186352518483</v>
      </c>
      <c r="U18" s="52">
        <v>1.8679505375969294</v>
      </c>
      <c r="V18" s="1">
        <f t="shared" si="3"/>
        <v>1.605</v>
      </c>
      <c r="W18" s="1">
        <f t="shared" si="4"/>
        <v>1.7370000000000001</v>
      </c>
      <c r="X18" s="1">
        <f t="shared" si="5"/>
        <v>1.8680000000000001</v>
      </c>
    </row>
    <row r="19" spans="1:24" ht="15.5" thickTop="1" thickBot="1" x14ac:dyDescent="0.4">
      <c r="A19" s="5" t="str">
        <f t="shared" si="12"/>
        <v>2025Q4</v>
      </c>
      <c r="B19" s="2">
        <f t="shared" si="8"/>
        <v>1085.8489999999999</v>
      </c>
      <c r="C19" s="3">
        <f t="shared" si="8"/>
        <v>1157.837</v>
      </c>
      <c r="D19" s="2">
        <f t="shared" si="8"/>
        <v>1229.826</v>
      </c>
      <c r="E19" s="2">
        <f t="shared" si="13"/>
        <v>1.605</v>
      </c>
      <c r="F19" s="3">
        <f t="shared" si="14"/>
        <v>1.7370000000000001</v>
      </c>
      <c r="G19" s="2">
        <f t="shared" si="15"/>
        <v>1.8680000000000001</v>
      </c>
      <c r="K19" s="14" t="s">
        <v>92</v>
      </c>
      <c r="L19" s="66">
        <v>1108.6574670807515</v>
      </c>
      <c r="M19" s="66">
        <v>1036.6388431522337</v>
      </c>
      <c r="N19" s="66">
        <v>1180.6760910092694</v>
      </c>
      <c r="O19" s="1">
        <f t="shared" si="0"/>
        <v>1036.6389999999999</v>
      </c>
      <c r="P19" s="1">
        <f t="shared" si="1"/>
        <v>1108.6569999999999</v>
      </c>
      <c r="Q19" s="1">
        <f t="shared" si="2"/>
        <v>1180.6759999999999</v>
      </c>
      <c r="R19" s="14" t="str">
        <f t="shared" si="6"/>
        <v>2026Q1</v>
      </c>
      <c r="S19" s="52">
        <v>1.7248978486356445</v>
      </c>
      <c r="T19" s="52">
        <v>1.5897753669173385</v>
      </c>
      <c r="U19" s="52">
        <v>1.8600203303539506</v>
      </c>
      <c r="V19" s="1">
        <f t="shared" si="3"/>
        <v>1.59</v>
      </c>
      <c r="W19" s="1">
        <f t="shared" si="4"/>
        <v>1.7250000000000001</v>
      </c>
      <c r="X19" s="1">
        <f t="shared" si="5"/>
        <v>1.86</v>
      </c>
    </row>
    <row r="20" spans="1:24" ht="15.5" thickTop="1" thickBot="1" x14ac:dyDescent="0.4">
      <c r="A20" s="5" t="str">
        <f t="shared" ref="A20:A23" si="16">K19</f>
        <v>2026Q1</v>
      </c>
      <c r="B20" s="2">
        <f t="shared" si="8"/>
        <v>1036.6389999999999</v>
      </c>
      <c r="C20" s="3">
        <f t="shared" si="8"/>
        <v>1108.6569999999999</v>
      </c>
      <c r="D20" s="2">
        <f t="shared" si="8"/>
        <v>1180.6759999999999</v>
      </c>
      <c r="E20" s="2">
        <f t="shared" ref="E20:E23" si="17">V19</f>
        <v>1.59</v>
      </c>
      <c r="F20" s="3">
        <f t="shared" ref="F20:F23" si="18">W19</f>
        <v>1.7250000000000001</v>
      </c>
      <c r="G20" s="2">
        <f t="shared" ref="G20:G23" si="19">X19</f>
        <v>1.86</v>
      </c>
      <c r="K20" s="14" t="s">
        <v>93</v>
      </c>
      <c r="L20" s="66">
        <v>1166.4464557117171</v>
      </c>
      <c r="M20" s="66">
        <v>1094.4060798251469</v>
      </c>
      <c r="N20" s="66">
        <v>1238.4868315982874</v>
      </c>
      <c r="O20" s="1">
        <f t="shared" si="0"/>
        <v>1094.4059999999999</v>
      </c>
      <c r="P20" s="1">
        <f t="shared" si="1"/>
        <v>1166.4459999999999</v>
      </c>
      <c r="Q20" s="1">
        <f t="shared" si="2"/>
        <v>1238.4870000000001</v>
      </c>
      <c r="R20" s="14" t="str">
        <f t="shared" si="6"/>
        <v>2026Q2</v>
      </c>
      <c r="S20" s="52">
        <v>1.7747007433487134</v>
      </c>
      <c r="T20" s="52">
        <v>1.6359707252962226</v>
      </c>
      <c r="U20" s="52">
        <v>1.9134307614012043</v>
      </c>
      <c r="V20" s="1">
        <f t="shared" si="3"/>
        <v>1.6359999999999999</v>
      </c>
      <c r="W20" s="1">
        <f t="shared" si="4"/>
        <v>1.7749999999999999</v>
      </c>
      <c r="X20" s="1">
        <f t="shared" si="5"/>
        <v>1.913</v>
      </c>
    </row>
    <row r="21" spans="1:24" ht="15.5" thickTop="1" thickBot="1" x14ac:dyDescent="0.4">
      <c r="A21" s="5" t="str">
        <f t="shared" si="16"/>
        <v>2026Q2</v>
      </c>
      <c r="B21" s="2">
        <f t="shared" ref="B21:D35" si="20">O20</f>
        <v>1094.4059999999999</v>
      </c>
      <c r="C21" s="3">
        <f t="shared" si="20"/>
        <v>1166.4459999999999</v>
      </c>
      <c r="D21" s="2">
        <f t="shared" si="20"/>
        <v>1238.4870000000001</v>
      </c>
      <c r="E21" s="2">
        <f t="shared" si="17"/>
        <v>1.6359999999999999</v>
      </c>
      <c r="F21" s="3">
        <f t="shared" si="18"/>
        <v>1.7749999999999999</v>
      </c>
      <c r="G21" s="2">
        <f t="shared" si="19"/>
        <v>1.913</v>
      </c>
      <c r="K21" s="14" t="s">
        <v>94</v>
      </c>
      <c r="L21" s="66">
        <v>1169.5377450663932</v>
      </c>
      <c r="M21" s="66">
        <v>1097.4815875340494</v>
      </c>
      <c r="N21" s="66">
        <v>1241.593902598737</v>
      </c>
      <c r="O21" s="1">
        <f t="shared" si="0"/>
        <v>1097.482</v>
      </c>
      <c r="P21" s="1">
        <f t="shared" si="1"/>
        <v>1169.538</v>
      </c>
      <c r="Q21" s="1">
        <f t="shared" si="2"/>
        <v>1241.5940000000001</v>
      </c>
      <c r="R21" s="14" t="str">
        <f t="shared" si="6"/>
        <v>2026Q3</v>
      </c>
      <c r="S21" s="52">
        <v>1.778733800619843</v>
      </c>
      <c r="T21" s="52">
        <v>1.636487708399442</v>
      </c>
      <c r="U21" s="52">
        <v>1.920979892840244</v>
      </c>
      <c r="V21" s="1">
        <f t="shared" si="3"/>
        <v>1.6359999999999999</v>
      </c>
      <c r="W21" s="1">
        <f t="shared" si="4"/>
        <v>1.7789999999999999</v>
      </c>
      <c r="X21" s="1">
        <f t="shared" si="5"/>
        <v>1.921</v>
      </c>
    </row>
    <row r="22" spans="1:24" ht="15.5" thickTop="1" thickBot="1" x14ac:dyDescent="0.4">
      <c r="A22" s="5" t="str">
        <f t="shared" si="16"/>
        <v>2026Q3</v>
      </c>
      <c r="B22" s="2">
        <f t="shared" si="20"/>
        <v>1097.482</v>
      </c>
      <c r="C22" s="3">
        <f t="shared" si="20"/>
        <v>1169.538</v>
      </c>
      <c r="D22" s="2">
        <f t="shared" si="20"/>
        <v>1241.5940000000001</v>
      </c>
      <c r="E22" s="2">
        <f t="shared" si="17"/>
        <v>1.6359999999999999</v>
      </c>
      <c r="F22" s="3">
        <f t="shared" si="18"/>
        <v>1.7789999999999999</v>
      </c>
      <c r="G22" s="2">
        <f t="shared" si="19"/>
        <v>1.921</v>
      </c>
      <c r="K22" s="14" t="s">
        <v>95</v>
      </c>
      <c r="L22" s="66">
        <v>1186.4253905727805</v>
      </c>
      <c r="M22" s="66">
        <v>1114.3577822018046</v>
      </c>
      <c r="N22" s="66">
        <v>1258.4929989437564</v>
      </c>
      <c r="O22" s="1">
        <f t="shared" si="0"/>
        <v>1114.3579999999999</v>
      </c>
      <c r="P22" s="1">
        <f t="shared" si="1"/>
        <v>1186.425</v>
      </c>
      <c r="Q22" s="1">
        <f t="shared" si="2"/>
        <v>1258.4929999999999</v>
      </c>
      <c r="R22" s="14" t="str">
        <f t="shared" si="6"/>
        <v>2026Q4</v>
      </c>
      <c r="S22" s="52">
        <v>1.7867624788918706</v>
      </c>
      <c r="T22" s="52">
        <v>1.6410851519150715</v>
      </c>
      <c r="U22" s="52">
        <v>1.9324398058686696</v>
      </c>
      <c r="V22" s="1">
        <f t="shared" si="3"/>
        <v>1.641</v>
      </c>
      <c r="W22" s="1">
        <f t="shared" si="4"/>
        <v>1.7869999999999999</v>
      </c>
      <c r="X22" s="1">
        <f t="shared" si="5"/>
        <v>1.9319999999999999</v>
      </c>
    </row>
    <row r="23" spans="1:24" ht="15.5" thickTop="1" thickBot="1" x14ac:dyDescent="0.4">
      <c r="A23" s="5" t="str">
        <f t="shared" si="16"/>
        <v>2026Q4</v>
      </c>
      <c r="B23" s="2">
        <f t="shared" si="20"/>
        <v>1114.3579999999999</v>
      </c>
      <c r="C23" s="3">
        <f t="shared" si="20"/>
        <v>1186.425</v>
      </c>
      <c r="D23" s="2">
        <f t="shared" si="20"/>
        <v>1258.4929999999999</v>
      </c>
      <c r="E23" s="2">
        <f t="shared" si="17"/>
        <v>1.641</v>
      </c>
      <c r="F23" s="3">
        <f t="shared" si="18"/>
        <v>1.7869999999999999</v>
      </c>
      <c r="G23" s="2">
        <f t="shared" si="19"/>
        <v>1.9319999999999999</v>
      </c>
      <c r="K23" s="14" t="s">
        <v>96</v>
      </c>
      <c r="L23" s="66">
        <v>1137.1296369158397</v>
      </c>
      <c r="M23" s="66">
        <v>1065.0537196200801</v>
      </c>
      <c r="N23" s="66">
        <v>1209.2055542115993</v>
      </c>
      <c r="O23" s="1">
        <f t="shared" si="0"/>
        <v>1065.0540000000001</v>
      </c>
      <c r="P23" s="1">
        <f t="shared" si="1"/>
        <v>1137.1300000000001</v>
      </c>
      <c r="Q23" s="1">
        <f t="shared" si="2"/>
        <v>1209.2059999999999</v>
      </c>
      <c r="R23" s="14" t="str">
        <f t="shared" si="6"/>
        <v>2027Q1</v>
      </c>
      <c r="S23" s="52">
        <v>1.7751257411031267</v>
      </c>
      <c r="T23" s="52">
        <v>1.6260961586765641</v>
      </c>
      <c r="U23" s="52">
        <v>1.9241553235296893</v>
      </c>
      <c r="V23" s="1">
        <f t="shared" si="3"/>
        <v>1.6259999999999999</v>
      </c>
      <c r="W23" s="1">
        <f t="shared" si="4"/>
        <v>1.7749999999999999</v>
      </c>
      <c r="X23" s="1">
        <f t="shared" si="5"/>
        <v>1.9239999999999999</v>
      </c>
    </row>
    <row r="24" spans="1:24" ht="15.5" thickTop="1" thickBot="1" x14ac:dyDescent="0.4">
      <c r="A24" s="5" t="str">
        <f t="shared" ref="A24:A27" si="21">K23</f>
        <v>2027Q1</v>
      </c>
      <c r="B24" s="2">
        <f t="shared" si="20"/>
        <v>1065.0540000000001</v>
      </c>
      <c r="C24" s="3">
        <f t="shared" si="20"/>
        <v>1137.1300000000001</v>
      </c>
      <c r="D24" s="2">
        <f t="shared" si="20"/>
        <v>1209.2059999999999</v>
      </c>
      <c r="E24" s="2">
        <f t="shared" ref="E24:E27" si="22">V23</f>
        <v>1.6259999999999999</v>
      </c>
      <c r="F24" s="3">
        <f t="shared" ref="F24:F27" si="23">W23</f>
        <v>1.7749999999999999</v>
      </c>
      <c r="G24" s="2">
        <f t="shared" ref="G24:G27" si="24">X23</f>
        <v>1.9239999999999999</v>
      </c>
      <c r="K24" s="14" t="s">
        <v>97</v>
      </c>
      <c r="L24" s="66">
        <v>1194.8198104004935</v>
      </c>
      <c r="M24" s="66">
        <v>1122.7378637796353</v>
      </c>
      <c r="N24" s="66">
        <v>1266.9017570213516</v>
      </c>
      <c r="O24" s="1">
        <f t="shared" si="0"/>
        <v>1122.7380000000001</v>
      </c>
      <c r="P24" s="1">
        <f t="shared" si="1"/>
        <v>1194.82</v>
      </c>
      <c r="Q24" s="1">
        <f t="shared" si="2"/>
        <v>1266.902</v>
      </c>
      <c r="R24" s="14" t="str">
        <f t="shared" si="6"/>
        <v>2027Q2</v>
      </c>
      <c r="S24" s="52">
        <v>1.8249286358161956</v>
      </c>
      <c r="T24" s="52">
        <v>1.6726205622239987</v>
      </c>
      <c r="U24" s="52">
        <v>1.9772367094083925</v>
      </c>
      <c r="V24" s="1">
        <f t="shared" si="3"/>
        <v>1.673</v>
      </c>
      <c r="W24" s="1">
        <f t="shared" si="4"/>
        <v>1.825</v>
      </c>
      <c r="X24" s="1">
        <f t="shared" si="5"/>
        <v>1.9770000000000001</v>
      </c>
    </row>
    <row r="25" spans="1:24" ht="15.5" thickTop="1" thickBot="1" x14ac:dyDescent="0.4">
      <c r="A25" s="5" t="str">
        <f t="shared" si="21"/>
        <v>2027Q2</v>
      </c>
      <c r="B25" s="2">
        <f t="shared" si="20"/>
        <v>1122.7380000000001</v>
      </c>
      <c r="C25" s="3">
        <f t="shared" si="20"/>
        <v>1194.82</v>
      </c>
      <c r="D25" s="2">
        <f t="shared" si="20"/>
        <v>1266.902</v>
      </c>
      <c r="E25" s="2">
        <f t="shared" si="22"/>
        <v>1.673</v>
      </c>
      <c r="F25" s="3">
        <f t="shared" si="23"/>
        <v>1.825</v>
      </c>
      <c r="G25" s="2">
        <f t="shared" si="24"/>
        <v>1.9770000000000001</v>
      </c>
      <c r="K25" s="14" t="s">
        <v>98</v>
      </c>
      <c r="L25" s="66">
        <v>1197.8269201171365</v>
      </c>
      <c r="M25" s="66">
        <v>1125.7405982306043</v>
      </c>
      <c r="N25" s="66">
        <v>1269.9132420036688</v>
      </c>
      <c r="O25" s="1">
        <f t="shared" si="0"/>
        <v>1125.741</v>
      </c>
      <c r="P25" s="1">
        <f t="shared" si="1"/>
        <v>1197.827</v>
      </c>
      <c r="Q25" s="1">
        <f t="shared" si="2"/>
        <v>1269.913</v>
      </c>
      <c r="R25" s="14" t="str">
        <f t="shared" si="6"/>
        <v>2027Q3</v>
      </c>
      <c r="S25" s="52">
        <v>1.8289616930873247</v>
      </c>
      <c r="T25" s="52">
        <v>1.6734442274299379</v>
      </c>
      <c r="U25" s="52">
        <v>1.9844791587447115</v>
      </c>
      <c r="V25" s="1">
        <f t="shared" si="3"/>
        <v>1.673</v>
      </c>
      <c r="W25" s="1">
        <f t="shared" si="4"/>
        <v>1.829</v>
      </c>
      <c r="X25" s="1">
        <f t="shared" si="5"/>
        <v>1.984</v>
      </c>
    </row>
    <row r="26" spans="1:24" ht="15.5" thickTop="1" thickBot="1" x14ac:dyDescent="0.4">
      <c r="A26" s="5" t="str">
        <f t="shared" si="21"/>
        <v>2027Q3</v>
      </c>
      <c r="B26" s="2">
        <f t="shared" si="20"/>
        <v>1125.741</v>
      </c>
      <c r="C26" s="3">
        <f t="shared" si="20"/>
        <v>1197.827</v>
      </c>
      <c r="D26" s="2">
        <f t="shared" si="20"/>
        <v>1269.913</v>
      </c>
      <c r="E26" s="2">
        <f t="shared" si="22"/>
        <v>1.673</v>
      </c>
      <c r="F26" s="3">
        <f t="shared" si="23"/>
        <v>1.829</v>
      </c>
      <c r="G26" s="2">
        <f t="shared" si="24"/>
        <v>1.984</v>
      </c>
      <c r="K26" s="14" t="s">
        <v>99</v>
      </c>
      <c r="L26" s="66">
        <v>1214.6428538290884</v>
      </c>
      <c r="M26" s="66">
        <v>1142.5533569058009</v>
      </c>
      <c r="N26" s="66">
        <v>1286.7323507523759</v>
      </c>
      <c r="O26" s="1">
        <f t="shared" si="0"/>
        <v>1142.5530000000001</v>
      </c>
      <c r="P26" s="1">
        <f t="shared" si="1"/>
        <v>1214.643</v>
      </c>
      <c r="Q26" s="1">
        <f t="shared" si="2"/>
        <v>1286.732</v>
      </c>
      <c r="R26" s="14" t="str">
        <f t="shared" si="6"/>
        <v>2027Q4</v>
      </c>
      <c r="S26" s="52">
        <v>1.8369903713593527</v>
      </c>
      <c r="T26" s="52">
        <v>1.6783284195006072</v>
      </c>
      <c r="U26" s="52">
        <v>1.9956523232180983</v>
      </c>
      <c r="V26" s="1">
        <f t="shared" si="3"/>
        <v>1.6779999999999999</v>
      </c>
      <c r="W26" s="1">
        <f t="shared" si="4"/>
        <v>1.837</v>
      </c>
      <c r="X26" s="1">
        <f t="shared" si="5"/>
        <v>1.996</v>
      </c>
    </row>
    <row r="27" spans="1:24" ht="15.5" thickTop="1" thickBot="1" x14ac:dyDescent="0.4">
      <c r="A27" s="5" t="str">
        <f t="shared" si="21"/>
        <v>2027Q4</v>
      </c>
      <c r="B27" s="2">
        <f t="shared" si="20"/>
        <v>1142.5530000000001</v>
      </c>
      <c r="C27" s="3">
        <f t="shared" si="20"/>
        <v>1214.643</v>
      </c>
      <c r="D27" s="2">
        <f t="shared" si="20"/>
        <v>1286.732</v>
      </c>
      <c r="E27" s="2">
        <f t="shared" si="22"/>
        <v>1.6779999999999999</v>
      </c>
      <c r="F27" s="3">
        <f t="shared" si="23"/>
        <v>1.837</v>
      </c>
      <c r="G27" s="2">
        <f t="shared" si="24"/>
        <v>1.996</v>
      </c>
      <c r="K27" s="14" t="s">
        <v>100</v>
      </c>
      <c r="L27" s="66">
        <v>1165.2860096093784</v>
      </c>
      <c r="M27" s="66">
        <v>1093.1942085966966</v>
      </c>
      <c r="N27" s="66">
        <v>1237.3778106220602</v>
      </c>
      <c r="O27" s="1">
        <f t="shared" si="0"/>
        <v>1093.194</v>
      </c>
      <c r="P27" s="1">
        <f t="shared" si="1"/>
        <v>1165.2860000000001</v>
      </c>
      <c r="Q27" s="1">
        <f t="shared" si="2"/>
        <v>1237.3779999999999</v>
      </c>
      <c r="R27" s="14" t="str">
        <f t="shared" si="6"/>
        <v>2028Q1</v>
      </c>
      <c r="S27" s="52">
        <v>1.8253536335706089</v>
      </c>
      <c r="T27" s="52">
        <v>1.6636083158307826</v>
      </c>
      <c r="U27" s="52">
        <v>1.9870989513104351</v>
      </c>
      <c r="V27" s="1">
        <f t="shared" si="3"/>
        <v>1.6639999999999999</v>
      </c>
      <c r="W27" s="1">
        <f t="shared" si="4"/>
        <v>1.825</v>
      </c>
      <c r="X27" s="1">
        <f t="shared" si="5"/>
        <v>1.9870000000000001</v>
      </c>
    </row>
    <row r="28" spans="1:24" ht="15.5" thickTop="1" thickBot="1" x14ac:dyDescent="0.4">
      <c r="A28" s="5" t="str">
        <f t="shared" ref="A28:A31" si="25">K27</f>
        <v>2028Q1</v>
      </c>
      <c r="B28" s="2">
        <f t="shared" si="20"/>
        <v>1093.194</v>
      </c>
      <c r="C28" s="3">
        <f t="shared" si="20"/>
        <v>1165.2860000000001</v>
      </c>
      <c r="D28" s="2">
        <f t="shared" si="20"/>
        <v>1237.3779999999999</v>
      </c>
      <c r="E28" s="2">
        <f t="shared" ref="E28:E31" si="26">V27</f>
        <v>1.6639999999999999</v>
      </c>
      <c r="F28" s="3">
        <f t="shared" ref="F28:F31" si="27">W27</f>
        <v>1.825</v>
      </c>
      <c r="G28" s="2">
        <f t="shared" ref="G28:G31" si="28">X27</f>
        <v>1.9870000000000001</v>
      </c>
      <c r="K28" s="14" t="s">
        <v>101</v>
      </c>
      <c r="L28" s="66">
        <v>1222.9241406526342</v>
      </c>
      <c r="M28" s="66">
        <v>1150.830667570086</v>
      </c>
      <c r="N28" s="66">
        <v>1295.0176137351823</v>
      </c>
      <c r="O28" s="1">
        <f t="shared" si="0"/>
        <v>1150.8309999999999</v>
      </c>
      <c r="P28" s="1">
        <f t="shared" si="1"/>
        <v>1222.924</v>
      </c>
      <c r="Q28" s="1">
        <f t="shared" si="2"/>
        <v>1295.018</v>
      </c>
      <c r="R28" s="14" t="str">
        <f t="shared" si="6"/>
        <v>2028Q2</v>
      </c>
      <c r="S28" s="52">
        <v>1.8751565282836773</v>
      </c>
      <c r="T28" s="52">
        <v>1.7103855337066955</v>
      </c>
      <c r="U28" s="52">
        <v>2.0399275228606588</v>
      </c>
      <c r="V28" s="1">
        <f t="shared" si="3"/>
        <v>1.71</v>
      </c>
      <c r="W28" s="1">
        <f t="shared" si="4"/>
        <v>1.875</v>
      </c>
      <c r="X28" s="1">
        <f t="shared" si="5"/>
        <v>2.04</v>
      </c>
    </row>
    <row r="29" spans="1:24" ht="15.5" thickTop="1" thickBot="1" x14ac:dyDescent="0.4">
      <c r="A29" s="5" t="str">
        <f t="shared" si="25"/>
        <v>2028Q2</v>
      </c>
      <c r="B29" s="2">
        <f t="shared" si="20"/>
        <v>1150.8309999999999</v>
      </c>
      <c r="C29" s="3">
        <f t="shared" si="20"/>
        <v>1222.924</v>
      </c>
      <c r="D29" s="2">
        <f t="shared" si="20"/>
        <v>1295.018</v>
      </c>
      <c r="E29" s="2">
        <f t="shared" si="26"/>
        <v>1.71</v>
      </c>
      <c r="F29" s="3">
        <f t="shared" si="27"/>
        <v>1.875</v>
      </c>
      <c r="G29" s="2">
        <f t="shared" si="28"/>
        <v>2.04</v>
      </c>
      <c r="K29" s="14" t="s">
        <v>102</v>
      </c>
      <c r="L29" s="66">
        <v>1225.8869159322728</v>
      </c>
      <c r="M29" s="66">
        <v>1153.7922294251086</v>
      </c>
      <c r="N29" s="66">
        <v>1297.981602439437</v>
      </c>
      <c r="O29" s="1">
        <f t="shared" si="0"/>
        <v>1153.7919999999999</v>
      </c>
      <c r="P29" s="1">
        <f t="shared" si="1"/>
        <v>1225.8869999999999</v>
      </c>
      <c r="Q29" s="1">
        <f t="shared" si="2"/>
        <v>1297.982</v>
      </c>
      <c r="R29" s="14" t="str">
        <f t="shared" si="6"/>
        <v>2028Q3</v>
      </c>
      <c r="S29" s="52">
        <v>1.8791895855548069</v>
      </c>
      <c r="T29" s="52">
        <v>1.7114474814276135</v>
      </c>
      <c r="U29" s="52">
        <v>2.0469316896819998</v>
      </c>
      <c r="V29" s="1">
        <f t="shared" si="3"/>
        <v>1.7110000000000001</v>
      </c>
      <c r="W29" s="1">
        <f t="shared" si="4"/>
        <v>1.879</v>
      </c>
      <c r="X29" s="1">
        <f t="shared" si="5"/>
        <v>2.0470000000000002</v>
      </c>
    </row>
    <row r="30" spans="1:24" ht="15.5" thickTop="1" thickBot="1" x14ac:dyDescent="0.4">
      <c r="A30" s="5" t="str">
        <f t="shared" si="25"/>
        <v>2028Q3</v>
      </c>
      <c r="B30" s="2">
        <f t="shared" si="20"/>
        <v>1153.7919999999999</v>
      </c>
      <c r="C30" s="3">
        <f t="shared" si="20"/>
        <v>1225.8869999999999</v>
      </c>
      <c r="D30" s="2">
        <f t="shared" si="20"/>
        <v>1297.982</v>
      </c>
      <c r="E30" s="2">
        <f t="shared" si="26"/>
        <v>1.7110000000000001</v>
      </c>
      <c r="F30" s="3">
        <f t="shared" si="27"/>
        <v>1.879</v>
      </c>
      <c r="G30" s="2">
        <f t="shared" si="28"/>
        <v>2.0470000000000002</v>
      </c>
      <c r="K30" s="14" t="s">
        <v>103</v>
      </c>
      <c r="L30" s="66">
        <v>1242.66508157932</v>
      </c>
      <c r="M30" s="66">
        <v>1170.5695144825281</v>
      </c>
      <c r="N30" s="66">
        <v>1314.7606486761119</v>
      </c>
      <c r="O30" s="1">
        <f t="shared" si="0"/>
        <v>1170.57</v>
      </c>
      <c r="P30" s="1">
        <f t="shared" si="1"/>
        <v>1242.665</v>
      </c>
      <c r="Q30" s="1">
        <f t="shared" si="2"/>
        <v>1314.761</v>
      </c>
      <c r="R30" s="14" t="str">
        <f t="shared" si="6"/>
        <v>2028Q4</v>
      </c>
      <c r="S30" s="52">
        <v>1.8872182638268349</v>
      </c>
      <c r="T30" s="52">
        <v>1.7165567674659141</v>
      </c>
      <c r="U30" s="52">
        <v>2.0578797601877556</v>
      </c>
      <c r="V30" s="1">
        <f t="shared" si="3"/>
        <v>1.7170000000000001</v>
      </c>
      <c r="W30" s="1">
        <f t="shared" si="4"/>
        <v>1.887</v>
      </c>
      <c r="X30" s="1">
        <f t="shared" si="5"/>
        <v>2.0579999999999998</v>
      </c>
    </row>
    <row r="31" spans="1:24" ht="15.5" thickTop="1" thickBot="1" x14ac:dyDescent="0.4">
      <c r="A31" s="5" t="str">
        <f t="shared" si="25"/>
        <v>2028Q4</v>
      </c>
      <c r="B31" s="2">
        <f t="shared" si="20"/>
        <v>1170.57</v>
      </c>
      <c r="C31" s="3">
        <f t="shared" si="20"/>
        <v>1242.665</v>
      </c>
      <c r="D31" s="2">
        <f t="shared" si="20"/>
        <v>1314.761</v>
      </c>
      <c r="E31" s="2">
        <f t="shared" si="26"/>
        <v>1.7170000000000001</v>
      </c>
      <c r="F31" s="3">
        <f t="shared" si="27"/>
        <v>1.887</v>
      </c>
      <c r="G31" s="2">
        <f t="shared" si="28"/>
        <v>2.0579999999999998</v>
      </c>
      <c r="K31" s="14" t="s">
        <v>104</v>
      </c>
      <c r="L31" s="66">
        <v>1193.2760631216358</v>
      </c>
      <c r="M31" s="66">
        <v>1121.1798569730468</v>
      </c>
      <c r="N31" s="66">
        <v>1265.3722692702249</v>
      </c>
      <c r="O31" s="1">
        <f t="shared" si="0"/>
        <v>1121.18</v>
      </c>
      <c r="P31" s="1">
        <f t="shared" si="1"/>
        <v>1193.2760000000001</v>
      </c>
      <c r="Q31" s="1">
        <f t="shared" si="2"/>
        <v>1265.3720000000001</v>
      </c>
      <c r="R31" s="14" t="str">
        <f t="shared" si="6"/>
        <v>2029Q1</v>
      </c>
      <c r="S31" s="52">
        <v>1.8755815260380906</v>
      </c>
      <c r="T31" s="52">
        <v>1.7020497445590803</v>
      </c>
      <c r="U31" s="52">
        <v>2.0491133075171009</v>
      </c>
      <c r="V31" s="1">
        <f t="shared" si="3"/>
        <v>1.702</v>
      </c>
      <c r="W31" s="1">
        <f t="shared" si="4"/>
        <v>1.8759999999999999</v>
      </c>
      <c r="X31" s="1">
        <f t="shared" si="5"/>
        <v>2.0489999999999999</v>
      </c>
    </row>
    <row r="32" spans="1:24" ht="15.5" thickTop="1" thickBot="1" x14ac:dyDescent="0.4">
      <c r="A32" s="5" t="str">
        <f t="shared" ref="A32:A35" si="29">K31</f>
        <v>2029Q1</v>
      </c>
      <c r="B32" s="2">
        <f t="shared" si="20"/>
        <v>1121.18</v>
      </c>
      <c r="C32" s="3">
        <f t="shared" si="20"/>
        <v>1193.2760000000001</v>
      </c>
      <c r="D32" s="2">
        <f t="shared" si="20"/>
        <v>1265.3720000000001</v>
      </c>
      <c r="E32" s="2">
        <f t="shared" ref="E32:E35" si="30">V31</f>
        <v>1.702</v>
      </c>
      <c r="F32" s="3">
        <f t="shared" ref="F32:F35" si="31">W31</f>
        <v>1.8759999999999999</v>
      </c>
      <c r="G32" s="2">
        <f t="shared" ref="G32:G35" si="32">X31</f>
        <v>2.0489999999999999</v>
      </c>
      <c r="K32" s="14" t="s">
        <v>105</v>
      </c>
      <c r="L32" s="66">
        <v>1250.8867852523138</v>
      </c>
      <c r="M32" s="66">
        <v>1178.7901153367584</v>
      </c>
      <c r="N32" s="66">
        <v>1322.9834551678691</v>
      </c>
      <c r="O32" s="1">
        <f t="shared" si="0"/>
        <v>1178.79</v>
      </c>
      <c r="P32" s="1">
        <f t="shared" si="1"/>
        <v>1250.8869999999999</v>
      </c>
      <c r="Q32" s="1">
        <f t="shared" si="2"/>
        <v>1322.9829999999999</v>
      </c>
      <c r="R32" s="14" t="str">
        <f t="shared" si="6"/>
        <v>2029Q2</v>
      </c>
      <c r="S32" s="52">
        <v>1.9253844207511595</v>
      </c>
      <c r="T32" s="52">
        <v>1.749029063513537</v>
      </c>
      <c r="U32" s="52">
        <v>2.1017397779887816</v>
      </c>
      <c r="V32" s="1">
        <f t="shared" si="3"/>
        <v>1.7490000000000001</v>
      </c>
      <c r="W32" s="1">
        <f t="shared" si="4"/>
        <v>1.925</v>
      </c>
      <c r="X32" s="1">
        <f t="shared" si="5"/>
        <v>2.1019999999999999</v>
      </c>
    </row>
    <row r="33" spans="1:24" ht="15.5" thickTop="1" thickBot="1" x14ac:dyDescent="0.4">
      <c r="A33" s="5" t="str">
        <f t="shared" si="29"/>
        <v>2029Q2</v>
      </c>
      <c r="B33" s="2">
        <f t="shared" si="20"/>
        <v>1178.79</v>
      </c>
      <c r="C33" s="3">
        <f t="shared" si="20"/>
        <v>1250.8869999999999</v>
      </c>
      <c r="D33" s="2">
        <f t="shared" si="20"/>
        <v>1322.9829999999999</v>
      </c>
      <c r="E33" s="2">
        <f t="shared" si="30"/>
        <v>1.7490000000000001</v>
      </c>
      <c r="F33" s="3">
        <f t="shared" si="31"/>
        <v>1.925</v>
      </c>
      <c r="G33" s="2">
        <f t="shared" si="32"/>
        <v>2.1019999999999999</v>
      </c>
      <c r="K33" s="14" t="s">
        <v>106</v>
      </c>
      <c r="L33" s="66">
        <v>1253.8262111525723</v>
      </c>
      <c r="M33" s="66">
        <v>1181.7292046754878</v>
      </c>
      <c r="N33" s="66">
        <v>1325.9232176296568</v>
      </c>
      <c r="O33" s="1">
        <f t="shared" si="0"/>
        <v>1181.729</v>
      </c>
      <c r="P33" s="1">
        <f t="shared" si="1"/>
        <v>1253.826</v>
      </c>
      <c r="Q33" s="1">
        <f t="shared" si="2"/>
        <v>1325.923</v>
      </c>
      <c r="R33" s="14" t="str">
        <f t="shared" si="6"/>
        <v>2029Q3</v>
      </c>
      <c r="S33" s="52">
        <v>1.929417478022289</v>
      </c>
      <c r="T33" s="52">
        <v>1.7502830456271188</v>
      </c>
      <c r="U33" s="52">
        <v>2.108551910417459</v>
      </c>
      <c r="V33" s="1">
        <f t="shared" si="3"/>
        <v>1.75</v>
      </c>
      <c r="W33" s="1">
        <f t="shared" si="4"/>
        <v>1.929</v>
      </c>
      <c r="X33" s="1">
        <f t="shared" si="5"/>
        <v>2.109</v>
      </c>
    </row>
    <row r="34" spans="1:24" ht="15.5" thickTop="1" thickBot="1" x14ac:dyDescent="0.4">
      <c r="A34" s="5" t="str">
        <f t="shared" si="29"/>
        <v>2029Q3</v>
      </c>
      <c r="B34" s="2">
        <f t="shared" si="20"/>
        <v>1181.729</v>
      </c>
      <c r="C34" s="3">
        <f t="shared" si="20"/>
        <v>1253.826</v>
      </c>
      <c r="D34" s="2">
        <f t="shared" si="20"/>
        <v>1325.923</v>
      </c>
      <c r="E34" s="2">
        <f t="shared" si="30"/>
        <v>1.75</v>
      </c>
      <c r="F34" s="3">
        <f t="shared" si="31"/>
        <v>1.929</v>
      </c>
      <c r="G34" s="2">
        <f t="shared" si="32"/>
        <v>2.109</v>
      </c>
      <c r="K34" s="14" t="s">
        <v>107</v>
      </c>
      <c r="L34" s="66">
        <v>1270.5844856961007</v>
      </c>
      <c r="M34" s="66">
        <v>1198.4872349717032</v>
      </c>
      <c r="N34" s="66">
        <v>1342.6817364204983</v>
      </c>
      <c r="O34" s="1">
        <f t="shared" si="0"/>
        <v>1198.4870000000001</v>
      </c>
      <c r="P34" s="1">
        <f t="shared" si="1"/>
        <v>1270.5840000000001</v>
      </c>
      <c r="Q34" s="1">
        <f t="shared" si="2"/>
        <v>1342.682</v>
      </c>
      <c r="R34" s="14" t="str">
        <f t="shared" si="6"/>
        <v>2029Q4</v>
      </c>
      <c r="S34" s="52">
        <v>1.937446156294317</v>
      </c>
      <c r="T34" s="52">
        <v>1.755575109360864</v>
      </c>
      <c r="U34" s="52">
        <v>2.1193172032277698</v>
      </c>
      <c r="V34" s="1">
        <f t="shared" si="3"/>
        <v>1.756</v>
      </c>
      <c r="W34" s="1">
        <f t="shared" si="4"/>
        <v>1.9370000000000001</v>
      </c>
      <c r="X34" s="1">
        <f t="shared" si="5"/>
        <v>2.1190000000000002</v>
      </c>
    </row>
    <row r="35" spans="1:24" ht="13" thickTop="1" thickBot="1" x14ac:dyDescent="0.35">
      <c r="A35" s="5" t="str">
        <f t="shared" si="29"/>
        <v>2029Q4</v>
      </c>
      <c r="B35" s="2">
        <f t="shared" si="20"/>
        <v>1198.4870000000001</v>
      </c>
      <c r="C35" s="3">
        <f t="shared" si="20"/>
        <v>1270.5840000000001</v>
      </c>
      <c r="D35" s="2">
        <f t="shared" si="20"/>
        <v>1342.682</v>
      </c>
      <c r="E35" s="2">
        <f t="shared" si="30"/>
        <v>1.756</v>
      </c>
      <c r="F35" s="3">
        <f t="shared" si="31"/>
        <v>1.9370000000000001</v>
      </c>
      <c r="G35" s="2">
        <f t="shared" si="32"/>
        <v>2.1190000000000002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1141.1477812500002</v>
      </c>
      <c r="F38" s="1">
        <f>AVERAGE(F4:F35)</f>
        <v>1.7411250000000003</v>
      </c>
    </row>
    <row r="40" spans="1:24" ht="12.5" thickBot="1" x14ac:dyDescent="0.35"/>
    <row r="41" spans="1:24" ht="15.5" thickTop="1" thickBot="1" x14ac:dyDescent="0.4">
      <c r="A41" s="29" t="s">
        <v>47</v>
      </c>
      <c r="B41" s="30"/>
      <c r="C41" s="30"/>
      <c r="D41" s="30"/>
      <c r="E41" s="30"/>
      <c r="F41" s="30"/>
      <c r="G41" s="30"/>
      <c r="K41" s="29" t="s">
        <v>23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966.23500000000001</v>
      </c>
      <c r="D44" s="6"/>
      <c r="E44" s="6"/>
      <c r="F44" s="9">
        <f>ROUND(F4-((G4-F4)*(0.5/2)),3)</f>
        <v>1.512</v>
      </c>
      <c r="G44" s="6"/>
      <c r="K44" s="7" t="str">
        <f>A4</f>
        <v>2022Q1</v>
      </c>
      <c r="L44" s="6"/>
      <c r="M44" s="9">
        <f>ROUND(C4-((D4-C4)*(1/2)),3)</f>
        <v>951.94399999999996</v>
      </c>
      <c r="N44" s="6"/>
      <c r="O44" s="6"/>
      <c r="P44" s="9">
        <f>ROUND(F4-((G4-F4)*(1/2)),3)</f>
        <v>1.5</v>
      </c>
      <c r="Q44" s="6"/>
    </row>
    <row r="45" spans="1:24" ht="15.5" thickTop="1" thickBot="1" x14ac:dyDescent="0.4">
      <c r="A45" s="7" t="str">
        <f t="shared" ref="A45:A75" si="33">A5</f>
        <v>2022Q2</v>
      </c>
      <c r="B45" s="6"/>
      <c r="C45" s="9">
        <f t="shared" ref="C45:C55" si="34">ROUND(C5-((D5-C5)*(0.5/2)),3)</f>
        <v>1025.414</v>
      </c>
      <c r="D45" s="6"/>
      <c r="E45" s="6"/>
      <c r="F45" s="9">
        <f t="shared" ref="F45:F55" si="35">ROUND(F5-((G5-F5)*(0.5/2)),3)</f>
        <v>1.56</v>
      </c>
      <c r="G45" s="6"/>
      <c r="K45" s="7" t="str">
        <f t="shared" ref="K45:K55" si="36">A5</f>
        <v>2022Q2</v>
      </c>
      <c r="L45" s="6"/>
      <c r="M45" s="9">
        <f t="shared" ref="M45:M55" si="37">ROUND(C5-((D5-C5)*(1/2)),3)</f>
        <v>1010.008</v>
      </c>
      <c r="N45" s="6"/>
      <c r="O45" s="6"/>
      <c r="P45" s="9">
        <f t="shared" ref="P45:P55" si="38">ROUND(F5-((G5-F5)*(1/2)),3)</f>
        <v>1.5449999999999999</v>
      </c>
      <c r="Q45" s="6"/>
    </row>
    <row r="46" spans="1:24" ht="15.5" thickTop="1" thickBot="1" x14ac:dyDescent="0.4">
      <c r="A46" s="7" t="str">
        <f t="shared" si="33"/>
        <v>2022Q3</v>
      </c>
      <c r="B46" s="6"/>
      <c r="C46" s="9">
        <f t="shared" si="34"/>
        <v>1029.8789999999999</v>
      </c>
      <c r="D46" s="6"/>
      <c r="E46" s="6"/>
      <c r="F46" s="9">
        <f t="shared" si="35"/>
        <v>1.5620000000000001</v>
      </c>
      <c r="G46" s="6"/>
      <c r="K46" s="7" t="str">
        <f t="shared" si="36"/>
        <v>2022Q3</v>
      </c>
      <c r="L46" s="6"/>
      <c r="M46" s="9">
        <f t="shared" si="37"/>
        <v>1013.712</v>
      </c>
      <c r="N46" s="6"/>
      <c r="O46" s="6"/>
      <c r="P46" s="9">
        <f t="shared" si="38"/>
        <v>1.5449999999999999</v>
      </c>
      <c r="Q46" s="6"/>
    </row>
    <row r="47" spans="1:24" ht="15.5" thickTop="1" thickBot="1" x14ac:dyDescent="0.4">
      <c r="A47" s="7" t="str">
        <f t="shared" si="33"/>
        <v>2022Q4</v>
      </c>
      <c r="B47" s="6"/>
      <c r="C47" s="9">
        <f t="shared" si="34"/>
        <v>1048.0550000000001</v>
      </c>
      <c r="D47" s="6"/>
      <c r="E47" s="6"/>
      <c r="F47" s="9">
        <f t="shared" si="35"/>
        <v>1.5680000000000001</v>
      </c>
      <c r="G47" s="6"/>
      <c r="K47" s="7" t="str">
        <f t="shared" si="36"/>
        <v>2022Q4</v>
      </c>
      <c r="L47" s="6"/>
      <c r="M47" s="9">
        <f t="shared" si="37"/>
        <v>1031.3579999999999</v>
      </c>
      <c r="N47" s="6"/>
      <c r="O47" s="6"/>
      <c r="P47" s="9">
        <f t="shared" si="38"/>
        <v>1.55</v>
      </c>
      <c r="Q47" s="6"/>
    </row>
    <row r="48" spans="1:24" ht="15.5" thickTop="1" thickBot="1" x14ac:dyDescent="0.4">
      <c r="A48" s="7" t="str">
        <f t="shared" si="33"/>
        <v>2023Q1</v>
      </c>
      <c r="B48" s="6"/>
      <c r="C48" s="9">
        <f t="shared" si="34"/>
        <v>999.93200000000002</v>
      </c>
      <c r="D48" s="6"/>
      <c r="E48" s="6"/>
      <c r="F48" s="9">
        <f t="shared" si="35"/>
        <v>1.554</v>
      </c>
      <c r="G48" s="6"/>
      <c r="K48" s="7" t="str">
        <f t="shared" si="36"/>
        <v>2023Q1</v>
      </c>
      <c r="L48" s="6"/>
      <c r="M48" s="9">
        <f t="shared" si="37"/>
        <v>982.86099999999999</v>
      </c>
      <c r="N48" s="6"/>
      <c r="O48" s="6"/>
      <c r="P48" s="9">
        <f t="shared" si="38"/>
        <v>1.534</v>
      </c>
      <c r="Q48" s="6"/>
    </row>
    <row r="49" spans="1:17" ht="15.5" thickTop="1" thickBot="1" x14ac:dyDescent="0.4">
      <c r="A49" s="7" t="str">
        <f t="shared" si="33"/>
        <v>2023Q2</v>
      </c>
      <c r="B49" s="6"/>
      <c r="C49" s="9">
        <f t="shared" si="34"/>
        <v>1058.675</v>
      </c>
      <c r="D49" s="6"/>
      <c r="E49" s="6"/>
      <c r="F49" s="9">
        <f t="shared" si="35"/>
        <v>1.603</v>
      </c>
      <c r="G49" s="6"/>
      <c r="K49" s="7" t="str">
        <f t="shared" si="36"/>
        <v>2023Q2</v>
      </c>
      <c r="L49" s="6"/>
      <c r="M49" s="9">
        <f t="shared" si="37"/>
        <v>1041.338</v>
      </c>
      <c r="N49" s="6"/>
      <c r="O49" s="6"/>
      <c r="P49" s="9">
        <f t="shared" si="38"/>
        <v>1.581</v>
      </c>
      <c r="Q49" s="6"/>
    </row>
    <row r="50" spans="1:17" ht="15.5" thickTop="1" thickBot="1" x14ac:dyDescent="0.4">
      <c r="A50" s="7" t="str">
        <f t="shared" si="33"/>
        <v>2023Q3</v>
      </c>
      <c r="B50" s="6"/>
      <c r="C50" s="9">
        <f t="shared" si="34"/>
        <v>1062.614</v>
      </c>
      <c r="D50" s="6"/>
      <c r="E50" s="6"/>
      <c r="F50" s="9">
        <f t="shared" si="35"/>
        <v>1.605</v>
      </c>
      <c r="G50" s="6"/>
      <c r="K50" s="7" t="str">
        <f t="shared" si="36"/>
        <v>2023Q3</v>
      </c>
      <c r="L50" s="6"/>
      <c r="M50" s="9">
        <f t="shared" si="37"/>
        <v>1045.085</v>
      </c>
      <c r="N50" s="6"/>
      <c r="O50" s="6"/>
      <c r="P50" s="9">
        <f t="shared" si="38"/>
        <v>1.5820000000000001</v>
      </c>
      <c r="Q50" s="6"/>
    </row>
    <row r="51" spans="1:17" ht="15.5" thickTop="1" thickBot="1" x14ac:dyDescent="0.4">
      <c r="A51" s="7" t="str">
        <f t="shared" si="33"/>
        <v>2023Q4</v>
      </c>
      <c r="B51" s="6"/>
      <c r="C51" s="9">
        <f t="shared" si="34"/>
        <v>1080.251</v>
      </c>
      <c r="D51" s="6"/>
      <c r="E51" s="6"/>
      <c r="F51" s="9">
        <f t="shared" si="35"/>
        <v>1.6120000000000001</v>
      </c>
      <c r="G51" s="6"/>
      <c r="K51" s="7" t="str">
        <f t="shared" si="36"/>
        <v>2023Q4</v>
      </c>
      <c r="L51" s="6"/>
      <c r="M51" s="9">
        <f t="shared" si="37"/>
        <v>1062.585</v>
      </c>
      <c r="N51" s="6"/>
      <c r="O51" s="6"/>
      <c r="P51" s="9">
        <f t="shared" si="38"/>
        <v>1.5880000000000001</v>
      </c>
      <c r="Q51" s="6"/>
    </row>
    <row r="52" spans="1:17" ht="15.5" thickTop="1" thickBot="1" x14ac:dyDescent="0.4">
      <c r="A52" s="7" t="str">
        <f t="shared" si="33"/>
        <v>2024Q1</v>
      </c>
      <c r="B52" s="6"/>
      <c r="C52" s="9">
        <f t="shared" si="34"/>
        <v>1031.6099999999999</v>
      </c>
      <c r="D52" s="6"/>
      <c r="E52" s="6"/>
      <c r="F52" s="9">
        <f t="shared" si="35"/>
        <v>1.599</v>
      </c>
      <c r="G52" s="6"/>
      <c r="K52" s="7" t="str">
        <f t="shared" si="36"/>
        <v>2024Q1</v>
      </c>
      <c r="L52" s="6"/>
      <c r="M52" s="9">
        <f t="shared" si="37"/>
        <v>1013.845</v>
      </c>
      <c r="N52" s="6"/>
      <c r="O52" s="6"/>
      <c r="P52" s="9">
        <f t="shared" si="38"/>
        <v>1.573</v>
      </c>
      <c r="Q52" s="6"/>
    </row>
    <row r="53" spans="1:17" ht="15.5" thickTop="1" thickBot="1" x14ac:dyDescent="0.4">
      <c r="A53" s="7" t="str">
        <f t="shared" si="33"/>
        <v>2024Q2</v>
      </c>
      <c r="B53" s="6"/>
      <c r="C53" s="9">
        <f t="shared" si="34"/>
        <v>1089.8710000000001</v>
      </c>
      <c r="D53" s="6"/>
      <c r="E53" s="6"/>
      <c r="F53" s="9">
        <f t="shared" si="35"/>
        <v>1.647</v>
      </c>
      <c r="G53" s="6"/>
      <c r="K53" s="7" t="str">
        <f t="shared" si="36"/>
        <v>2024Q2</v>
      </c>
      <c r="L53" s="6"/>
      <c r="M53" s="9">
        <f t="shared" si="37"/>
        <v>1072.0350000000001</v>
      </c>
      <c r="N53" s="6"/>
      <c r="O53" s="6"/>
      <c r="P53" s="9">
        <f t="shared" si="38"/>
        <v>1.621</v>
      </c>
      <c r="Q53" s="6"/>
    </row>
    <row r="54" spans="1:17" ht="15.5" thickTop="1" thickBot="1" x14ac:dyDescent="0.4">
      <c r="A54" s="7" t="str">
        <f t="shared" si="33"/>
        <v>2024Q3</v>
      </c>
      <c r="B54" s="6"/>
      <c r="C54" s="9">
        <f t="shared" si="34"/>
        <v>1093.375</v>
      </c>
      <c r="D54" s="6"/>
      <c r="E54" s="6"/>
      <c r="F54" s="9">
        <f t="shared" si="35"/>
        <v>1.65</v>
      </c>
      <c r="G54" s="6"/>
      <c r="K54" s="7" t="str">
        <f t="shared" si="36"/>
        <v>2024Q3</v>
      </c>
      <c r="L54" s="6"/>
      <c r="M54" s="9">
        <f t="shared" si="37"/>
        <v>1075.4870000000001</v>
      </c>
      <c r="N54" s="6"/>
      <c r="O54" s="6"/>
      <c r="P54" s="9">
        <f t="shared" si="38"/>
        <v>1.623</v>
      </c>
      <c r="Q54" s="6"/>
    </row>
    <row r="55" spans="1:17" ht="15.5" thickTop="1" thickBot="1" x14ac:dyDescent="0.4">
      <c r="A55" s="7" t="str">
        <f t="shared" si="33"/>
        <v>2024Q4</v>
      </c>
      <c r="B55" s="6"/>
      <c r="C55" s="9">
        <f t="shared" si="34"/>
        <v>1110.6189999999999</v>
      </c>
      <c r="D55" s="6"/>
      <c r="E55" s="6"/>
      <c r="F55" s="9">
        <f t="shared" si="35"/>
        <v>1.657</v>
      </c>
      <c r="G55" s="6"/>
      <c r="K55" s="7" t="str">
        <f t="shared" si="36"/>
        <v>2024Q4</v>
      </c>
      <c r="L55" s="6"/>
      <c r="M55" s="9">
        <f t="shared" si="37"/>
        <v>1092.694</v>
      </c>
      <c r="N55" s="6"/>
      <c r="O55" s="6"/>
      <c r="P55" s="9">
        <f t="shared" si="38"/>
        <v>1.6279999999999999</v>
      </c>
      <c r="Q55" s="6"/>
    </row>
    <row r="56" spans="1:17" ht="15.5" thickTop="1" thickBot="1" x14ac:dyDescent="0.4">
      <c r="A56" s="7" t="str">
        <f t="shared" si="33"/>
        <v>2025Q1</v>
      </c>
      <c r="B56" s="6"/>
      <c r="C56" s="9">
        <f t="shared" ref="C56:C74" si="39">ROUND(C16-((D16-C16)*(0.5/2)),3)</f>
        <v>1061.633</v>
      </c>
      <c r="D56" s="6"/>
      <c r="E56" s="6"/>
      <c r="F56" s="9">
        <f t="shared" ref="F56:F75" si="40">ROUND(F16-((G16-F16)*(0.5/2)),3)</f>
        <v>1.645</v>
      </c>
      <c r="G56" s="6"/>
      <c r="K56" s="7" t="str">
        <f t="shared" ref="K56:K75" si="41">A16</f>
        <v>2025Q1</v>
      </c>
      <c r="L56" s="6"/>
      <c r="M56" s="9">
        <f t="shared" ref="M56:M75" si="42">ROUND(C16-((D16-C16)*(1/2)),3)</f>
        <v>1043.681</v>
      </c>
      <c r="N56" s="6"/>
      <c r="O56" s="6"/>
      <c r="P56" s="9">
        <f t="shared" ref="P56:P75" si="43">ROUND(F16-((G16-F16)*(1/2)),3)</f>
        <v>1.6160000000000001</v>
      </c>
      <c r="Q56" s="6"/>
    </row>
    <row r="57" spans="1:17" ht="15.5" thickTop="1" thickBot="1" x14ac:dyDescent="0.4">
      <c r="A57" s="7" t="str">
        <f t="shared" si="33"/>
        <v>2025Q2</v>
      </c>
      <c r="B57" s="6"/>
      <c r="C57" s="9">
        <f t="shared" si="39"/>
        <v>1119.5889999999999</v>
      </c>
      <c r="D57" s="6"/>
      <c r="E57" s="6"/>
      <c r="F57" s="9">
        <f t="shared" si="40"/>
        <v>1.6930000000000001</v>
      </c>
      <c r="G57" s="6"/>
      <c r="K57" s="7" t="str">
        <f t="shared" si="41"/>
        <v>2025Q2</v>
      </c>
      <c r="L57" s="6"/>
      <c r="M57" s="9">
        <f t="shared" si="42"/>
        <v>1101.617</v>
      </c>
      <c r="N57" s="6"/>
      <c r="O57" s="6"/>
      <c r="P57" s="9">
        <f t="shared" si="43"/>
        <v>1.6619999999999999</v>
      </c>
      <c r="Q57" s="6"/>
    </row>
    <row r="58" spans="1:17" ht="15.5" thickTop="1" thickBot="1" x14ac:dyDescent="0.4">
      <c r="A58" s="7" t="str">
        <f t="shared" si="33"/>
        <v>2025Q3</v>
      </c>
      <c r="B58" s="6"/>
      <c r="C58" s="9">
        <f t="shared" si="39"/>
        <v>1122.826</v>
      </c>
      <c r="D58" s="6"/>
      <c r="E58" s="6"/>
      <c r="F58" s="9">
        <f t="shared" si="40"/>
        <v>1.6970000000000001</v>
      </c>
      <c r="G58" s="6"/>
      <c r="K58" s="7" t="str">
        <f t="shared" si="41"/>
        <v>2025Q3</v>
      </c>
      <c r="L58" s="6"/>
      <c r="M58" s="9">
        <f t="shared" si="42"/>
        <v>1104.8389999999999</v>
      </c>
      <c r="N58" s="6"/>
      <c r="O58" s="6"/>
      <c r="P58" s="9">
        <f t="shared" si="43"/>
        <v>1.6659999999999999</v>
      </c>
      <c r="Q58" s="6"/>
    </row>
    <row r="59" spans="1:17" ht="15.5" thickTop="1" thickBot="1" x14ac:dyDescent="0.4">
      <c r="A59" s="7" t="str">
        <f t="shared" si="33"/>
        <v>2025Q4</v>
      </c>
      <c r="B59" s="6"/>
      <c r="C59" s="9">
        <f t="shared" si="39"/>
        <v>1139.8399999999999</v>
      </c>
      <c r="D59" s="6"/>
      <c r="E59" s="6"/>
      <c r="F59" s="9">
        <f t="shared" si="40"/>
        <v>1.704</v>
      </c>
      <c r="G59" s="6"/>
      <c r="K59" s="7" t="str">
        <f t="shared" si="41"/>
        <v>2025Q4</v>
      </c>
      <c r="L59" s="6"/>
      <c r="M59" s="9">
        <f t="shared" si="42"/>
        <v>1121.8430000000001</v>
      </c>
      <c r="N59" s="6"/>
      <c r="O59" s="6"/>
      <c r="P59" s="9">
        <f t="shared" si="43"/>
        <v>1.6719999999999999</v>
      </c>
      <c r="Q59" s="6"/>
    </row>
    <row r="60" spans="1:17" ht="15.5" thickTop="1" thickBot="1" x14ac:dyDescent="0.4">
      <c r="A60" s="7" t="str">
        <f t="shared" si="33"/>
        <v>2026Q1</v>
      </c>
      <c r="B60" s="6"/>
      <c r="C60" s="9">
        <f t="shared" si="39"/>
        <v>1090.652</v>
      </c>
      <c r="D60" s="6"/>
      <c r="E60" s="6"/>
      <c r="F60" s="9">
        <f t="shared" si="40"/>
        <v>1.6910000000000001</v>
      </c>
      <c r="G60" s="6"/>
      <c r="K60" s="7" t="str">
        <f t="shared" si="41"/>
        <v>2026Q1</v>
      </c>
      <c r="L60" s="6"/>
      <c r="M60" s="9">
        <f t="shared" si="42"/>
        <v>1072.6479999999999</v>
      </c>
      <c r="N60" s="6"/>
      <c r="O60" s="6"/>
      <c r="P60" s="9">
        <f t="shared" si="43"/>
        <v>1.6579999999999999</v>
      </c>
      <c r="Q60" s="6"/>
    </row>
    <row r="61" spans="1:17" ht="15.5" thickTop="1" thickBot="1" x14ac:dyDescent="0.4">
      <c r="A61" s="7" t="str">
        <f t="shared" si="33"/>
        <v>2026Q2</v>
      </c>
      <c r="B61" s="6"/>
      <c r="C61" s="9">
        <f t="shared" si="39"/>
        <v>1148.4359999999999</v>
      </c>
      <c r="D61" s="6"/>
      <c r="E61" s="6"/>
      <c r="F61" s="9">
        <f t="shared" si="40"/>
        <v>1.7410000000000001</v>
      </c>
      <c r="G61" s="6"/>
      <c r="K61" s="7" t="str">
        <f t="shared" si="41"/>
        <v>2026Q2</v>
      </c>
      <c r="L61" s="6"/>
      <c r="M61" s="9">
        <f t="shared" si="42"/>
        <v>1130.4259999999999</v>
      </c>
      <c r="N61" s="6"/>
      <c r="O61" s="6"/>
      <c r="P61" s="9">
        <f t="shared" si="43"/>
        <v>1.706</v>
      </c>
      <c r="Q61" s="6"/>
    </row>
    <row r="62" spans="1:17" ht="15.5" thickTop="1" thickBot="1" x14ac:dyDescent="0.4">
      <c r="A62" s="7" t="str">
        <f t="shared" si="33"/>
        <v>2026Q3</v>
      </c>
      <c r="B62" s="6"/>
      <c r="C62" s="9">
        <f t="shared" si="39"/>
        <v>1151.5239999999999</v>
      </c>
      <c r="D62" s="6"/>
      <c r="E62" s="6"/>
      <c r="F62" s="9">
        <f t="shared" si="40"/>
        <v>1.744</v>
      </c>
      <c r="G62" s="6"/>
      <c r="K62" s="7" t="str">
        <f t="shared" si="41"/>
        <v>2026Q3</v>
      </c>
      <c r="L62" s="6"/>
      <c r="M62" s="9">
        <f t="shared" si="42"/>
        <v>1133.51</v>
      </c>
      <c r="N62" s="6"/>
      <c r="O62" s="6"/>
      <c r="P62" s="9">
        <f t="shared" si="43"/>
        <v>1.708</v>
      </c>
      <c r="Q62" s="6"/>
    </row>
    <row r="63" spans="1:17" ht="15.5" thickTop="1" thickBot="1" x14ac:dyDescent="0.4">
      <c r="A63" s="7" t="str">
        <f t="shared" si="33"/>
        <v>2026Q4</v>
      </c>
      <c r="B63" s="6"/>
      <c r="C63" s="9">
        <f t="shared" si="39"/>
        <v>1168.4079999999999</v>
      </c>
      <c r="D63" s="6"/>
      <c r="E63" s="6"/>
      <c r="F63" s="9">
        <f t="shared" si="40"/>
        <v>1.7509999999999999</v>
      </c>
      <c r="G63" s="6"/>
      <c r="K63" s="7" t="str">
        <f t="shared" si="41"/>
        <v>2026Q4</v>
      </c>
      <c r="L63" s="6"/>
      <c r="M63" s="9">
        <f t="shared" si="42"/>
        <v>1150.3910000000001</v>
      </c>
      <c r="N63" s="6"/>
      <c r="O63" s="6"/>
      <c r="P63" s="9">
        <f t="shared" si="43"/>
        <v>1.7150000000000001</v>
      </c>
      <c r="Q63" s="6"/>
    </row>
    <row r="64" spans="1:17" ht="15.5" thickTop="1" thickBot="1" x14ac:dyDescent="0.4">
      <c r="A64" s="7" t="str">
        <f t="shared" si="33"/>
        <v>2027Q1</v>
      </c>
      <c r="B64" s="6"/>
      <c r="C64" s="9">
        <f t="shared" si="39"/>
        <v>1119.1110000000001</v>
      </c>
      <c r="D64" s="6"/>
      <c r="E64" s="6"/>
      <c r="F64" s="9">
        <f t="shared" si="40"/>
        <v>1.738</v>
      </c>
      <c r="G64" s="6"/>
      <c r="K64" s="7" t="str">
        <f t="shared" si="41"/>
        <v>2027Q1</v>
      </c>
      <c r="L64" s="6"/>
      <c r="M64" s="9">
        <f t="shared" si="42"/>
        <v>1101.0920000000001</v>
      </c>
      <c r="N64" s="6"/>
      <c r="O64" s="6"/>
      <c r="P64" s="9">
        <f t="shared" si="43"/>
        <v>1.7010000000000001</v>
      </c>
      <c r="Q64" s="6"/>
    </row>
    <row r="65" spans="1:17" ht="15.5" thickTop="1" thickBot="1" x14ac:dyDescent="0.4">
      <c r="A65" s="7" t="str">
        <f t="shared" si="33"/>
        <v>2027Q2</v>
      </c>
      <c r="B65" s="6"/>
      <c r="C65" s="9">
        <f t="shared" si="39"/>
        <v>1176.8</v>
      </c>
      <c r="D65" s="6"/>
      <c r="E65" s="6"/>
      <c r="F65" s="9">
        <f t="shared" si="40"/>
        <v>1.7869999999999999</v>
      </c>
      <c r="G65" s="6"/>
      <c r="K65" s="7" t="str">
        <f t="shared" si="41"/>
        <v>2027Q2</v>
      </c>
      <c r="L65" s="6"/>
      <c r="M65" s="9">
        <f t="shared" si="42"/>
        <v>1158.779</v>
      </c>
      <c r="N65" s="6"/>
      <c r="O65" s="6"/>
      <c r="P65" s="9">
        <f t="shared" si="43"/>
        <v>1.7490000000000001</v>
      </c>
      <c r="Q65" s="6"/>
    </row>
    <row r="66" spans="1:17" ht="15.5" thickTop="1" thickBot="1" x14ac:dyDescent="0.4">
      <c r="A66" s="7" t="str">
        <f t="shared" si="33"/>
        <v>2027Q3</v>
      </c>
      <c r="B66" s="6"/>
      <c r="C66" s="9">
        <f t="shared" si="39"/>
        <v>1179.806</v>
      </c>
      <c r="D66" s="6"/>
      <c r="E66" s="6"/>
      <c r="F66" s="9">
        <f t="shared" si="40"/>
        <v>1.79</v>
      </c>
      <c r="G66" s="6"/>
      <c r="K66" s="7" t="str">
        <f t="shared" si="41"/>
        <v>2027Q3</v>
      </c>
      <c r="L66" s="6"/>
      <c r="M66" s="9">
        <f t="shared" si="42"/>
        <v>1161.7840000000001</v>
      </c>
      <c r="N66" s="6"/>
      <c r="O66" s="6"/>
      <c r="P66" s="9">
        <f t="shared" si="43"/>
        <v>1.752</v>
      </c>
      <c r="Q66" s="6"/>
    </row>
    <row r="67" spans="1:17" ht="15.5" thickTop="1" thickBot="1" x14ac:dyDescent="0.4">
      <c r="A67" s="7" t="str">
        <f t="shared" si="33"/>
        <v>2027Q4</v>
      </c>
      <c r="B67" s="6"/>
      <c r="C67" s="9">
        <f t="shared" si="39"/>
        <v>1196.6210000000001</v>
      </c>
      <c r="D67" s="6"/>
      <c r="E67" s="6"/>
      <c r="F67" s="9">
        <f t="shared" si="40"/>
        <v>1.7969999999999999</v>
      </c>
      <c r="G67" s="6"/>
      <c r="K67" s="7" t="str">
        <f t="shared" si="41"/>
        <v>2027Q4</v>
      </c>
      <c r="L67" s="6"/>
      <c r="M67" s="9">
        <f t="shared" si="42"/>
        <v>1178.5989999999999</v>
      </c>
      <c r="N67" s="6"/>
      <c r="O67" s="6"/>
      <c r="P67" s="9">
        <f t="shared" si="43"/>
        <v>1.758</v>
      </c>
      <c r="Q67" s="6"/>
    </row>
    <row r="68" spans="1:17" ht="15.5" thickTop="1" thickBot="1" x14ac:dyDescent="0.4">
      <c r="A68" s="7" t="str">
        <f t="shared" si="33"/>
        <v>2028Q1</v>
      </c>
      <c r="B68" s="6"/>
      <c r="C68" s="9">
        <f t="shared" si="39"/>
        <v>1147.2629999999999</v>
      </c>
      <c r="D68" s="6"/>
      <c r="E68" s="6"/>
      <c r="F68" s="9">
        <f t="shared" si="40"/>
        <v>1.7849999999999999</v>
      </c>
      <c r="G68" s="6"/>
      <c r="K68" s="7" t="str">
        <f t="shared" si="41"/>
        <v>2028Q1</v>
      </c>
      <c r="L68" s="6"/>
      <c r="M68" s="9">
        <f t="shared" si="42"/>
        <v>1129.24</v>
      </c>
      <c r="N68" s="6"/>
      <c r="O68" s="6"/>
      <c r="P68" s="9">
        <f t="shared" si="43"/>
        <v>1.744</v>
      </c>
      <c r="Q68" s="6"/>
    </row>
    <row r="69" spans="1:17" ht="15.5" thickTop="1" thickBot="1" x14ac:dyDescent="0.4">
      <c r="A69" s="7" t="str">
        <f t="shared" si="33"/>
        <v>2028Q2</v>
      </c>
      <c r="B69" s="6"/>
      <c r="C69" s="9">
        <f t="shared" si="39"/>
        <v>1204.9010000000001</v>
      </c>
      <c r="D69" s="6"/>
      <c r="E69" s="6"/>
      <c r="F69" s="9">
        <f t="shared" si="40"/>
        <v>1.8340000000000001</v>
      </c>
      <c r="G69" s="6"/>
      <c r="K69" s="7" t="str">
        <f t="shared" si="41"/>
        <v>2028Q2</v>
      </c>
      <c r="L69" s="6"/>
      <c r="M69" s="9">
        <f t="shared" si="42"/>
        <v>1186.877</v>
      </c>
      <c r="N69" s="6"/>
      <c r="O69" s="6"/>
      <c r="P69" s="9">
        <f t="shared" si="43"/>
        <v>1.7929999999999999</v>
      </c>
      <c r="Q69" s="6"/>
    </row>
    <row r="70" spans="1:17" ht="15.5" thickTop="1" thickBot="1" x14ac:dyDescent="0.4">
      <c r="A70" s="7" t="str">
        <f t="shared" si="33"/>
        <v>2028Q3</v>
      </c>
      <c r="B70" s="6"/>
      <c r="C70" s="9">
        <f t="shared" si="39"/>
        <v>1207.8630000000001</v>
      </c>
      <c r="D70" s="6"/>
      <c r="E70" s="6"/>
      <c r="F70" s="9">
        <f t="shared" si="40"/>
        <v>1.837</v>
      </c>
      <c r="G70" s="6"/>
      <c r="K70" s="7" t="str">
        <f t="shared" si="41"/>
        <v>2028Q3</v>
      </c>
      <c r="L70" s="6"/>
      <c r="M70" s="9">
        <f t="shared" si="42"/>
        <v>1189.8399999999999</v>
      </c>
      <c r="N70" s="6"/>
      <c r="O70" s="6"/>
      <c r="P70" s="9">
        <f t="shared" si="43"/>
        <v>1.7949999999999999</v>
      </c>
      <c r="Q70" s="6"/>
    </row>
    <row r="71" spans="1:17" ht="15.5" thickTop="1" thickBot="1" x14ac:dyDescent="0.4">
      <c r="A71" s="7" t="str">
        <f t="shared" si="33"/>
        <v>2028Q4</v>
      </c>
      <c r="B71" s="6"/>
      <c r="C71" s="9">
        <f t="shared" si="39"/>
        <v>1224.6410000000001</v>
      </c>
      <c r="D71" s="6"/>
      <c r="E71" s="6"/>
      <c r="F71" s="9">
        <f t="shared" si="40"/>
        <v>1.8440000000000001</v>
      </c>
      <c r="G71" s="6"/>
      <c r="K71" s="7" t="str">
        <f t="shared" si="41"/>
        <v>2028Q4</v>
      </c>
      <c r="L71" s="6"/>
      <c r="M71" s="9">
        <f t="shared" si="42"/>
        <v>1206.617</v>
      </c>
      <c r="N71" s="6"/>
      <c r="O71" s="6"/>
      <c r="P71" s="9">
        <f t="shared" si="43"/>
        <v>1.802</v>
      </c>
      <c r="Q71" s="6"/>
    </row>
    <row r="72" spans="1:17" ht="15.5" thickTop="1" thickBot="1" x14ac:dyDescent="0.4">
      <c r="A72" s="7" t="str">
        <f t="shared" si="33"/>
        <v>2029Q1</v>
      </c>
      <c r="B72" s="6"/>
      <c r="C72" s="9">
        <f t="shared" si="39"/>
        <v>1175.252</v>
      </c>
      <c r="D72" s="6"/>
      <c r="E72" s="6"/>
      <c r="F72" s="9">
        <f t="shared" si="40"/>
        <v>1.833</v>
      </c>
      <c r="G72" s="6"/>
      <c r="K72" s="7" t="str">
        <f t="shared" si="41"/>
        <v>2029Q1</v>
      </c>
      <c r="L72" s="6"/>
      <c r="M72" s="9">
        <f t="shared" si="42"/>
        <v>1157.2280000000001</v>
      </c>
      <c r="N72" s="6"/>
      <c r="O72" s="6"/>
      <c r="P72" s="9">
        <f t="shared" si="43"/>
        <v>1.79</v>
      </c>
      <c r="Q72" s="6"/>
    </row>
    <row r="73" spans="1:17" ht="15.5" thickTop="1" thickBot="1" x14ac:dyDescent="0.4">
      <c r="A73" s="7" t="str">
        <f t="shared" si="33"/>
        <v>2029Q2</v>
      </c>
      <c r="B73" s="6"/>
      <c r="C73" s="9">
        <f t="shared" si="39"/>
        <v>1232.8630000000001</v>
      </c>
      <c r="D73" s="6"/>
      <c r="E73" s="6"/>
      <c r="F73" s="9">
        <f t="shared" si="40"/>
        <v>1.881</v>
      </c>
      <c r="G73" s="6"/>
      <c r="K73" s="7" t="str">
        <f t="shared" si="41"/>
        <v>2029Q2</v>
      </c>
      <c r="L73" s="6"/>
      <c r="M73" s="9">
        <f t="shared" si="42"/>
        <v>1214.8389999999999</v>
      </c>
      <c r="N73" s="6"/>
      <c r="O73" s="6"/>
      <c r="P73" s="9">
        <f t="shared" si="43"/>
        <v>1.837</v>
      </c>
      <c r="Q73" s="6"/>
    </row>
    <row r="74" spans="1:17" ht="15.5" thickTop="1" thickBot="1" x14ac:dyDescent="0.4">
      <c r="A74" s="7" t="str">
        <f t="shared" si="33"/>
        <v>2029Q3</v>
      </c>
      <c r="B74" s="6"/>
      <c r="C74" s="9">
        <f t="shared" si="39"/>
        <v>1235.8019999999999</v>
      </c>
      <c r="D74" s="6"/>
      <c r="E74" s="6"/>
      <c r="F74" s="9">
        <f t="shared" si="40"/>
        <v>1.8839999999999999</v>
      </c>
      <c r="G74" s="6"/>
      <c r="K74" s="7" t="str">
        <f t="shared" si="41"/>
        <v>2029Q3</v>
      </c>
      <c r="L74" s="6"/>
      <c r="M74" s="9">
        <f t="shared" si="42"/>
        <v>1217.778</v>
      </c>
      <c r="N74" s="6"/>
      <c r="O74" s="6"/>
      <c r="P74" s="9">
        <f t="shared" si="43"/>
        <v>1.839</v>
      </c>
      <c r="Q74" s="6"/>
    </row>
    <row r="75" spans="1:17" ht="15.5" thickTop="1" thickBot="1" x14ac:dyDescent="0.4">
      <c r="A75" s="7" t="str">
        <f t="shared" si="33"/>
        <v>2029Q4</v>
      </c>
      <c r="B75" s="6"/>
      <c r="C75" s="9">
        <f>ROUND(C35-((D35-C35)*(0.5/2)),3)</f>
        <v>1252.56</v>
      </c>
      <c r="D75" s="6"/>
      <c r="E75" s="6"/>
      <c r="F75" s="9">
        <f t="shared" si="40"/>
        <v>1.8919999999999999</v>
      </c>
      <c r="G75" s="6"/>
      <c r="K75" s="7" t="str">
        <f t="shared" si="41"/>
        <v>2029Q4</v>
      </c>
      <c r="L75" s="6"/>
      <c r="M75" s="9">
        <f t="shared" si="42"/>
        <v>1234.5350000000001</v>
      </c>
      <c r="N75" s="6"/>
      <c r="O75" s="6"/>
      <c r="P75" s="9">
        <f t="shared" si="43"/>
        <v>1.8460000000000001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6"/>
  <sheetViews>
    <sheetView topLeftCell="I1"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81640625" style="1" customWidth="1"/>
    <col min="4" max="5" width="12.1796875" style="1" bestFit="1" customWidth="1"/>
    <col min="6" max="6" width="19.81640625" style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2" t="s">
        <v>18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1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67">
        <v>739.07509352755653</v>
      </c>
      <c r="M3" s="67">
        <v>700.90892519689714</v>
      </c>
      <c r="N3" s="67">
        <v>777.24126185821592</v>
      </c>
      <c r="O3" s="1">
        <f t="shared" ref="O3:O34" si="0">ROUND(M3,3)</f>
        <v>700.90899999999999</v>
      </c>
      <c r="P3" s="1">
        <f t="shared" ref="P3:P34" si="1">ROUND(L3,3)</f>
        <v>739.07500000000005</v>
      </c>
      <c r="Q3" s="1">
        <f t="shared" ref="Q3:Q34" si="2">ROUND(N3,3)</f>
        <v>777.24099999999999</v>
      </c>
      <c r="R3" s="14" t="str">
        <f>K3</f>
        <v>2022Q1</v>
      </c>
      <c r="S3" s="54">
        <v>1.0915067392221725</v>
      </c>
      <c r="T3" s="54">
        <v>1.0499312587814025</v>
      </c>
      <c r="U3" s="54">
        <v>1.1330822196629424</v>
      </c>
      <c r="V3" s="1">
        <f t="shared" ref="V3:V34" si="3">ROUND(T3,3)</f>
        <v>1.05</v>
      </c>
      <c r="W3" s="1">
        <f t="shared" ref="W3:W34" si="4">ROUND(S3,3)</f>
        <v>1.0920000000000001</v>
      </c>
      <c r="X3" s="1">
        <f t="shared" ref="X3:X34" si="5">ROUND(U3,3)</f>
        <v>1.133</v>
      </c>
    </row>
    <row r="4" spans="1:30" ht="15.5" thickTop="1" thickBot="1" x14ac:dyDescent="0.4">
      <c r="A4" s="5" t="str">
        <f>K3</f>
        <v>2022Q1</v>
      </c>
      <c r="B4" s="2">
        <f>O3</f>
        <v>700.90899999999999</v>
      </c>
      <c r="C4" s="3">
        <f>P3</f>
        <v>739.07500000000005</v>
      </c>
      <c r="D4" s="2">
        <f>Q3</f>
        <v>777.24099999999999</v>
      </c>
      <c r="E4" s="2">
        <f>V3</f>
        <v>1.05</v>
      </c>
      <c r="F4" s="3">
        <f>W3</f>
        <v>1.0920000000000001</v>
      </c>
      <c r="G4" s="2">
        <f>X3</f>
        <v>1.133</v>
      </c>
      <c r="K4" s="14" t="s">
        <v>70</v>
      </c>
      <c r="L4" s="67">
        <v>782.92113802951621</v>
      </c>
      <c r="M4" s="67">
        <v>741.86216790123558</v>
      </c>
      <c r="N4" s="67">
        <v>823.98010815779685</v>
      </c>
      <c r="O4" s="1">
        <f t="shared" si="0"/>
        <v>741.86199999999997</v>
      </c>
      <c r="P4" s="1">
        <f t="shared" si="1"/>
        <v>782.92100000000005</v>
      </c>
      <c r="Q4" s="1">
        <f t="shared" si="2"/>
        <v>823.98</v>
      </c>
      <c r="R4" s="14" t="str">
        <f t="shared" ref="R4:R34" si="6">K4</f>
        <v>2022Q2</v>
      </c>
      <c r="S4" s="54">
        <v>1.116578382911265</v>
      </c>
      <c r="T4" s="54">
        <v>1.062140323308236</v>
      </c>
      <c r="U4" s="54">
        <v>1.1710164425142939</v>
      </c>
      <c r="V4" s="1">
        <f t="shared" si="3"/>
        <v>1.0620000000000001</v>
      </c>
      <c r="W4" s="1">
        <f t="shared" si="4"/>
        <v>1.117</v>
      </c>
      <c r="X4" s="1">
        <f t="shared" si="5"/>
        <v>1.171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741.86199999999997</v>
      </c>
      <c r="C5" s="3">
        <f t="shared" si="8"/>
        <v>782.92100000000005</v>
      </c>
      <c r="D5" s="2">
        <f t="shared" si="8"/>
        <v>823.98</v>
      </c>
      <c r="E5" s="2">
        <f t="shared" ref="E5:G20" si="9">V4</f>
        <v>1.0620000000000001</v>
      </c>
      <c r="F5" s="3">
        <f t="shared" si="9"/>
        <v>1.117</v>
      </c>
      <c r="G5" s="2">
        <f t="shared" si="9"/>
        <v>1.171</v>
      </c>
      <c r="I5" s="1">
        <f>SUM(F5:F8)</f>
        <v>4.51</v>
      </c>
      <c r="K5" s="14" t="s">
        <v>71</v>
      </c>
      <c r="L5" s="67">
        <v>784.34812720552077</v>
      </c>
      <c r="M5" s="67">
        <v>742.32486474470898</v>
      </c>
      <c r="N5" s="67">
        <v>826.37138966633256</v>
      </c>
      <c r="O5" s="1">
        <f t="shared" si="0"/>
        <v>742.32500000000005</v>
      </c>
      <c r="P5" s="1">
        <f t="shared" si="1"/>
        <v>784.34799999999996</v>
      </c>
      <c r="Q5" s="1">
        <f t="shared" si="2"/>
        <v>826.37099999999998</v>
      </c>
      <c r="R5" s="14" t="str">
        <f t="shared" si="6"/>
        <v>2022Q3</v>
      </c>
      <c r="S5" s="54">
        <v>1.1252262499750876</v>
      </c>
      <c r="T5" s="54">
        <v>1.0604191170937514</v>
      </c>
      <c r="U5" s="54">
        <v>1.1900333828564238</v>
      </c>
      <c r="V5" s="1">
        <f t="shared" si="3"/>
        <v>1.06</v>
      </c>
      <c r="W5" s="1">
        <f t="shared" si="4"/>
        <v>1.125</v>
      </c>
      <c r="X5" s="1">
        <f t="shared" si="5"/>
        <v>1.19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742.32500000000005</v>
      </c>
      <c r="C6" s="3">
        <f t="shared" si="8"/>
        <v>784.34799999999996</v>
      </c>
      <c r="D6" s="2">
        <f t="shared" si="8"/>
        <v>826.37099999999998</v>
      </c>
      <c r="E6" s="2">
        <f t="shared" si="9"/>
        <v>1.06</v>
      </c>
      <c r="F6" s="3">
        <f t="shared" si="9"/>
        <v>1.125</v>
      </c>
      <c r="G6" s="2">
        <f t="shared" si="9"/>
        <v>1.19</v>
      </c>
      <c r="I6" s="1">
        <f>SUM(F9:F12)</f>
        <v>4.6790000000000003</v>
      </c>
      <c r="K6" s="14" t="s">
        <v>72</v>
      </c>
      <c r="L6" s="67">
        <v>799.2454563587072</v>
      </c>
      <c r="M6" s="67">
        <v>756.89028370353105</v>
      </c>
      <c r="N6" s="67">
        <v>841.60062901388335</v>
      </c>
      <c r="O6" s="1">
        <f t="shared" si="0"/>
        <v>756.89</v>
      </c>
      <c r="P6" s="1">
        <f t="shared" si="1"/>
        <v>799.245</v>
      </c>
      <c r="Q6" s="1">
        <f t="shared" si="2"/>
        <v>841.601</v>
      </c>
      <c r="R6" s="14" t="str">
        <f t="shared" si="6"/>
        <v>2022Q4</v>
      </c>
      <c r="S6" s="54">
        <v>1.133617948933701</v>
      </c>
      <c r="T6" s="54">
        <v>1.0598858543995087</v>
      </c>
      <c r="U6" s="54">
        <v>1.2073500434678934</v>
      </c>
      <c r="V6" s="1">
        <f t="shared" si="3"/>
        <v>1.06</v>
      </c>
      <c r="W6" s="1">
        <f t="shared" si="4"/>
        <v>1.1339999999999999</v>
      </c>
      <c r="X6" s="1">
        <f t="shared" si="5"/>
        <v>1.2070000000000001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756.89</v>
      </c>
      <c r="C7" s="3">
        <f t="shared" si="8"/>
        <v>799.245</v>
      </c>
      <c r="D7" s="2">
        <f t="shared" si="8"/>
        <v>841.601</v>
      </c>
      <c r="E7" s="2">
        <f t="shared" si="9"/>
        <v>1.06</v>
      </c>
      <c r="F7" s="3">
        <f t="shared" si="9"/>
        <v>1.1339999999999999</v>
      </c>
      <c r="G7" s="2">
        <f t="shared" si="9"/>
        <v>1.2070000000000001</v>
      </c>
      <c r="I7" s="1">
        <f>SUM(F13:F16)</f>
        <v>4.8479999999999999</v>
      </c>
      <c r="K7" s="14" t="s">
        <v>73</v>
      </c>
      <c r="L7" s="67">
        <v>755.79896287699694</v>
      </c>
      <c r="M7" s="67">
        <v>713.32837595753745</v>
      </c>
      <c r="N7" s="67">
        <v>798.26954979645643</v>
      </c>
      <c r="O7" s="1">
        <f t="shared" si="0"/>
        <v>713.32799999999997</v>
      </c>
      <c r="P7" s="1">
        <f t="shared" si="1"/>
        <v>755.79899999999998</v>
      </c>
      <c r="Q7" s="1">
        <f t="shared" si="2"/>
        <v>798.27</v>
      </c>
      <c r="R7" s="14" t="str">
        <f t="shared" si="6"/>
        <v>2023Q1</v>
      </c>
      <c r="S7" s="54">
        <v>1.1338686774897846</v>
      </c>
      <c r="T7" s="54">
        <v>1.0521809851955157</v>
      </c>
      <c r="U7" s="54">
        <v>1.2155563697840535</v>
      </c>
      <c r="V7" s="1">
        <f t="shared" si="3"/>
        <v>1.052</v>
      </c>
      <c r="W7" s="1">
        <f t="shared" si="4"/>
        <v>1.1339999999999999</v>
      </c>
      <c r="X7" s="1">
        <f t="shared" si="5"/>
        <v>1.216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713.32799999999997</v>
      </c>
      <c r="C8" s="3">
        <f t="shared" si="8"/>
        <v>755.79899999999998</v>
      </c>
      <c r="D8" s="2">
        <f t="shared" si="8"/>
        <v>798.27</v>
      </c>
      <c r="E8" s="2">
        <f t="shared" si="9"/>
        <v>1.052</v>
      </c>
      <c r="F8" s="3">
        <f t="shared" si="9"/>
        <v>1.1339999999999999</v>
      </c>
      <c r="G8" s="2">
        <f t="shared" si="9"/>
        <v>1.216</v>
      </c>
      <c r="I8" s="1">
        <f>SUM(F17:F20)</f>
        <v>5.0179999999999998</v>
      </c>
      <c r="K8" s="14" t="s">
        <v>74</v>
      </c>
      <c r="L8" s="67">
        <v>801.2455204405012</v>
      </c>
      <c r="M8" s="67">
        <v>758.73466197360744</v>
      </c>
      <c r="N8" s="67">
        <v>843.75637890739495</v>
      </c>
      <c r="O8" s="1">
        <f t="shared" si="0"/>
        <v>758.73500000000001</v>
      </c>
      <c r="P8" s="1">
        <f t="shared" si="1"/>
        <v>801.24599999999998</v>
      </c>
      <c r="Q8" s="1">
        <f t="shared" si="2"/>
        <v>843.75599999999997</v>
      </c>
      <c r="R8" s="14" t="str">
        <f t="shared" si="6"/>
        <v>2023Q2</v>
      </c>
      <c r="S8" s="54">
        <v>1.1589124607028818</v>
      </c>
      <c r="T8" s="54">
        <v>1.0699780107957997</v>
      </c>
      <c r="U8" s="54">
        <v>1.2478469106099639</v>
      </c>
      <c r="V8" s="1">
        <f t="shared" si="3"/>
        <v>1.07</v>
      </c>
      <c r="W8" s="1">
        <f t="shared" si="4"/>
        <v>1.159</v>
      </c>
      <c r="X8" s="1">
        <f t="shared" si="5"/>
        <v>1.248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758.73500000000001</v>
      </c>
      <c r="C9" s="3">
        <f t="shared" si="8"/>
        <v>801.24599999999998</v>
      </c>
      <c r="D9" s="2">
        <f t="shared" si="8"/>
        <v>843.75599999999997</v>
      </c>
      <c r="E9" s="2">
        <f t="shared" si="9"/>
        <v>1.07</v>
      </c>
      <c r="F9" s="3">
        <f t="shared" si="9"/>
        <v>1.159</v>
      </c>
      <c r="G9" s="2">
        <f t="shared" si="9"/>
        <v>1.248</v>
      </c>
      <c r="I9" s="1">
        <f>SUM(F21:F24)</f>
        <v>5.1869999999999994</v>
      </c>
      <c r="K9" s="14" t="s">
        <v>75</v>
      </c>
      <c r="L9" s="67">
        <v>803.61880520593718</v>
      </c>
      <c r="M9" s="67">
        <v>761.09387797685076</v>
      </c>
      <c r="N9" s="67">
        <v>846.14373243502359</v>
      </c>
      <c r="O9" s="1">
        <f t="shared" si="0"/>
        <v>761.09400000000005</v>
      </c>
      <c r="P9" s="1">
        <f t="shared" si="1"/>
        <v>803.61900000000003</v>
      </c>
      <c r="Q9" s="1">
        <f t="shared" si="2"/>
        <v>846.14400000000001</v>
      </c>
      <c r="R9" s="14" t="str">
        <f t="shared" si="6"/>
        <v>2023Q3</v>
      </c>
      <c r="S9" s="54">
        <v>1.1675604189564477</v>
      </c>
      <c r="T9" s="54">
        <v>1.0719267758794029</v>
      </c>
      <c r="U9" s="54">
        <v>1.2631940620334925</v>
      </c>
      <c r="V9" s="1">
        <f t="shared" si="3"/>
        <v>1.0720000000000001</v>
      </c>
      <c r="W9" s="1">
        <f t="shared" si="4"/>
        <v>1.1679999999999999</v>
      </c>
      <c r="X9" s="1">
        <f t="shared" si="5"/>
        <v>1.2629999999999999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761.09400000000005</v>
      </c>
      <c r="C10" s="3">
        <f t="shared" si="8"/>
        <v>803.61900000000003</v>
      </c>
      <c r="D10" s="2">
        <f t="shared" si="8"/>
        <v>846.14400000000001</v>
      </c>
      <c r="E10" s="2">
        <f t="shared" si="9"/>
        <v>1.0720000000000001</v>
      </c>
      <c r="F10" s="3">
        <f t="shared" si="9"/>
        <v>1.1679999999999999</v>
      </c>
      <c r="G10" s="2">
        <f t="shared" si="9"/>
        <v>1.2629999999999999</v>
      </c>
      <c r="I10" s="1">
        <f>SUM(F25:F28)</f>
        <v>5.3559999999999999</v>
      </c>
      <c r="K10" s="14" t="s">
        <v>76</v>
      </c>
      <c r="L10" s="67">
        <v>819.07562703937265</v>
      </c>
      <c r="M10" s="67">
        <v>776.54578287919048</v>
      </c>
      <c r="N10" s="67">
        <v>861.60547119955481</v>
      </c>
      <c r="O10" s="1">
        <f t="shared" si="0"/>
        <v>776.54600000000005</v>
      </c>
      <c r="P10" s="1">
        <f t="shared" si="1"/>
        <v>819.07600000000002</v>
      </c>
      <c r="Q10" s="1">
        <f t="shared" si="2"/>
        <v>861.60500000000002</v>
      </c>
      <c r="R10" s="14" t="str">
        <f t="shared" si="6"/>
        <v>2023Q4</v>
      </c>
      <c r="S10" s="54">
        <v>1.1759521176165892</v>
      </c>
      <c r="T10" s="54">
        <v>1.0740587861561846</v>
      </c>
      <c r="U10" s="54">
        <v>1.2778454490769939</v>
      </c>
      <c r="V10" s="1">
        <f t="shared" si="3"/>
        <v>1.0740000000000001</v>
      </c>
      <c r="W10" s="1">
        <f t="shared" si="4"/>
        <v>1.1759999999999999</v>
      </c>
      <c r="X10" s="1">
        <f t="shared" si="5"/>
        <v>1.278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776.54600000000005</v>
      </c>
      <c r="C11" s="3">
        <f t="shared" si="8"/>
        <v>819.07600000000002</v>
      </c>
      <c r="D11" s="2">
        <f t="shared" si="8"/>
        <v>861.60500000000002</v>
      </c>
      <c r="E11" s="2">
        <f t="shared" si="9"/>
        <v>1.0740000000000001</v>
      </c>
      <c r="F11" s="3">
        <f t="shared" si="9"/>
        <v>1.1759999999999999</v>
      </c>
      <c r="G11" s="2">
        <f t="shared" si="9"/>
        <v>1.278</v>
      </c>
      <c r="I11" s="1">
        <f>SUM(F29:F32)</f>
        <v>5.5259999999999998</v>
      </c>
      <c r="K11" s="14" t="s">
        <v>77</v>
      </c>
      <c r="L11" s="67">
        <v>775.95993089281671</v>
      </c>
      <c r="M11" s="67">
        <v>733.42836805103184</v>
      </c>
      <c r="N11" s="67">
        <v>818.49149373460159</v>
      </c>
      <c r="O11" s="1">
        <f t="shared" si="0"/>
        <v>733.428</v>
      </c>
      <c r="P11" s="1">
        <f t="shared" si="1"/>
        <v>775.96</v>
      </c>
      <c r="Q11" s="1">
        <f t="shared" si="2"/>
        <v>818.49099999999999</v>
      </c>
      <c r="R11" s="14" t="str">
        <f t="shared" si="6"/>
        <v>2024Q1</v>
      </c>
      <c r="S11" s="54">
        <v>1.1762028461736496</v>
      </c>
      <c r="T11" s="54">
        <v>1.0684127338997855</v>
      </c>
      <c r="U11" s="54">
        <v>1.2839929584475136</v>
      </c>
      <c r="V11" s="1">
        <f t="shared" si="3"/>
        <v>1.0680000000000001</v>
      </c>
      <c r="W11" s="1">
        <f t="shared" si="4"/>
        <v>1.1759999999999999</v>
      </c>
      <c r="X11" s="1">
        <f t="shared" si="5"/>
        <v>1.284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733.428</v>
      </c>
      <c r="C12" s="3">
        <f t="shared" si="8"/>
        <v>775.96</v>
      </c>
      <c r="D12" s="2">
        <f t="shared" si="8"/>
        <v>818.49099999999999</v>
      </c>
      <c r="E12" s="2">
        <f t="shared" si="9"/>
        <v>1.0680000000000001</v>
      </c>
      <c r="F12" s="3">
        <f t="shared" si="9"/>
        <v>1.1759999999999999</v>
      </c>
      <c r="G12" s="2">
        <f t="shared" si="9"/>
        <v>1.284</v>
      </c>
      <c r="K12" s="14" t="s">
        <v>78</v>
      </c>
      <c r="L12" s="67">
        <v>821.60207077724897</v>
      </c>
      <c r="M12" s="67">
        <v>779.06990715089114</v>
      </c>
      <c r="N12" s="67">
        <v>864.1342344036068</v>
      </c>
      <c r="O12" s="1">
        <f t="shared" si="0"/>
        <v>779.07</v>
      </c>
      <c r="P12" s="1">
        <f t="shared" si="1"/>
        <v>821.60199999999998</v>
      </c>
      <c r="Q12" s="1">
        <f t="shared" si="2"/>
        <v>864.13400000000001</v>
      </c>
      <c r="R12" s="14" t="str">
        <f t="shared" si="6"/>
        <v>2024Q2</v>
      </c>
      <c r="S12" s="54">
        <v>1.2012466293867436</v>
      </c>
      <c r="T12" s="54">
        <v>1.0878660066510903</v>
      </c>
      <c r="U12" s="54">
        <v>1.3146272521223969</v>
      </c>
      <c r="V12" s="1">
        <f t="shared" si="3"/>
        <v>1.0880000000000001</v>
      </c>
      <c r="W12" s="1">
        <f t="shared" si="4"/>
        <v>1.2010000000000001</v>
      </c>
      <c r="X12" s="1">
        <f t="shared" si="5"/>
        <v>1.3149999999999999</v>
      </c>
    </row>
    <row r="13" spans="1:30" ht="15.5" thickTop="1" thickBot="1" x14ac:dyDescent="0.4">
      <c r="A13" s="5" t="str">
        <f t="shared" si="7"/>
        <v>2024Q2</v>
      </c>
      <c r="B13" s="2">
        <f t="shared" si="8"/>
        <v>779.07</v>
      </c>
      <c r="C13" s="3">
        <f t="shared" si="8"/>
        <v>821.60199999999998</v>
      </c>
      <c r="D13" s="2">
        <f t="shared" si="8"/>
        <v>864.13400000000001</v>
      </c>
      <c r="E13" s="2">
        <f t="shared" si="9"/>
        <v>1.0880000000000001</v>
      </c>
      <c r="F13" s="3">
        <f t="shared" si="9"/>
        <v>1.2010000000000001</v>
      </c>
      <c r="G13" s="2">
        <f t="shared" si="9"/>
        <v>1.3149999999999999</v>
      </c>
      <c r="K13" s="14" t="s">
        <v>79</v>
      </c>
      <c r="L13" s="67">
        <v>824.09099264188251</v>
      </c>
      <c r="M13" s="67">
        <v>781.55861900076422</v>
      </c>
      <c r="N13" s="67">
        <v>866.62336628300079</v>
      </c>
      <c r="O13" s="1">
        <f t="shared" si="0"/>
        <v>781.55899999999997</v>
      </c>
      <c r="P13" s="1">
        <f t="shared" si="1"/>
        <v>824.09100000000001</v>
      </c>
      <c r="Q13" s="1">
        <f t="shared" si="2"/>
        <v>866.62300000000005</v>
      </c>
      <c r="R13" s="14" t="str">
        <f t="shared" si="6"/>
        <v>2024Q3</v>
      </c>
      <c r="S13" s="54">
        <v>1.2098945876403093</v>
      </c>
      <c r="T13" s="54">
        <v>1.0911864458814693</v>
      </c>
      <c r="U13" s="54">
        <v>1.3286027293991494</v>
      </c>
      <c r="V13" s="1">
        <f t="shared" si="3"/>
        <v>1.091</v>
      </c>
      <c r="W13" s="1">
        <f t="shared" si="4"/>
        <v>1.21</v>
      </c>
      <c r="X13" s="1">
        <f t="shared" si="5"/>
        <v>1.329</v>
      </c>
    </row>
    <row r="14" spans="1:30" ht="15.5" thickTop="1" thickBot="1" x14ac:dyDescent="0.4">
      <c r="A14" s="5" t="str">
        <f t="shared" si="7"/>
        <v>2024Q3</v>
      </c>
      <c r="B14" s="2">
        <f t="shared" si="8"/>
        <v>781.55899999999997</v>
      </c>
      <c r="C14" s="3">
        <f t="shared" si="8"/>
        <v>824.09100000000001</v>
      </c>
      <c r="D14" s="2">
        <f t="shared" si="8"/>
        <v>866.62300000000005</v>
      </c>
      <c r="E14" s="2">
        <f t="shared" si="9"/>
        <v>1.091</v>
      </c>
      <c r="F14" s="3">
        <f t="shared" si="9"/>
        <v>1.21</v>
      </c>
      <c r="G14" s="2">
        <f t="shared" si="9"/>
        <v>1.329</v>
      </c>
      <c r="K14" s="14" t="s">
        <v>84</v>
      </c>
      <c r="L14" s="67">
        <v>839.61618434968796</v>
      </c>
      <c r="M14" s="67">
        <v>797.08373729378002</v>
      </c>
      <c r="N14" s="67">
        <v>882.14863140559589</v>
      </c>
      <c r="O14" s="1">
        <f t="shared" si="0"/>
        <v>797.08399999999995</v>
      </c>
      <c r="P14" s="1">
        <f t="shared" si="1"/>
        <v>839.61599999999999</v>
      </c>
      <c r="Q14" s="1">
        <f t="shared" si="2"/>
        <v>882.149</v>
      </c>
      <c r="R14" s="14" t="str">
        <f t="shared" si="6"/>
        <v>2024Q4</v>
      </c>
      <c r="S14" s="54">
        <v>1.2182862863004509</v>
      </c>
      <c r="T14" s="54">
        <v>1.0944796619714225</v>
      </c>
      <c r="U14" s="54">
        <v>1.3420929106294792</v>
      </c>
      <c r="V14" s="1">
        <f t="shared" si="3"/>
        <v>1.0940000000000001</v>
      </c>
      <c r="W14" s="1">
        <f t="shared" si="4"/>
        <v>1.218</v>
      </c>
      <c r="X14" s="1">
        <f t="shared" si="5"/>
        <v>1.3420000000000001</v>
      </c>
    </row>
    <row r="15" spans="1:30" ht="15.5" thickTop="1" thickBot="1" x14ac:dyDescent="0.4">
      <c r="A15" s="5" t="str">
        <f t="shared" si="7"/>
        <v>2024Q4</v>
      </c>
      <c r="B15" s="2">
        <f t="shared" si="8"/>
        <v>797.08399999999995</v>
      </c>
      <c r="C15" s="3">
        <f t="shared" si="8"/>
        <v>839.61599999999999</v>
      </c>
      <c r="D15" s="2">
        <f t="shared" si="8"/>
        <v>882.149</v>
      </c>
      <c r="E15" s="2">
        <f t="shared" si="9"/>
        <v>1.0940000000000001</v>
      </c>
      <c r="F15" s="3">
        <f t="shared" si="9"/>
        <v>1.218</v>
      </c>
      <c r="G15" s="2">
        <f t="shared" si="9"/>
        <v>1.3420000000000001</v>
      </c>
      <c r="K15" s="14" t="s">
        <v>81</v>
      </c>
      <c r="L15" s="67">
        <v>796.54091155994217</v>
      </c>
      <c r="M15" s="67">
        <v>754.00843884039523</v>
      </c>
      <c r="N15" s="67">
        <v>839.07338427948912</v>
      </c>
      <c r="O15" s="1">
        <f t="shared" si="0"/>
        <v>754.00800000000004</v>
      </c>
      <c r="P15" s="1">
        <f t="shared" si="1"/>
        <v>796.54100000000005</v>
      </c>
      <c r="Q15" s="1">
        <f t="shared" si="2"/>
        <v>839.07299999999998</v>
      </c>
      <c r="R15" s="14" t="str">
        <f t="shared" si="6"/>
        <v>2025Q1</v>
      </c>
      <c r="S15" s="54">
        <v>1.2185370148575112</v>
      </c>
      <c r="T15" s="54">
        <v>1.0898337222202927</v>
      </c>
      <c r="U15" s="54">
        <v>1.3472403074947297</v>
      </c>
      <c r="V15" s="1">
        <f t="shared" si="3"/>
        <v>1.0900000000000001</v>
      </c>
      <c r="W15" s="1">
        <f t="shared" si="4"/>
        <v>1.2190000000000001</v>
      </c>
      <c r="X15" s="1">
        <f t="shared" si="5"/>
        <v>1.347</v>
      </c>
    </row>
    <row r="16" spans="1:30" ht="15.5" thickTop="1" thickBot="1" x14ac:dyDescent="0.4">
      <c r="A16" s="5" t="str">
        <f t="shared" si="7"/>
        <v>2025Q1</v>
      </c>
      <c r="B16" s="2">
        <f t="shared" si="8"/>
        <v>754.00800000000004</v>
      </c>
      <c r="C16" s="3">
        <f t="shared" si="8"/>
        <v>796.54100000000005</v>
      </c>
      <c r="D16" s="2">
        <f t="shared" si="8"/>
        <v>839.07299999999998</v>
      </c>
      <c r="E16" s="2">
        <f t="shared" si="9"/>
        <v>1.0900000000000001</v>
      </c>
      <c r="F16" s="3">
        <f t="shared" si="9"/>
        <v>1.2190000000000001</v>
      </c>
      <c r="G16" s="2">
        <f t="shared" si="9"/>
        <v>1.347</v>
      </c>
      <c r="K16" s="14" t="s">
        <v>82</v>
      </c>
      <c r="L16" s="67">
        <v>842.20695155814326</v>
      </c>
      <c r="M16" s="67">
        <v>799.67446986734035</v>
      </c>
      <c r="N16" s="67">
        <v>884.73943324894617</v>
      </c>
      <c r="O16" s="1">
        <f t="shared" si="0"/>
        <v>799.67399999999998</v>
      </c>
      <c r="P16" s="1">
        <f t="shared" si="1"/>
        <v>842.20699999999999</v>
      </c>
      <c r="Q16" s="1">
        <f t="shared" si="2"/>
        <v>884.73900000000003</v>
      </c>
      <c r="R16" s="14" t="str">
        <f t="shared" si="6"/>
        <v>2025Q2</v>
      </c>
      <c r="S16" s="54">
        <v>1.2435807980706053</v>
      </c>
      <c r="T16" s="54">
        <v>1.110160429147514</v>
      </c>
      <c r="U16" s="54">
        <v>1.3770011669936966</v>
      </c>
      <c r="V16" s="1">
        <f t="shared" si="3"/>
        <v>1.1100000000000001</v>
      </c>
      <c r="W16" s="1">
        <f t="shared" si="4"/>
        <v>1.244</v>
      </c>
      <c r="X16" s="1">
        <f t="shared" si="5"/>
        <v>1.377</v>
      </c>
    </row>
    <row r="17" spans="1:24" ht="15.5" thickTop="1" thickBot="1" x14ac:dyDescent="0.4">
      <c r="A17" s="5" t="str">
        <f t="shared" si="7"/>
        <v>2025Q2</v>
      </c>
      <c r="B17" s="2">
        <f t="shared" si="8"/>
        <v>799.67399999999998</v>
      </c>
      <c r="C17" s="3">
        <f t="shared" si="8"/>
        <v>842.20699999999999</v>
      </c>
      <c r="D17" s="2">
        <f t="shared" si="8"/>
        <v>884.73900000000003</v>
      </c>
      <c r="E17" s="2">
        <f t="shared" si="9"/>
        <v>1.1100000000000001</v>
      </c>
      <c r="F17" s="3">
        <f t="shared" si="9"/>
        <v>1.244</v>
      </c>
      <c r="G17" s="2">
        <f t="shared" si="9"/>
        <v>1.377</v>
      </c>
      <c r="K17" s="14" t="s">
        <v>83</v>
      </c>
      <c r="L17" s="67">
        <v>844.710004249191</v>
      </c>
      <c r="M17" s="67">
        <v>802.17751942229904</v>
      </c>
      <c r="N17" s="67">
        <v>887.24248907608296</v>
      </c>
      <c r="O17" s="1">
        <f t="shared" si="0"/>
        <v>802.178</v>
      </c>
      <c r="P17" s="1">
        <f t="shared" si="1"/>
        <v>844.71</v>
      </c>
      <c r="Q17" s="1">
        <f t="shared" si="2"/>
        <v>887.24199999999996</v>
      </c>
      <c r="R17" s="14" t="str">
        <f t="shared" si="6"/>
        <v>2025Q3</v>
      </c>
      <c r="S17" s="54">
        <v>1.2522287563241712</v>
      </c>
      <c r="T17" s="54">
        <v>1.1142524824525881</v>
      </c>
      <c r="U17" s="54">
        <v>1.3902050301957543</v>
      </c>
      <c r="V17" s="1">
        <f t="shared" si="3"/>
        <v>1.1140000000000001</v>
      </c>
      <c r="W17" s="1">
        <f t="shared" si="4"/>
        <v>1.252</v>
      </c>
      <c r="X17" s="1">
        <f t="shared" si="5"/>
        <v>1.39</v>
      </c>
    </row>
    <row r="18" spans="1:24" ht="15.5" thickTop="1" thickBot="1" x14ac:dyDescent="0.4">
      <c r="A18" s="5" t="str">
        <f t="shared" si="7"/>
        <v>2025Q3</v>
      </c>
      <c r="B18" s="2">
        <f t="shared" si="8"/>
        <v>802.178</v>
      </c>
      <c r="C18" s="3">
        <f t="shared" si="8"/>
        <v>844.71</v>
      </c>
      <c r="D18" s="2">
        <f t="shared" si="8"/>
        <v>887.24199999999996</v>
      </c>
      <c r="E18" s="2">
        <f t="shared" si="9"/>
        <v>1.1140000000000001</v>
      </c>
      <c r="F18" s="3">
        <f t="shared" si="9"/>
        <v>1.252</v>
      </c>
      <c r="G18" s="2">
        <f t="shared" si="9"/>
        <v>1.39</v>
      </c>
      <c r="K18" s="14" t="s">
        <v>80</v>
      </c>
      <c r="L18" s="67">
        <v>860.24355073961715</v>
      </c>
      <c r="M18" s="67">
        <v>817.71106481644006</v>
      </c>
      <c r="N18" s="67">
        <v>902.77603666279424</v>
      </c>
      <c r="O18" s="1">
        <f t="shared" si="0"/>
        <v>817.71100000000001</v>
      </c>
      <c r="P18" s="1">
        <f t="shared" si="1"/>
        <v>860.24400000000003</v>
      </c>
      <c r="Q18" s="1">
        <f t="shared" si="2"/>
        <v>902.77599999999995</v>
      </c>
      <c r="R18" s="14" t="str">
        <f t="shared" si="6"/>
        <v>2025Q4</v>
      </c>
      <c r="S18" s="54">
        <v>1.2606204549843127</v>
      </c>
      <c r="T18" s="54">
        <v>1.1182339757828155</v>
      </c>
      <c r="U18" s="54">
        <v>1.40300693418581</v>
      </c>
      <c r="V18" s="1">
        <f t="shared" si="3"/>
        <v>1.1180000000000001</v>
      </c>
      <c r="W18" s="1">
        <f t="shared" si="4"/>
        <v>1.2609999999999999</v>
      </c>
      <c r="X18" s="1">
        <f t="shared" si="5"/>
        <v>1.403</v>
      </c>
    </row>
    <row r="19" spans="1:24" ht="15.5" thickTop="1" thickBot="1" x14ac:dyDescent="0.4">
      <c r="A19" s="5" t="str">
        <f t="shared" si="7"/>
        <v>2025Q4</v>
      </c>
      <c r="B19" s="2">
        <f t="shared" si="8"/>
        <v>817.71100000000001</v>
      </c>
      <c r="C19" s="3">
        <f t="shared" si="8"/>
        <v>860.24400000000003</v>
      </c>
      <c r="D19" s="2">
        <f t="shared" si="8"/>
        <v>902.77599999999995</v>
      </c>
      <c r="E19" s="2">
        <f t="shared" si="9"/>
        <v>1.1180000000000001</v>
      </c>
      <c r="F19" s="3">
        <f t="shared" si="9"/>
        <v>1.2609999999999999</v>
      </c>
      <c r="G19" s="2">
        <f t="shared" si="9"/>
        <v>1.403</v>
      </c>
      <c r="K19" s="14" t="s">
        <v>92</v>
      </c>
      <c r="L19" s="67">
        <v>817.17321767459737</v>
      </c>
      <c r="M19" s="67">
        <v>774.64073136819093</v>
      </c>
      <c r="N19" s="67">
        <v>859.70570398100381</v>
      </c>
      <c r="O19" s="1">
        <f t="shared" si="0"/>
        <v>774.64099999999996</v>
      </c>
      <c r="P19" s="1">
        <f t="shared" si="1"/>
        <v>817.173</v>
      </c>
      <c r="Q19" s="1">
        <f t="shared" si="2"/>
        <v>859.70600000000002</v>
      </c>
      <c r="R19" s="14" t="str">
        <f t="shared" si="6"/>
        <v>2026Q1</v>
      </c>
      <c r="S19" s="54">
        <v>1.2608711835413731</v>
      </c>
      <c r="T19" s="54">
        <v>1.1142070544323412</v>
      </c>
      <c r="U19" s="54">
        <v>1.4075353126504049</v>
      </c>
      <c r="V19" s="1">
        <f t="shared" si="3"/>
        <v>1.1140000000000001</v>
      </c>
      <c r="W19" s="1">
        <f t="shared" si="4"/>
        <v>1.2609999999999999</v>
      </c>
      <c r="X19" s="1">
        <f t="shared" si="5"/>
        <v>1.4079999999999999</v>
      </c>
    </row>
    <row r="20" spans="1:24" ht="15.5" thickTop="1" thickBot="1" x14ac:dyDescent="0.4">
      <c r="A20" s="5" t="str">
        <f t="shared" si="7"/>
        <v>2026Q1</v>
      </c>
      <c r="B20" s="2">
        <f t="shared" si="8"/>
        <v>774.64099999999996</v>
      </c>
      <c r="C20" s="3">
        <f t="shared" si="8"/>
        <v>817.173</v>
      </c>
      <c r="D20" s="2">
        <f t="shared" si="8"/>
        <v>859.70600000000002</v>
      </c>
      <c r="E20" s="2">
        <f t="shared" si="9"/>
        <v>1.1140000000000001</v>
      </c>
      <c r="F20" s="3">
        <f t="shared" si="9"/>
        <v>1.2609999999999999</v>
      </c>
      <c r="G20" s="2">
        <f t="shared" si="9"/>
        <v>1.4079999999999999</v>
      </c>
      <c r="K20" s="14" t="s">
        <v>93</v>
      </c>
      <c r="L20" s="67">
        <v>862.84217826109841</v>
      </c>
      <c r="M20" s="67">
        <v>820.30969182072624</v>
      </c>
      <c r="N20" s="67">
        <v>905.37466470147058</v>
      </c>
      <c r="O20" s="1">
        <f t="shared" si="0"/>
        <v>820.31</v>
      </c>
      <c r="P20" s="1">
        <f t="shared" si="1"/>
        <v>862.84199999999998</v>
      </c>
      <c r="Q20" s="1">
        <f t="shared" si="2"/>
        <v>905.375</v>
      </c>
      <c r="R20" s="14" t="str">
        <f t="shared" si="6"/>
        <v>2026Q2</v>
      </c>
      <c r="S20" s="54">
        <v>1.2859149667544671</v>
      </c>
      <c r="T20" s="54">
        <v>1.1350944639200613</v>
      </c>
      <c r="U20" s="54">
        <v>1.436735469588873</v>
      </c>
      <c r="V20" s="1">
        <f t="shared" si="3"/>
        <v>1.135</v>
      </c>
      <c r="W20" s="1">
        <f t="shared" si="4"/>
        <v>1.286</v>
      </c>
      <c r="X20" s="1">
        <f t="shared" si="5"/>
        <v>1.4370000000000001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820.31</v>
      </c>
      <c r="C21" s="3">
        <f t="shared" si="10"/>
        <v>862.84199999999998</v>
      </c>
      <c r="D21" s="2">
        <f t="shared" si="10"/>
        <v>905.375</v>
      </c>
      <c r="E21" s="2">
        <f t="shared" ref="E21:G35" si="11">V20</f>
        <v>1.135</v>
      </c>
      <c r="F21" s="3">
        <f t="shared" si="11"/>
        <v>1.286</v>
      </c>
      <c r="G21" s="2">
        <f t="shared" si="11"/>
        <v>1.4370000000000001</v>
      </c>
      <c r="K21" s="14" t="s">
        <v>94</v>
      </c>
      <c r="L21" s="67">
        <v>865.34695773582132</v>
      </c>
      <c r="M21" s="67">
        <v>822.81447124861859</v>
      </c>
      <c r="N21" s="67">
        <v>907.87944422302405</v>
      </c>
      <c r="O21" s="1">
        <f t="shared" si="0"/>
        <v>822.81399999999996</v>
      </c>
      <c r="P21" s="1">
        <f t="shared" si="1"/>
        <v>865.34699999999998</v>
      </c>
      <c r="Q21" s="1">
        <f t="shared" si="2"/>
        <v>907.87900000000002</v>
      </c>
      <c r="R21" s="14" t="str">
        <f t="shared" si="6"/>
        <v>2026Q3</v>
      </c>
      <c r="S21" s="54">
        <v>1.294562925008033</v>
      </c>
      <c r="T21" s="54">
        <v>1.1396975596640178</v>
      </c>
      <c r="U21" s="54">
        <v>1.4494282903520483</v>
      </c>
      <c r="V21" s="1">
        <f t="shared" si="3"/>
        <v>1.1399999999999999</v>
      </c>
      <c r="W21" s="1">
        <f t="shared" si="4"/>
        <v>1.2949999999999999</v>
      </c>
      <c r="X21" s="1">
        <f t="shared" si="5"/>
        <v>1.4490000000000001</v>
      </c>
    </row>
    <row r="22" spans="1:24" ht="15.5" thickTop="1" thickBot="1" x14ac:dyDescent="0.4">
      <c r="A22" s="5" t="str">
        <f t="shared" si="7"/>
        <v>2026Q3</v>
      </c>
      <c r="B22" s="2">
        <f t="shared" si="10"/>
        <v>822.81399999999996</v>
      </c>
      <c r="C22" s="3">
        <f t="shared" si="10"/>
        <v>865.34699999999998</v>
      </c>
      <c r="D22" s="2">
        <f t="shared" si="10"/>
        <v>907.87900000000002</v>
      </c>
      <c r="E22" s="2">
        <f t="shared" si="11"/>
        <v>1.1399999999999999</v>
      </c>
      <c r="F22" s="3">
        <f t="shared" si="11"/>
        <v>1.2949999999999999</v>
      </c>
      <c r="G22" s="2">
        <f t="shared" si="11"/>
        <v>1.4490000000000001</v>
      </c>
      <c r="K22" s="14" t="s">
        <v>95</v>
      </c>
      <c r="L22" s="67">
        <v>880.88152517872527</v>
      </c>
      <c r="M22" s="67">
        <v>838.34903867515197</v>
      </c>
      <c r="N22" s="67">
        <v>923.41401168229856</v>
      </c>
      <c r="O22" s="1">
        <f t="shared" si="0"/>
        <v>838.34900000000005</v>
      </c>
      <c r="P22" s="1">
        <f t="shared" si="1"/>
        <v>880.88199999999995</v>
      </c>
      <c r="Q22" s="1">
        <f t="shared" si="2"/>
        <v>923.41399999999999</v>
      </c>
      <c r="R22" s="14" t="str">
        <f t="shared" si="6"/>
        <v>2026Q4</v>
      </c>
      <c r="S22" s="54">
        <v>1.3029546236681746</v>
      </c>
      <c r="T22" s="54">
        <v>1.1441473861408891</v>
      </c>
      <c r="U22" s="54">
        <v>1.4617618611954601</v>
      </c>
      <c r="V22" s="1">
        <f t="shared" si="3"/>
        <v>1.1439999999999999</v>
      </c>
      <c r="W22" s="1">
        <f t="shared" si="4"/>
        <v>1.3029999999999999</v>
      </c>
      <c r="X22" s="1">
        <f t="shared" si="5"/>
        <v>1.462</v>
      </c>
    </row>
    <row r="23" spans="1:24" ht="15.5" thickTop="1" thickBot="1" x14ac:dyDescent="0.4">
      <c r="A23" s="5" t="str">
        <f t="shared" si="7"/>
        <v>2026Q4</v>
      </c>
      <c r="B23" s="2">
        <f t="shared" si="10"/>
        <v>838.34900000000005</v>
      </c>
      <c r="C23" s="3">
        <f t="shared" si="10"/>
        <v>880.88199999999995</v>
      </c>
      <c r="D23" s="2">
        <f t="shared" si="10"/>
        <v>923.41399999999999</v>
      </c>
      <c r="E23" s="2">
        <f t="shared" si="11"/>
        <v>1.1439999999999999</v>
      </c>
      <c r="F23" s="3">
        <f t="shared" si="11"/>
        <v>1.3029999999999999</v>
      </c>
      <c r="G23" s="2">
        <f t="shared" si="11"/>
        <v>1.462</v>
      </c>
      <c r="K23" s="14" t="s">
        <v>96</v>
      </c>
      <c r="L23" s="67">
        <v>837.81179574690918</v>
      </c>
      <c r="M23" s="67">
        <v>795.27930923761323</v>
      </c>
      <c r="N23" s="67">
        <v>880.34428225620513</v>
      </c>
      <c r="O23" s="1">
        <f t="shared" si="0"/>
        <v>795.279</v>
      </c>
      <c r="P23" s="1">
        <f t="shared" si="1"/>
        <v>837.81200000000001</v>
      </c>
      <c r="Q23" s="1">
        <f t="shared" si="2"/>
        <v>880.34400000000005</v>
      </c>
      <c r="R23" s="14" t="str">
        <f t="shared" si="6"/>
        <v>2027Q1</v>
      </c>
      <c r="S23" s="54">
        <v>1.3032053522252349</v>
      </c>
      <c r="T23" s="54">
        <v>1.1405517448291491</v>
      </c>
      <c r="U23" s="54">
        <v>1.4658589596213207</v>
      </c>
      <c r="V23" s="1">
        <f t="shared" si="3"/>
        <v>1.141</v>
      </c>
      <c r="W23" s="1">
        <f t="shared" si="4"/>
        <v>1.3029999999999999</v>
      </c>
      <c r="X23" s="1">
        <f t="shared" si="5"/>
        <v>1.466</v>
      </c>
    </row>
    <row r="24" spans="1:24" ht="15.5" thickTop="1" thickBot="1" x14ac:dyDescent="0.4">
      <c r="A24" s="5" t="str">
        <f t="shared" si="7"/>
        <v>2027Q1</v>
      </c>
      <c r="B24" s="2">
        <f t="shared" si="10"/>
        <v>795.279</v>
      </c>
      <c r="C24" s="3">
        <f t="shared" si="10"/>
        <v>837.81200000000001</v>
      </c>
      <c r="D24" s="2">
        <f t="shared" si="10"/>
        <v>880.34400000000005</v>
      </c>
      <c r="E24" s="2">
        <f t="shared" si="11"/>
        <v>1.141</v>
      </c>
      <c r="F24" s="3">
        <f t="shared" si="11"/>
        <v>1.3029999999999999</v>
      </c>
      <c r="G24" s="2">
        <f t="shared" si="11"/>
        <v>1.466</v>
      </c>
      <c r="K24" s="14" t="s">
        <v>97</v>
      </c>
      <c r="L24" s="67">
        <v>883.48111322861587</v>
      </c>
      <c r="M24" s="67">
        <v>840.94862671731937</v>
      </c>
      <c r="N24" s="67">
        <v>926.01359973991237</v>
      </c>
      <c r="O24" s="1">
        <f t="shared" si="0"/>
        <v>840.94899999999996</v>
      </c>
      <c r="P24" s="1">
        <f t="shared" si="1"/>
        <v>883.48099999999999</v>
      </c>
      <c r="Q24" s="1">
        <f t="shared" si="2"/>
        <v>926.01400000000001</v>
      </c>
      <c r="R24" s="14" t="str">
        <f t="shared" si="6"/>
        <v>2027Q2</v>
      </c>
      <c r="S24" s="54">
        <v>1.328249135438329</v>
      </c>
      <c r="T24" s="54">
        <v>1.1618380381314717</v>
      </c>
      <c r="U24" s="54">
        <v>1.4946602327451863</v>
      </c>
      <c r="V24" s="1">
        <f t="shared" si="3"/>
        <v>1.1619999999999999</v>
      </c>
      <c r="W24" s="1">
        <f t="shared" si="4"/>
        <v>1.3280000000000001</v>
      </c>
      <c r="X24" s="1">
        <f t="shared" si="5"/>
        <v>1.4950000000000001</v>
      </c>
    </row>
    <row r="25" spans="1:24" ht="15.5" thickTop="1" thickBot="1" x14ac:dyDescent="0.4">
      <c r="A25" s="5" t="str">
        <f t="shared" si="7"/>
        <v>2027Q2</v>
      </c>
      <c r="B25" s="2">
        <f t="shared" si="10"/>
        <v>840.94899999999996</v>
      </c>
      <c r="C25" s="3">
        <f t="shared" si="10"/>
        <v>883.48099999999999</v>
      </c>
      <c r="D25" s="2">
        <f t="shared" si="10"/>
        <v>926.01400000000001</v>
      </c>
      <c r="E25" s="2">
        <f t="shared" si="11"/>
        <v>1.1619999999999999</v>
      </c>
      <c r="F25" s="3">
        <f t="shared" si="11"/>
        <v>1.3280000000000001</v>
      </c>
      <c r="G25" s="2">
        <f t="shared" si="11"/>
        <v>1.4950000000000001</v>
      </c>
      <c r="K25" s="14" t="s">
        <v>98</v>
      </c>
      <c r="L25" s="67">
        <v>885.98610371589916</v>
      </c>
      <c r="M25" s="67">
        <v>843.45361720390338</v>
      </c>
      <c r="N25" s="67">
        <v>928.51859022789495</v>
      </c>
      <c r="O25" s="1">
        <f t="shared" si="0"/>
        <v>843.45399999999995</v>
      </c>
      <c r="P25" s="1">
        <f t="shared" si="1"/>
        <v>885.98599999999999</v>
      </c>
      <c r="Q25" s="1">
        <f t="shared" si="2"/>
        <v>928.51900000000001</v>
      </c>
      <c r="R25" s="14" t="str">
        <f t="shared" si="6"/>
        <v>2027Q3</v>
      </c>
      <c r="S25" s="54">
        <v>1.3368970936918949</v>
      </c>
      <c r="T25" s="54">
        <v>1.16681149578665</v>
      </c>
      <c r="U25" s="54">
        <v>1.5069826915971398</v>
      </c>
      <c r="V25" s="1">
        <f t="shared" si="3"/>
        <v>1.167</v>
      </c>
      <c r="W25" s="1">
        <f t="shared" si="4"/>
        <v>1.337</v>
      </c>
      <c r="X25" s="1">
        <f t="shared" si="5"/>
        <v>1.5069999999999999</v>
      </c>
    </row>
    <row r="26" spans="1:24" ht="15.5" thickTop="1" thickBot="1" x14ac:dyDescent="0.4">
      <c r="A26" s="5" t="str">
        <f t="shared" si="7"/>
        <v>2027Q3</v>
      </c>
      <c r="B26" s="2">
        <f t="shared" si="10"/>
        <v>843.45399999999995</v>
      </c>
      <c r="C26" s="3">
        <f t="shared" si="10"/>
        <v>885.98599999999999</v>
      </c>
      <c r="D26" s="2">
        <f t="shared" si="10"/>
        <v>928.51900000000001</v>
      </c>
      <c r="E26" s="2">
        <f t="shared" si="11"/>
        <v>1.167</v>
      </c>
      <c r="F26" s="3">
        <f t="shared" si="11"/>
        <v>1.337</v>
      </c>
      <c r="G26" s="2">
        <f t="shared" si="11"/>
        <v>1.5069999999999999</v>
      </c>
      <c r="K26" s="14" t="s">
        <v>99</v>
      </c>
      <c r="L26" s="67">
        <v>901.52079591895642</v>
      </c>
      <c r="M26" s="67">
        <v>858.98830940671621</v>
      </c>
      <c r="N26" s="67">
        <v>944.05328243119664</v>
      </c>
      <c r="O26" s="1">
        <f t="shared" si="0"/>
        <v>858.98800000000006</v>
      </c>
      <c r="P26" s="1">
        <f t="shared" si="1"/>
        <v>901.52099999999996</v>
      </c>
      <c r="Q26" s="1">
        <f t="shared" si="2"/>
        <v>944.053</v>
      </c>
      <c r="R26" s="14" t="str">
        <f t="shared" si="6"/>
        <v>2027Q4</v>
      </c>
      <c r="S26" s="54">
        <v>1.3452887923520365</v>
      </c>
      <c r="T26" s="54">
        <v>1.1716064158059489</v>
      </c>
      <c r="U26" s="54">
        <v>1.518971168898124</v>
      </c>
      <c r="V26" s="1">
        <f t="shared" si="3"/>
        <v>1.1719999999999999</v>
      </c>
      <c r="W26" s="1">
        <f t="shared" si="4"/>
        <v>1.345</v>
      </c>
      <c r="X26" s="1">
        <f t="shared" si="5"/>
        <v>1.5189999999999999</v>
      </c>
    </row>
    <row r="27" spans="1:24" ht="15.5" thickTop="1" thickBot="1" x14ac:dyDescent="0.4">
      <c r="A27" s="5" t="str">
        <f t="shared" si="7"/>
        <v>2027Q4</v>
      </c>
      <c r="B27" s="2">
        <f t="shared" si="10"/>
        <v>858.98800000000006</v>
      </c>
      <c r="C27" s="3">
        <f t="shared" si="10"/>
        <v>901.52099999999996</v>
      </c>
      <c r="D27" s="2">
        <f t="shared" si="10"/>
        <v>944.053</v>
      </c>
      <c r="E27" s="2">
        <f t="shared" si="11"/>
        <v>1.1719999999999999</v>
      </c>
      <c r="F27" s="3">
        <f t="shared" si="11"/>
        <v>1.345</v>
      </c>
      <c r="G27" s="2">
        <f t="shared" si="11"/>
        <v>1.5189999999999999</v>
      </c>
      <c r="K27" s="14" t="s">
        <v>100</v>
      </c>
      <c r="L27" s="67">
        <v>858.45114025097644</v>
      </c>
      <c r="M27" s="67">
        <v>815.91865373865073</v>
      </c>
      <c r="N27" s="67">
        <v>900.98362676330214</v>
      </c>
      <c r="O27" s="1">
        <f t="shared" si="0"/>
        <v>815.91899999999998</v>
      </c>
      <c r="P27" s="1">
        <f t="shared" si="1"/>
        <v>858.45100000000002</v>
      </c>
      <c r="Q27" s="1">
        <f t="shared" si="2"/>
        <v>900.98400000000004</v>
      </c>
      <c r="R27" s="14" t="str">
        <f t="shared" si="6"/>
        <v>2028Q1</v>
      </c>
      <c r="S27" s="54">
        <v>1.3455395209090968</v>
      </c>
      <c r="T27" s="54">
        <v>1.1683333550157813</v>
      </c>
      <c r="U27" s="54">
        <v>1.5227456868024123</v>
      </c>
      <c r="V27" s="1">
        <f t="shared" si="3"/>
        <v>1.1679999999999999</v>
      </c>
      <c r="W27" s="1">
        <f t="shared" si="4"/>
        <v>1.3460000000000001</v>
      </c>
      <c r="X27" s="1">
        <f t="shared" si="5"/>
        <v>1.5229999999999999</v>
      </c>
    </row>
    <row r="28" spans="1:24" ht="15.5" thickTop="1" thickBot="1" x14ac:dyDescent="0.4">
      <c r="A28" s="5" t="str">
        <f t="shared" si="7"/>
        <v>2028Q1</v>
      </c>
      <c r="B28" s="2">
        <f t="shared" si="10"/>
        <v>815.91899999999998</v>
      </c>
      <c r="C28" s="3">
        <f t="shared" si="10"/>
        <v>858.45100000000002</v>
      </c>
      <c r="D28" s="2">
        <f t="shared" si="10"/>
        <v>900.98400000000004</v>
      </c>
      <c r="E28" s="2">
        <f t="shared" si="11"/>
        <v>1.1679999999999999</v>
      </c>
      <c r="F28" s="3">
        <f t="shared" si="11"/>
        <v>1.3460000000000001</v>
      </c>
      <c r="G28" s="2">
        <f t="shared" si="11"/>
        <v>1.5229999999999999</v>
      </c>
      <c r="K28" s="14" t="s">
        <v>101</v>
      </c>
      <c r="L28" s="67">
        <v>904.12050134519347</v>
      </c>
      <c r="M28" s="67">
        <v>861.58801483283787</v>
      </c>
      <c r="N28" s="67">
        <v>946.65298785754908</v>
      </c>
      <c r="O28" s="1">
        <f t="shared" si="0"/>
        <v>861.58799999999997</v>
      </c>
      <c r="P28" s="1">
        <f t="shared" si="1"/>
        <v>904.12099999999998</v>
      </c>
      <c r="Q28" s="1">
        <f t="shared" si="2"/>
        <v>946.65300000000002</v>
      </c>
      <c r="R28" s="14" t="str">
        <f t="shared" si="6"/>
        <v>2028Q2</v>
      </c>
      <c r="S28" s="54">
        <v>1.3705833041221909</v>
      </c>
      <c r="T28" s="54">
        <v>1.1899220671660535</v>
      </c>
      <c r="U28" s="54">
        <v>1.5512445410783282</v>
      </c>
      <c r="V28" s="1">
        <f t="shared" si="3"/>
        <v>1.19</v>
      </c>
      <c r="W28" s="1">
        <f t="shared" si="4"/>
        <v>1.371</v>
      </c>
      <c r="X28" s="1">
        <f t="shared" si="5"/>
        <v>1.5509999999999999</v>
      </c>
    </row>
    <row r="29" spans="1:24" ht="15.5" thickTop="1" thickBot="1" x14ac:dyDescent="0.4">
      <c r="A29" s="5" t="str">
        <f t="shared" si="7"/>
        <v>2028Q2</v>
      </c>
      <c r="B29" s="2">
        <f t="shared" si="10"/>
        <v>861.58799999999997</v>
      </c>
      <c r="C29" s="3">
        <f t="shared" si="10"/>
        <v>904.12099999999998</v>
      </c>
      <c r="D29" s="2">
        <f t="shared" si="10"/>
        <v>946.65300000000002</v>
      </c>
      <c r="E29" s="2">
        <f t="shared" si="11"/>
        <v>1.19</v>
      </c>
      <c r="F29" s="3">
        <f t="shared" si="11"/>
        <v>1.371</v>
      </c>
      <c r="G29" s="2">
        <f t="shared" si="11"/>
        <v>1.5509999999999999</v>
      </c>
      <c r="K29" s="14" t="s">
        <v>102</v>
      </c>
      <c r="L29" s="67">
        <v>906.62551761816223</v>
      </c>
      <c r="M29" s="67">
        <v>864.09303110579617</v>
      </c>
      <c r="N29" s="67">
        <v>949.1580041305283</v>
      </c>
      <c r="O29" s="1">
        <f t="shared" si="0"/>
        <v>864.09299999999996</v>
      </c>
      <c r="P29" s="1">
        <f t="shared" si="1"/>
        <v>906.62599999999998</v>
      </c>
      <c r="Q29" s="1">
        <f t="shared" si="2"/>
        <v>949.15800000000002</v>
      </c>
      <c r="R29" s="14" t="str">
        <f t="shared" si="6"/>
        <v>2028Q3</v>
      </c>
      <c r="S29" s="54">
        <v>1.3792312623757568</v>
      </c>
      <c r="T29" s="54">
        <v>1.1951798025976994</v>
      </c>
      <c r="U29" s="54">
        <v>1.5632827221538141</v>
      </c>
      <c r="V29" s="1">
        <f t="shared" si="3"/>
        <v>1.1950000000000001</v>
      </c>
      <c r="W29" s="1">
        <f t="shared" si="4"/>
        <v>1.379</v>
      </c>
      <c r="X29" s="1">
        <f t="shared" si="5"/>
        <v>1.5629999999999999</v>
      </c>
    </row>
    <row r="30" spans="1:24" ht="15.5" thickTop="1" thickBot="1" x14ac:dyDescent="0.4">
      <c r="A30" s="5" t="str">
        <f t="shared" si="7"/>
        <v>2028Q3</v>
      </c>
      <c r="B30" s="2">
        <f t="shared" si="10"/>
        <v>864.09299999999996</v>
      </c>
      <c r="C30" s="3">
        <f t="shared" si="10"/>
        <v>906.62599999999998</v>
      </c>
      <c r="D30" s="2">
        <f t="shared" si="10"/>
        <v>949.15800000000002</v>
      </c>
      <c r="E30" s="2">
        <f t="shared" si="11"/>
        <v>1.1950000000000001</v>
      </c>
      <c r="F30" s="3">
        <f t="shared" si="11"/>
        <v>1.379</v>
      </c>
      <c r="G30" s="2">
        <f t="shared" si="11"/>
        <v>1.5629999999999999</v>
      </c>
      <c r="K30" s="14" t="s">
        <v>103</v>
      </c>
      <c r="L30" s="67">
        <v>922.16022506688103</v>
      </c>
      <c r="M30" s="67">
        <v>879.62773855451132</v>
      </c>
      <c r="N30" s="67">
        <v>964.69271157925073</v>
      </c>
      <c r="O30" s="1">
        <f t="shared" si="0"/>
        <v>879.62800000000004</v>
      </c>
      <c r="P30" s="1">
        <f t="shared" si="1"/>
        <v>922.16</v>
      </c>
      <c r="Q30" s="1">
        <f t="shared" si="2"/>
        <v>964.69299999999998</v>
      </c>
      <c r="R30" s="14" t="str">
        <f t="shared" si="6"/>
        <v>2028Q4</v>
      </c>
      <c r="S30" s="54">
        <v>1.3876229610358983</v>
      </c>
      <c r="T30" s="54">
        <v>1.2002426067979308</v>
      </c>
      <c r="U30" s="54">
        <v>1.5750033152738658</v>
      </c>
      <c r="V30" s="1">
        <f t="shared" si="3"/>
        <v>1.2</v>
      </c>
      <c r="W30" s="1">
        <f t="shared" si="4"/>
        <v>1.3879999999999999</v>
      </c>
      <c r="X30" s="1">
        <f t="shared" si="5"/>
        <v>1.575</v>
      </c>
    </row>
    <row r="31" spans="1:24" ht="15.5" thickTop="1" thickBot="1" x14ac:dyDescent="0.4">
      <c r="A31" s="5" t="str">
        <f t="shared" si="7"/>
        <v>2028Q4</v>
      </c>
      <c r="B31" s="2">
        <f t="shared" si="10"/>
        <v>879.62800000000004</v>
      </c>
      <c r="C31" s="3">
        <f t="shared" si="10"/>
        <v>922.16</v>
      </c>
      <c r="D31" s="2">
        <f t="shared" si="10"/>
        <v>964.69299999999998</v>
      </c>
      <c r="E31" s="2">
        <f t="shared" si="11"/>
        <v>1.2</v>
      </c>
      <c r="F31" s="3">
        <f t="shared" si="11"/>
        <v>1.3879999999999999</v>
      </c>
      <c r="G31" s="2">
        <f t="shared" si="11"/>
        <v>1.575</v>
      </c>
      <c r="K31" s="14" t="s">
        <v>104</v>
      </c>
      <c r="L31" s="67">
        <v>879.09057841282424</v>
      </c>
      <c r="M31" s="67">
        <v>836.55809190045329</v>
      </c>
      <c r="N31" s="67">
        <v>921.62306492519519</v>
      </c>
      <c r="O31" s="1">
        <f t="shared" si="0"/>
        <v>836.55799999999999</v>
      </c>
      <c r="P31" s="1">
        <f t="shared" si="1"/>
        <v>879.09100000000001</v>
      </c>
      <c r="Q31" s="1">
        <f t="shared" si="2"/>
        <v>921.62300000000005</v>
      </c>
      <c r="R31" s="14" t="str">
        <f t="shared" si="6"/>
        <v>2029Q1</v>
      </c>
      <c r="S31" s="54">
        <v>1.3878736895929586</v>
      </c>
      <c r="T31" s="54">
        <v>1.1972225567291372</v>
      </c>
      <c r="U31" s="54">
        <v>1.5785248224567801</v>
      </c>
      <c r="V31" s="1">
        <f t="shared" si="3"/>
        <v>1.1970000000000001</v>
      </c>
      <c r="W31" s="1">
        <f t="shared" si="4"/>
        <v>1.3879999999999999</v>
      </c>
      <c r="X31" s="1">
        <f t="shared" si="5"/>
        <v>1.579</v>
      </c>
    </row>
    <row r="32" spans="1:24" ht="15.5" thickTop="1" thickBot="1" x14ac:dyDescent="0.4">
      <c r="A32" s="5" t="str">
        <f t="shared" si="7"/>
        <v>2029Q1</v>
      </c>
      <c r="B32" s="2">
        <f t="shared" si="10"/>
        <v>836.55799999999999</v>
      </c>
      <c r="C32" s="3">
        <f t="shared" si="10"/>
        <v>879.09100000000001</v>
      </c>
      <c r="D32" s="2">
        <f t="shared" si="10"/>
        <v>921.62300000000005</v>
      </c>
      <c r="E32" s="2">
        <f t="shared" si="11"/>
        <v>1.1970000000000001</v>
      </c>
      <c r="F32" s="3">
        <f t="shared" si="11"/>
        <v>1.3879999999999999</v>
      </c>
      <c r="G32" s="2">
        <f t="shared" si="11"/>
        <v>1.579</v>
      </c>
      <c r="K32" s="14" t="s">
        <v>105</v>
      </c>
      <c r="L32" s="67">
        <v>924.75994483647992</v>
      </c>
      <c r="M32" s="67">
        <v>882.22745832410851</v>
      </c>
      <c r="N32" s="67">
        <v>967.29243134885132</v>
      </c>
      <c r="O32" s="1">
        <f t="shared" si="0"/>
        <v>882.22699999999998</v>
      </c>
      <c r="P32" s="1">
        <f t="shared" si="1"/>
        <v>924.76</v>
      </c>
      <c r="Q32" s="1">
        <f t="shared" si="2"/>
        <v>967.29200000000003</v>
      </c>
      <c r="R32" s="14" t="str">
        <f t="shared" si="6"/>
        <v>2029Q2</v>
      </c>
      <c r="S32" s="54">
        <v>1.4129174728060527</v>
      </c>
      <c r="T32" s="54">
        <v>1.2190507356638323</v>
      </c>
      <c r="U32" s="54">
        <v>1.6067842099482732</v>
      </c>
      <c r="V32" s="1">
        <f t="shared" si="3"/>
        <v>1.2190000000000001</v>
      </c>
      <c r="W32" s="1">
        <f t="shared" si="4"/>
        <v>1.413</v>
      </c>
      <c r="X32" s="1">
        <f t="shared" si="5"/>
        <v>1.607</v>
      </c>
    </row>
    <row r="33" spans="1:24" ht="15.5" thickTop="1" thickBot="1" x14ac:dyDescent="0.4">
      <c r="A33" s="5" t="str">
        <f t="shared" si="7"/>
        <v>2029Q2</v>
      </c>
      <c r="B33" s="2">
        <f t="shared" si="10"/>
        <v>882.22699999999998</v>
      </c>
      <c r="C33" s="3">
        <f t="shared" si="10"/>
        <v>924.76</v>
      </c>
      <c r="D33" s="2">
        <f t="shared" si="10"/>
        <v>967.29200000000003</v>
      </c>
      <c r="E33" s="2">
        <f t="shared" si="11"/>
        <v>1.2190000000000001</v>
      </c>
      <c r="F33" s="3">
        <f t="shared" si="11"/>
        <v>1.413</v>
      </c>
      <c r="G33" s="2">
        <f t="shared" si="11"/>
        <v>1.607</v>
      </c>
      <c r="K33" s="14" t="s">
        <v>106</v>
      </c>
      <c r="L33" s="67">
        <v>927.26496426045333</v>
      </c>
      <c r="M33" s="67">
        <v>884.73247774808181</v>
      </c>
      <c r="N33" s="67">
        <v>969.79745077282485</v>
      </c>
      <c r="O33" s="1">
        <f t="shared" si="0"/>
        <v>884.73199999999997</v>
      </c>
      <c r="P33" s="1">
        <f t="shared" si="1"/>
        <v>927.26499999999999</v>
      </c>
      <c r="Q33" s="1">
        <f t="shared" si="2"/>
        <v>969.79700000000003</v>
      </c>
      <c r="R33" s="14" t="str">
        <f t="shared" si="6"/>
        <v>2029Q3</v>
      </c>
      <c r="S33" s="54">
        <v>1.4215654310596186</v>
      </c>
      <c r="T33" s="54">
        <v>1.2245355625673437</v>
      </c>
      <c r="U33" s="54">
        <v>1.6185952995518935</v>
      </c>
      <c r="V33" s="1">
        <f t="shared" si="3"/>
        <v>1.2250000000000001</v>
      </c>
      <c r="W33" s="1">
        <f t="shared" si="4"/>
        <v>1.4219999999999999</v>
      </c>
      <c r="X33" s="1">
        <f t="shared" si="5"/>
        <v>1.619</v>
      </c>
    </row>
    <row r="34" spans="1:24" ht="15.5" thickTop="1" thickBot="1" x14ac:dyDescent="0.4">
      <c r="A34" s="5" t="str">
        <f t="shared" si="7"/>
        <v>2029Q3</v>
      </c>
      <c r="B34" s="2">
        <f t="shared" si="10"/>
        <v>884.73199999999997</v>
      </c>
      <c r="C34" s="3">
        <f t="shared" si="10"/>
        <v>927.26499999999999</v>
      </c>
      <c r="D34" s="2">
        <f t="shared" si="10"/>
        <v>969.79700000000003</v>
      </c>
      <c r="E34" s="2">
        <f t="shared" si="11"/>
        <v>1.2250000000000001</v>
      </c>
      <c r="F34" s="3">
        <f t="shared" si="11"/>
        <v>1.4219999999999999</v>
      </c>
      <c r="G34" s="2">
        <f t="shared" si="11"/>
        <v>1.619</v>
      </c>
      <c r="K34" s="14" t="s">
        <v>107</v>
      </c>
      <c r="L34" s="67">
        <v>942.79967357218834</v>
      </c>
      <c r="M34" s="67">
        <v>900.26718705981671</v>
      </c>
      <c r="N34" s="67">
        <v>985.33216008455997</v>
      </c>
      <c r="O34" s="1">
        <f t="shared" si="0"/>
        <v>900.26700000000005</v>
      </c>
      <c r="P34" s="1">
        <f t="shared" si="1"/>
        <v>942.8</v>
      </c>
      <c r="Q34" s="1">
        <f t="shared" si="2"/>
        <v>985.33199999999999</v>
      </c>
      <c r="R34" s="14" t="str">
        <f t="shared" si="6"/>
        <v>2029Q4</v>
      </c>
      <c r="S34" s="54">
        <v>1.4299571297197602</v>
      </c>
      <c r="T34" s="54">
        <v>1.229814114887877</v>
      </c>
      <c r="U34" s="54">
        <v>1.6301001445516434</v>
      </c>
      <c r="V34" s="1">
        <f t="shared" si="3"/>
        <v>1.23</v>
      </c>
      <c r="W34" s="1">
        <f t="shared" si="4"/>
        <v>1.43</v>
      </c>
      <c r="X34" s="1">
        <f t="shared" si="5"/>
        <v>1.63</v>
      </c>
    </row>
    <row r="35" spans="1:24" ht="13" thickTop="1" thickBot="1" x14ac:dyDescent="0.35">
      <c r="A35" s="5" t="str">
        <f t="shared" si="7"/>
        <v>2029Q4</v>
      </c>
      <c r="B35" s="2">
        <f t="shared" si="10"/>
        <v>900.26700000000005</v>
      </c>
      <c r="C35" s="3">
        <f t="shared" si="10"/>
        <v>942.8</v>
      </c>
      <c r="D35" s="2">
        <f t="shared" si="10"/>
        <v>985.33199999999999</v>
      </c>
      <c r="E35" s="2">
        <f t="shared" si="11"/>
        <v>1.23</v>
      </c>
      <c r="F35" s="3">
        <f t="shared" si="11"/>
        <v>1.43</v>
      </c>
      <c r="G35" s="2">
        <f t="shared" si="11"/>
        <v>1.63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846.58181250000007</v>
      </c>
      <c r="F38" s="1">
        <f>AVERAGE(F4:F35)</f>
        <v>1.2650312499999996</v>
      </c>
    </row>
    <row r="40" spans="1:24" ht="12.5" thickBot="1" x14ac:dyDescent="0.35"/>
    <row r="41" spans="1:24" ht="15.5" thickTop="1" thickBot="1" x14ac:dyDescent="0.4">
      <c r="A41" s="29" t="s">
        <v>49</v>
      </c>
      <c r="B41" s="30"/>
      <c r="C41" s="30"/>
      <c r="D41" s="30"/>
      <c r="E41" s="30"/>
      <c r="F41" s="30"/>
      <c r="G41" s="30"/>
      <c r="K41" s="29" t="s">
        <v>24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729.53399999999999</v>
      </c>
      <c r="D44" s="6"/>
      <c r="E44" s="6"/>
      <c r="F44" s="9">
        <f>ROUND(F4-((G4-F4)*(0.5/2)),3)</f>
        <v>1.0820000000000001</v>
      </c>
      <c r="G44" s="6"/>
      <c r="K44" s="7" t="str">
        <f>A4</f>
        <v>2022Q1</v>
      </c>
      <c r="L44" s="6"/>
      <c r="M44" s="9">
        <f>ROUND(C4-((D4-C4)*(1/2)),3)</f>
        <v>719.99199999999996</v>
      </c>
      <c r="N44" s="6"/>
      <c r="O44" s="6"/>
      <c r="P44" s="9">
        <f>ROUND(F4-((G4-F4)*(1/2)),3)</f>
        <v>1.0720000000000001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772.65599999999995</v>
      </c>
      <c r="D45" s="6"/>
      <c r="E45" s="6"/>
      <c r="F45" s="9">
        <f t="shared" ref="F45:F75" si="14">ROUND(F5-((G5-F5)*(0.5/2)),3)</f>
        <v>1.1040000000000001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762.39200000000005</v>
      </c>
      <c r="N45" s="6"/>
      <c r="O45" s="6"/>
      <c r="P45" s="9">
        <f t="shared" ref="P45:P75" si="17">ROUND(F5-((G5-F5)*(1/2)),3)</f>
        <v>1.0900000000000001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773.84199999999998</v>
      </c>
      <c r="D46" s="6"/>
      <c r="E46" s="6"/>
      <c r="F46" s="9">
        <f t="shared" si="14"/>
        <v>1.109</v>
      </c>
      <c r="G46" s="6"/>
      <c r="K46" s="7" t="str">
        <f t="shared" si="15"/>
        <v>2022Q3</v>
      </c>
      <c r="L46" s="6"/>
      <c r="M46" s="9">
        <f t="shared" si="16"/>
        <v>763.33699999999999</v>
      </c>
      <c r="N46" s="6"/>
      <c r="O46" s="6"/>
      <c r="P46" s="9">
        <f t="shared" si="17"/>
        <v>1.093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788.65599999999995</v>
      </c>
      <c r="D47" s="6"/>
      <c r="E47" s="6"/>
      <c r="F47" s="9">
        <f t="shared" si="14"/>
        <v>1.1160000000000001</v>
      </c>
      <c r="G47" s="6"/>
      <c r="K47" s="7" t="str">
        <f t="shared" si="15"/>
        <v>2022Q4</v>
      </c>
      <c r="L47" s="6"/>
      <c r="M47" s="9">
        <f t="shared" si="16"/>
        <v>778.06700000000001</v>
      </c>
      <c r="N47" s="6"/>
      <c r="O47" s="6"/>
      <c r="P47" s="9">
        <f t="shared" si="17"/>
        <v>1.0980000000000001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745.18100000000004</v>
      </c>
      <c r="D48" s="6"/>
      <c r="E48" s="6"/>
      <c r="F48" s="9">
        <f t="shared" si="14"/>
        <v>1.1140000000000001</v>
      </c>
      <c r="G48" s="6"/>
      <c r="K48" s="7" t="str">
        <f t="shared" si="15"/>
        <v>2023Q1</v>
      </c>
      <c r="L48" s="6"/>
      <c r="M48" s="9">
        <f t="shared" si="16"/>
        <v>734.56399999999996</v>
      </c>
      <c r="N48" s="6"/>
      <c r="O48" s="6"/>
      <c r="P48" s="9">
        <f t="shared" si="17"/>
        <v>1.093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790.61900000000003</v>
      </c>
      <c r="D49" s="6"/>
      <c r="E49" s="6"/>
      <c r="F49" s="9">
        <f t="shared" si="14"/>
        <v>1.137</v>
      </c>
      <c r="G49" s="6"/>
      <c r="K49" s="7" t="str">
        <f t="shared" si="15"/>
        <v>2023Q2</v>
      </c>
      <c r="L49" s="6"/>
      <c r="M49" s="9">
        <f t="shared" si="16"/>
        <v>779.99099999999999</v>
      </c>
      <c r="N49" s="6"/>
      <c r="O49" s="6"/>
      <c r="P49" s="9">
        <f t="shared" si="17"/>
        <v>1.115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792.98800000000006</v>
      </c>
      <c r="D50" s="6"/>
      <c r="E50" s="6"/>
      <c r="F50" s="9">
        <f t="shared" si="14"/>
        <v>1.1439999999999999</v>
      </c>
      <c r="G50" s="6"/>
      <c r="K50" s="7" t="str">
        <f t="shared" si="15"/>
        <v>2023Q3</v>
      </c>
      <c r="L50" s="6"/>
      <c r="M50" s="9">
        <f t="shared" si="16"/>
        <v>782.35699999999997</v>
      </c>
      <c r="N50" s="6"/>
      <c r="O50" s="6"/>
      <c r="P50" s="9">
        <f t="shared" si="17"/>
        <v>1.121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808.44399999999996</v>
      </c>
      <c r="D51" s="6"/>
      <c r="E51" s="6"/>
      <c r="F51" s="9">
        <f t="shared" si="14"/>
        <v>1.151</v>
      </c>
      <c r="G51" s="6"/>
      <c r="K51" s="7" t="str">
        <f t="shared" si="15"/>
        <v>2023Q4</v>
      </c>
      <c r="L51" s="6"/>
      <c r="M51" s="9">
        <f t="shared" si="16"/>
        <v>797.81200000000001</v>
      </c>
      <c r="N51" s="6"/>
      <c r="O51" s="6"/>
      <c r="P51" s="9">
        <f t="shared" si="17"/>
        <v>1.125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765.327</v>
      </c>
      <c r="D52" s="6"/>
      <c r="E52" s="6"/>
      <c r="F52" s="9">
        <f t="shared" si="14"/>
        <v>1.149</v>
      </c>
      <c r="G52" s="6"/>
      <c r="K52" s="7" t="str">
        <f t="shared" si="15"/>
        <v>2024Q1</v>
      </c>
      <c r="L52" s="6"/>
      <c r="M52" s="9">
        <f t="shared" si="16"/>
        <v>754.69500000000005</v>
      </c>
      <c r="N52" s="6"/>
      <c r="O52" s="6"/>
      <c r="P52" s="9">
        <f t="shared" si="17"/>
        <v>1.1220000000000001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810.96900000000005</v>
      </c>
      <c r="D53" s="6"/>
      <c r="E53" s="6"/>
      <c r="F53" s="9">
        <f t="shared" si="14"/>
        <v>1.173</v>
      </c>
      <c r="G53" s="6"/>
      <c r="K53" s="7" t="str">
        <f t="shared" si="15"/>
        <v>2024Q2</v>
      </c>
      <c r="L53" s="6"/>
      <c r="M53" s="9">
        <f t="shared" si="16"/>
        <v>800.33600000000001</v>
      </c>
      <c r="N53" s="6"/>
      <c r="O53" s="6"/>
      <c r="P53" s="9">
        <f t="shared" si="17"/>
        <v>1.1439999999999999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813.45799999999997</v>
      </c>
      <c r="D54" s="6"/>
      <c r="E54" s="6"/>
      <c r="F54" s="9">
        <f t="shared" si="14"/>
        <v>1.18</v>
      </c>
      <c r="G54" s="6"/>
      <c r="K54" s="7" t="str">
        <f t="shared" si="15"/>
        <v>2024Q3</v>
      </c>
      <c r="L54" s="6"/>
      <c r="M54" s="9">
        <f t="shared" si="16"/>
        <v>802.82500000000005</v>
      </c>
      <c r="N54" s="6"/>
      <c r="O54" s="6"/>
      <c r="P54" s="9">
        <f t="shared" si="17"/>
        <v>1.151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828.98299999999995</v>
      </c>
      <c r="D55" s="6"/>
      <c r="E55" s="6"/>
      <c r="F55" s="9">
        <f t="shared" si="14"/>
        <v>1.1870000000000001</v>
      </c>
      <c r="G55" s="6"/>
      <c r="K55" s="7" t="str">
        <f t="shared" si="15"/>
        <v>2024Q4</v>
      </c>
      <c r="L55" s="6"/>
      <c r="M55" s="9">
        <f t="shared" si="16"/>
        <v>818.35</v>
      </c>
      <c r="N55" s="6"/>
      <c r="O55" s="6"/>
      <c r="P55" s="9">
        <f t="shared" si="17"/>
        <v>1.1559999999999999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785.90800000000002</v>
      </c>
      <c r="D56" s="6"/>
      <c r="E56" s="6"/>
      <c r="F56" s="9">
        <f t="shared" si="14"/>
        <v>1.1870000000000001</v>
      </c>
      <c r="G56" s="6"/>
      <c r="K56" s="7" t="str">
        <f t="shared" si="15"/>
        <v>2025Q1</v>
      </c>
      <c r="L56" s="6"/>
      <c r="M56" s="9">
        <f t="shared" si="16"/>
        <v>775.27499999999998</v>
      </c>
      <c r="N56" s="6"/>
      <c r="O56" s="6"/>
      <c r="P56" s="9">
        <f t="shared" si="17"/>
        <v>1.155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831.57399999999996</v>
      </c>
      <c r="D57" s="6"/>
      <c r="E57" s="6"/>
      <c r="F57" s="9">
        <f t="shared" si="14"/>
        <v>1.2110000000000001</v>
      </c>
      <c r="G57" s="6"/>
      <c r="K57" s="7" t="str">
        <f t="shared" si="15"/>
        <v>2025Q2</v>
      </c>
      <c r="L57" s="6"/>
      <c r="M57" s="9">
        <f t="shared" si="16"/>
        <v>820.94100000000003</v>
      </c>
      <c r="N57" s="6"/>
      <c r="O57" s="6"/>
      <c r="P57" s="9">
        <f t="shared" si="17"/>
        <v>1.1779999999999999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834.077</v>
      </c>
      <c r="D58" s="6"/>
      <c r="E58" s="6"/>
      <c r="F58" s="9">
        <f t="shared" si="14"/>
        <v>1.218</v>
      </c>
      <c r="G58" s="6"/>
      <c r="K58" s="7" t="str">
        <f t="shared" si="15"/>
        <v>2025Q3</v>
      </c>
      <c r="L58" s="6"/>
      <c r="M58" s="9">
        <f t="shared" si="16"/>
        <v>823.44399999999996</v>
      </c>
      <c r="N58" s="6"/>
      <c r="O58" s="6"/>
      <c r="P58" s="9">
        <f t="shared" si="17"/>
        <v>1.1830000000000001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849.61099999999999</v>
      </c>
      <c r="D59" s="6"/>
      <c r="E59" s="6"/>
      <c r="F59" s="9">
        <f t="shared" si="14"/>
        <v>1.226</v>
      </c>
      <c r="G59" s="6"/>
      <c r="K59" s="7" t="str">
        <f t="shared" si="15"/>
        <v>2025Q4</v>
      </c>
      <c r="L59" s="6"/>
      <c r="M59" s="9">
        <f t="shared" si="16"/>
        <v>838.97799999999995</v>
      </c>
      <c r="N59" s="6"/>
      <c r="O59" s="6"/>
      <c r="P59" s="9">
        <f t="shared" si="17"/>
        <v>1.19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806.54</v>
      </c>
      <c r="D60" s="6"/>
      <c r="E60" s="6"/>
      <c r="F60" s="9">
        <f t="shared" si="14"/>
        <v>1.224</v>
      </c>
      <c r="G60" s="6"/>
      <c r="K60" s="7" t="str">
        <f t="shared" si="15"/>
        <v>2026Q1</v>
      </c>
      <c r="L60" s="6"/>
      <c r="M60" s="9">
        <f t="shared" si="16"/>
        <v>795.90700000000004</v>
      </c>
      <c r="N60" s="6"/>
      <c r="O60" s="6"/>
      <c r="P60" s="9">
        <f t="shared" si="17"/>
        <v>1.1879999999999999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852.20899999999995</v>
      </c>
      <c r="D61" s="6"/>
      <c r="E61" s="6"/>
      <c r="F61" s="9">
        <f t="shared" si="14"/>
        <v>1.248</v>
      </c>
      <c r="G61" s="6"/>
      <c r="K61" s="7" t="str">
        <f t="shared" si="15"/>
        <v>2026Q2</v>
      </c>
      <c r="L61" s="6"/>
      <c r="M61" s="9">
        <f t="shared" si="16"/>
        <v>841.57600000000002</v>
      </c>
      <c r="N61" s="6"/>
      <c r="O61" s="6"/>
      <c r="P61" s="9">
        <f t="shared" si="17"/>
        <v>1.2110000000000001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854.71400000000006</v>
      </c>
      <c r="D62" s="6"/>
      <c r="E62" s="6"/>
      <c r="F62" s="9">
        <f t="shared" si="14"/>
        <v>1.2569999999999999</v>
      </c>
      <c r="G62" s="6"/>
      <c r="K62" s="7" t="str">
        <f t="shared" si="15"/>
        <v>2026Q3</v>
      </c>
      <c r="L62" s="6"/>
      <c r="M62" s="9">
        <f t="shared" si="16"/>
        <v>844.08100000000002</v>
      </c>
      <c r="N62" s="6"/>
      <c r="O62" s="6"/>
      <c r="P62" s="9">
        <f t="shared" si="17"/>
        <v>1.218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870.24900000000002</v>
      </c>
      <c r="D63" s="6"/>
      <c r="E63" s="6"/>
      <c r="F63" s="9">
        <f t="shared" si="14"/>
        <v>1.2629999999999999</v>
      </c>
      <c r="G63" s="6"/>
      <c r="K63" s="7" t="str">
        <f t="shared" si="15"/>
        <v>2026Q4</v>
      </c>
      <c r="L63" s="6"/>
      <c r="M63" s="9">
        <f t="shared" si="16"/>
        <v>859.61599999999999</v>
      </c>
      <c r="N63" s="6"/>
      <c r="O63" s="6"/>
      <c r="P63" s="9">
        <f t="shared" si="17"/>
        <v>1.224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827.17899999999997</v>
      </c>
      <c r="D64" s="6"/>
      <c r="E64" s="6"/>
      <c r="F64" s="9">
        <f t="shared" si="14"/>
        <v>1.262</v>
      </c>
      <c r="G64" s="6"/>
      <c r="K64" s="7" t="str">
        <f t="shared" si="15"/>
        <v>2027Q1</v>
      </c>
      <c r="L64" s="6"/>
      <c r="M64" s="9">
        <f t="shared" si="16"/>
        <v>816.54600000000005</v>
      </c>
      <c r="N64" s="6"/>
      <c r="O64" s="6"/>
      <c r="P64" s="9">
        <f t="shared" si="17"/>
        <v>1.222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872.84799999999996</v>
      </c>
      <c r="D65" s="6"/>
      <c r="E65" s="6"/>
      <c r="F65" s="9">
        <f t="shared" si="14"/>
        <v>1.286</v>
      </c>
      <c r="G65" s="6"/>
      <c r="K65" s="7" t="str">
        <f t="shared" si="15"/>
        <v>2027Q2</v>
      </c>
      <c r="L65" s="6"/>
      <c r="M65" s="9">
        <f t="shared" si="16"/>
        <v>862.21500000000003</v>
      </c>
      <c r="N65" s="6"/>
      <c r="O65" s="6"/>
      <c r="P65" s="9">
        <f t="shared" si="17"/>
        <v>1.2450000000000001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875.35299999999995</v>
      </c>
      <c r="D66" s="6"/>
      <c r="E66" s="6"/>
      <c r="F66" s="9">
        <f t="shared" si="14"/>
        <v>1.2949999999999999</v>
      </c>
      <c r="G66" s="6"/>
      <c r="K66" s="7" t="str">
        <f t="shared" si="15"/>
        <v>2027Q3</v>
      </c>
      <c r="L66" s="6"/>
      <c r="M66" s="9">
        <f t="shared" si="16"/>
        <v>864.72</v>
      </c>
      <c r="N66" s="6"/>
      <c r="O66" s="6"/>
      <c r="P66" s="9">
        <f t="shared" si="17"/>
        <v>1.252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890.88800000000003</v>
      </c>
      <c r="D67" s="6"/>
      <c r="E67" s="6"/>
      <c r="F67" s="9">
        <f t="shared" si="14"/>
        <v>1.302</v>
      </c>
      <c r="G67" s="6"/>
      <c r="K67" s="7" t="str">
        <f t="shared" si="15"/>
        <v>2027Q4</v>
      </c>
      <c r="L67" s="6"/>
      <c r="M67" s="9">
        <f t="shared" si="16"/>
        <v>880.255</v>
      </c>
      <c r="N67" s="6"/>
      <c r="O67" s="6"/>
      <c r="P67" s="9">
        <f t="shared" si="17"/>
        <v>1.258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847.81799999999998</v>
      </c>
      <c r="D68" s="6"/>
      <c r="E68" s="6"/>
      <c r="F68" s="9">
        <f t="shared" si="14"/>
        <v>1.302</v>
      </c>
      <c r="G68" s="6"/>
      <c r="K68" s="7" t="str">
        <f t="shared" si="15"/>
        <v>2028Q1</v>
      </c>
      <c r="L68" s="6"/>
      <c r="M68" s="9">
        <f t="shared" si="16"/>
        <v>837.18499999999995</v>
      </c>
      <c r="N68" s="6"/>
      <c r="O68" s="6"/>
      <c r="P68" s="9">
        <f t="shared" si="17"/>
        <v>1.258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893.48800000000006</v>
      </c>
      <c r="D69" s="6"/>
      <c r="E69" s="6"/>
      <c r="F69" s="9">
        <f t="shared" si="14"/>
        <v>1.3260000000000001</v>
      </c>
      <c r="G69" s="6"/>
      <c r="K69" s="7" t="str">
        <f t="shared" si="15"/>
        <v>2028Q2</v>
      </c>
      <c r="L69" s="6"/>
      <c r="M69" s="9">
        <f t="shared" si="16"/>
        <v>882.85500000000002</v>
      </c>
      <c r="N69" s="6"/>
      <c r="O69" s="6"/>
      <c r="P69" s="9">
        <f t="shared" si="17"/>
        <v>1.2809999999999999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895.99300000000005</v>
      </c>
      <c r="D70" s="6"/>
      <c r="E70" s="6"/>
      <c r="F70" s="9">
        <f t="shared" si="14"/>
        <v>1.333</v>
      </c>
      <c r="G70" s="6"/>
      <c r="K70" s="7" t="str">
        <f t="shared" si="15"/>
        <v>2028Q3</v>
      </c>
      <c r="L70" s="6"/>
      <c r="M70" s="9">
        <f t="shared" si="16"/>
        <v>885.36</v>
      </c>
      <c r="N70" s="6"/>
      <c r="O70" s="6"/>
      <c r="P70" s="9">
        <f t="shared" si="17"/>
        <v>1.2869999999999999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911.52700000000004</v>
      </c>
      <c r="D71" s="6"/>
      <c r="E71" s="6"/>
      <c r="F71" s="9">
        <f t="shared" si="14"/>
        <v>1.341</v>
      </c>
      <c r="G71" s="6"/>
      <c r="K71" s="7" t="str">
        <f t="shared" si="15"/>
        <v>2028Q4</v>
      </c>
      <c r="L71" s="6"/>
      <c r="M71" s="9">
        <f t="shared" si="16"/>
        <v>900.89400000000001</v>
      </c>
      <c r="N71" s="6"/>
      <c r="O71" s="6"/>
      <c r="P71" s="9">
        <f t="shared" si="17"/>
        <v>1.2949999999999999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868.45799999999997</v>
      </c>
      <c r="D72" s="6"/>
      <c r="E72" s="6"/>
      <c r="F72" s="9">
        <f t="shared" si="14"/>
        <v>1.34</v>
      </c>
      <c r="G72" s="6"/>
      <c r="K72" s="7" t="str">
        <f t="shared" si="15"/>
        <v>2029Q1</v>
      </c>
      <c r="L72" s="6"/>
      <c r="M72" s="9">
        <f t="shared" si="16"/>
        <v>857.82500000000005</v>
      </c>
      <c r="N72" s="6"/>
      <c r="O72" s="6"/>
      <c r="P72" s="9">
        <f t="shared" si="17"/>
        <v>1.2929999999999999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914.12699999999995</v>
      </c>
      <c r="D73" s="6"/>
      <c r="E73" s="6"/>
      <c r="F73" s="9">
        <f t="shared" si="14"/>
        <v>1.365</v>
      </c>
      <c r="G73" s="6"/>
      <c r="K73" s="7" t="str">
        <f t="shared" si="15"/>
        <v>2029Q2</v>
      </c>
      <c r="L73" s="6"/>
      <c r="M73" s="9">
        <f t="shared" si="16"/>
        <v>903.49400000000003</v>
      </c>
      <c r="N73" s="6"/>
      <c r="O73" s="6"/>
      <c r="P73" s="9">
        <f t="shared" si="17"/>
        <v>1.3160000000000001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916.63199999999995</v>
      </c>
      <c r="D74" s="6"/>
      <c r="E74" s="6"/>
      <c r="F74" s="9">
        <f t="shared" si="14"/>
        <v>1.373</v>
      </c>
      <c r="G74" s="6"/>
      <c r="K74" s="7" t="str">
        <f t="shared" si="15"/>
        <v>2029Q3</v>
      </c>
      <c r="L74" s="6"/>
      <c r="M74" s="9">
        <f t="shared" si="16"/>
        <v>905.99900000000002</v>
      </c>
      <c r="N74" s="6"/>
      <c r="O74" s="6"/>
      <c r="P74" s="9">
        <f t="shared" si="17"/>
        <v>1.3240000000000001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932.16700000000003</v>
      </c>
      <c r="D75" s="6"/>
      <c r="E75" s="6"/>
      <c r="F75" s="9">
        <f t="shared" si="14"/>
        <v>1.38</v>
      </c>
      <c r="G75" s="6"/>
      <c r="K75" s="7" t="str">
        <f t="shared" si="15"/>
        <v>2029Q4</v>
      </c>
      <c r="L75" s="6"/>
      <c r="M75" s="9">
        <f t="shared" si="16"/>
        <v>921.53399999999999</v>
      </c>
      <c r="N75" s="6"/>
      <c r="O75" s="6"/>
      <c r="P75" s="9">
        <f t="shared" si="17"/>
        <v>1.33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6"/>
  <sheetViews>
    <sheetView topLeftCell="I1"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54296875" style="1" customWidth="1"/>
    <col min="4" max="5" width="12.1796875" style="1" bestFit="1" customWidth="1"/>
    <col min="6" max="6" width="19.81640625" style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54296875" style="1" customWidth="1"/>
    <col min="17" max="16384" width="9.1796875" style="1"/>
  </cols>
  <sheetData>
    <row r="1" spans="1:30" ht="13" thickTop="1" thickBot="1" x14ac:dyDescent="0.35">
      <c r="A1" s="33" t="s">
        <v>15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2" t="s">
        <v>41</v>
      </c>
      <c r="C2" s="32"/>
      <c r="D2" s="32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1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65">
        <v>652.02378536337437</v>
      </c>
      <c r="M3" s="65">
        <v>605.30374665882687</v>
      </c>
      <c r="N3" s="65">
        <v>698.74382406792188</v>
      </c>
      <c r="O3" s="1">
        <f t="shared" ref="O3:O34" si="0">ROUND(M3,3)</f>
        <v>605.30399999999997</v>
      </c>
      <c r="P3" s="1">
        <f t="shared" ref="P3:P34" si="1">ROUND(L3,3)</f>
        <v>652.024</v>
      </c>
      <c r="Q3" s="1">
        <f t="shared" ref="Q3:Q34" si="2">ROUND(N3,3)</f>
        <v>698.74400000000003</v>
      </c>
      <c r="R3" s="14" t="str">
        <f>K3</f>
        <v>2022Q1</v>
      </c>
      <c r="S3" s="51">
        <v>0.51376300940648445</v>
      </c>
      <c r="T3" s="51">
        <v>0.49409692723600762</v>
      </c>
      <c r="U3" s="51">
        <v>0.53342909157696128</v>
      </c>
      <c r="V3" s="1">
        <f t="shared" ref="V3:V34" si="3">ROUND(T3,3)</f>
        <v>0.49399999999999999</v>
      </c>
      <c r="W3" s="1">
        <f t="shared" ref="W3:W34" si="4">ROUND(S3,3)</f>
        <v>0.51400000000000001</v>
      </c>
      <c r="X3" s="1">
        <f t="shared" ref="X3:X34" si="5">ROUND(U3,3)</f>
        <v>0.53300000000000003</v>
      </c>
    </row>
    <row r="4" spans="1:30" ht="15.5" thickTop="1" thickBot="1" x14ac:dyDescent="0.4">
      <c r="A4" s="5" t="str">
        <f>K3</f>
        <v>2022Q1</v>
      </c>
      <c r="B4" s="2">
        <f>O3</f>
        <v>605.30399999999997</v>
      </c>
      <c r="C4" s="3">
        <f>P3</f>
        <v>652.024</v>
      </c>
      <c r="D4" s="2">
        <f>Q3</f>
        <v>698.74400000000003</v>
      </c>
      <c r="E4" s="2">
        <f>V3</f>
        <v>0.49399999999999999</v>
      </c>
      <c r="F4" s="3">
        <f>W3</f>
        <v>0.51400000000000001</v>
      </c>
      <c r="G4" s="2">
        <f>X3</f>
        <v>0.53300000000000003</v>
      </c>
      <c r="K4" s="14" t="s">
        <v>70</v>
      </c>
      <c r="L4" s="65">
        <v>684.74400867567965</v>
      </c>
      <c r="M4" s="65">
        <v>633.25774618731941</v>
      </c>
      <c r="N4" s="65">
        <v>736.23027116403989</v>
      </c>
      <c r="O4" s="1">
        <f t="shared" si="0"/>
        <v>633.25800000000004</v>
      </c>
      <c r="P4" s="1">
        <f t="shared" si="1"/>
        <v>684.74400000000003</v>
      </c>
      <c r="Q4" s="1">
        <f t="shared" si="2"/>
        <v>736.23</v>
      </c>
      <c r="R4" s="14" t="str">
        <f t="shared" ref="R4:R34" si="6">K4</f>
        <v>2022Q2</v>
      </c>
      <c r="S4" s="51">
        <v>0.53408136536151551</v>
      </c>
      <c r="T4" s="51">
        <v>0.51176748309528042</v>
      </c>
      <c r="U4" s="51">
        <v>0.55639524762775061</v>
      </c>
      <c r="V4" s="1">
        <f t="shared" si="3"/>
        <v>0.51200000000000001</v>
      </c>
      <c r="W4" s="1">
        <f t="shared" si="4"/>
        <v>0.53400000000000003</v>
      </c>
      <c r="X4" s="1">
        <f t="shared" si="5"/>
        <v>0.55600000000000005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633.25800000000004</v>
      </c>
      <c r="C5" s="3">
        <f t="shared" si="8"/>
        <v>684.74400000000003</v>
      </c>
      <c r="D5" s="2">
        <f t="shared" si="8"/>
        <v>736.23</v>
      </c>
      <c r="E5" s="2">
        <f t="shared" ref="E5:G20" si="9">V4</f>
        <v>0.51200000000000001</v>
      </c>
      <c r="F5" s="3">
        <f t="shared" si="9"/>
        <v>0.53400000000000003</v>
      </c>
      <c r="G5" s="2">
        <f t="shared" si="9"/>
        <v>0.55600000000000005</v>
      </c>
      <c r="I5" s="1">
        <f>SUM(F5:F8)</f>
        <v>2.1419999999999999</v>
      </c>
      <c r="K5" s="14" t="s">
        <v>71</v>
      </c>
      <c r="L5" s="65">
        <v>688.66533349424117</v>
      </c>
      <c r="M5" s="65">
        <v>636.6588095404303</v>
      </c>
      <c r="N5" s="65">
        <v>740.67185744805204</v>
      </c>
      <c r="O5" s="1">
        <f t="shared" si="0"/>
        <v>636.65899999999999</v>
      </c>
      <c r="P5" s="1">
        <f t="shared" si="1"/>
        <v>688.66499999999996</v>
      </c>
      <c r="Q5" s="1">
        <f t="shared" si="2"/>
        <v>740.67200000000003</v>
      </c>
      <c r="R5" s="14" t="str">
        <f t="shared" si="6"/>
        <v>2022Q3</v>
      </c>
      <c r="S5" s="51">
        <v>0.53471230788773849</v>
      </c>
      <c r="T5" s="51">
        <v>0.50960349984098607</v>
      </c>
      <c r="U5" s="51">
        <v>0.55982111593449091</v>
      </c>
      <c r="V5" s="1">
        <f t="shared" si="3"/>
        <v>0.51</v>
      </c>
      <c r="W5" s="1">
        <f t="shared" si="4"/>
        <v>0.53500000000000003</v>
      </c>
      <c r="X5" s="1">
        <f t="shared" si="5"/>
        <v>0.56000000000000005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636.65899999999999</v>
      </c>
      <c r="C6" s="3">
        <f t="shared" si="8"/>
        <v>688.66499999999996</v>
      </c>
      <c r="D6" s="2">
        <f t="shared" si="8"/>
        <v>740.67200000000003</v>
      </c>
      <c r="E6" s="2">
        <f t="shared" si="9"/>
        <v>0.51</v>
      </c>
      <c r="F6" s="3">
        <f t="shared" si="9"/>
        <v>0.53500000000000003</v>
      </c>
      <c r="G6" s="2">
        <f t="shared" si="9"/>
        <v>0.56000000000000005</v>
      </c>
      <c r="I6" s="1">
        <f>SUM(F9:F12)</f>
        <v>2.21</v>
      </c>
      <c r="K6" s="14" t="s">
        <v>72</v>
      </c>
      <c r="L6" s="65">
        <v>700.37663382562926</v>
      </c>
      <c r="M6" s="65">
        <v>648.3105966510974</v>
      </c>
      <c r="N6" s="65">
        <v>752.44267100016111</v>
      </c>
      <c r="O6" s="1">
        <f t="shared" si="0"/>
        <v>648.31100000000004</v>
      </c>
      <c r="P6" s="1">
        <f t="shared" si="1"/>
        <v>700.37699999999995</v>
      </c>
      <c r="Q6" s="1">
        <f t="shared" si="2"/>
        <v>752.44299999999998</v>
      </c>
      <c r="R6" s="14" t="str">
        <f t="shared" si="6"/>
        <v>2022Q4</v>
      </c>
      <c r="S6" s="51">
        <v>0.53980593870594418</v>
      </c>
      <c r="T6" s="51">
        <v>0.5122263751277234</v>
      </c>
      <c r="U6" s="51">
        <v>0.56738550228416496</v>
      </c>
      <c r="V6" s="1">
        <f t="shared" si="3"/>
        <v>0.51200000000000001</v>
      </c>
      <c r="W6" s="1">
        <f t="shared" si="4"/>
        <v>0.54</v>
      </c>
      <c r="X6" s="1">
        <f t="shared" si="5"/>
        <v>0.56699999999999995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648.31100000000004</v>
      </c>
      <c r="C7" s="3">
        <f t="shared" si="8"/>
        <v>700.37699999999995</v>
      </c>
      <c r="D7" s="2">
        <f t="shared" si="8"/>
        <v>752.44299999999998</v>
      </c>
      <c r="E7" s="2">
        <f t="shared" si="9"/>
        <v>0.51200000000000001</v>
      </c>
      <c r="F7" s="3">
        <f t="shared" si="9"/>
        <v>0.54</v>
      </c>
      <c r="G7" s="2">
        <f t="shared" si="9"/>
        <v>0.56699999999999995</v>
      </c>
      <c r="I7" s="1">
        <f>SUM(F13:F16)</f>
        <v>2.2809999999999997</v>
      </c>
      <c r="K7" s="14" t="s">
        <v>73</v>
      </c>
      <c r="L7" s="65">
        <v>681.60875785982614</v>
      </c>
      <c r="M7" s="65">
        <v>629.53587913379943</v>
      </c>
      <c r="N7" s="65">
        <v>733.68163658585286</v>
      </c>
      <c r="O7" s="1">
        <f t="shared" si="0"/>
        <v>629.53599999999994</v>
      </c>
      <c r="P7" s="1">
        <f t="shared" si="1"/>
        <v>681.60900000000004</v>
      </c>
      <c r="Q7" s="1">
        <f t="shared" si="2"/>
        <v>733.68200000000002</v>
      </c>
      <c r="R7" s="14" t="str">
        <f t="shared" si="6"/>
        <v>2023Q1</v>
      </c>
      <c r="S7" s="51">
        <v>0.53264782437759217</v>
      </c>
      <c r="T7" s="51">
        <v>0.50279715337446285</v>
      </c>
      <c r="U7" s="51">
        <v>0.5624984953807215</v>
      </c>
      <c r="V7" s="1">
        <f t="shared" si="3"/>
        <v>0.503</v>
      </c>
      <c r="W7" s="1">
        <f t="shared" si="4"/>
        <v>0.53300000000000003</v>
      </c>
      <c r="X7" s="1">
        <f t="shared" si="5"/>
        <v>0.56200000000000006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629.53599999999994</v>
      </c>
      <c r="C8" s="3">
        <f t="shared" si="8"/>
        <v>681.60900000000004</v>
      </c>
      <c r="D8" s="2">
        <f t="shared" si="8"/>
        <v>733.68200000000002</v>
      </c>
      <c r="E8" s="2">
        <f t="shared" si="9"/>
        <v>0.503</v>
      </c>
      <c r="F8" s="3">
        <f t="shared" si="9"/>
        <v>0.53300000000000003</v>
      </c>
      <c r="G8" s="2">
        <f t="shared" si="9"/>
        <v>0.56200000000000006</v>
      </c>
      <c r="I8" s="1">
        <f>SUM(F17:F20)</f>
        <v>2.35</v>
      </c>
      <c r="K8" s="14" t="s">
        <v>74</v>
      </c>
      <c r="L8" s="65">
        <v>709.97084832315136</v>
      </c>
      <c r="M8" s="65">
        <v>657.8971826587134</v>
      </c>
      <c r="N8" s="65">
        <v>762.04451398758931</v>
      </c>
      <c r="O8" s="1">
        <f t="shared" si="0"/>
        <v>657.89700000000005</v>
      </c>
      <c r="P8" s="1">
        <f t="shared" si="1"/>
        <v>709.971</v>
      </c>
      <c r="Q8" s="1">
        <f t="shared" si="2"/>
        <v>762.04499999999996</v>
      </c>
      <c r="R8" s="14" t="str">
        <f t="shared" si="6"/>
        <v>2023Q2</v>
      </c>
      <c r="S8" s="51">
        <v>0.55133211671262794</v>
      </c>
      <c r="T8" s="51">
        <v>0.51937173200409026</v>
      </c>
      <c r="U8" s="51">
        <v>0.58329250142116562</v>
      </c>
      <c r="V8" s="1">
        <f t="shared" si="3"/>
        <v>0.51900000000000002</v>
      </c>
      <c r="W8" s="1">
        <f t="shared" si="4"/>
        <v>0.55100000000000005</v>
      </c>
      <c r="X8" s="1">
        <f t="shared" si="5"/>
        <v>0.58299999999999996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657.89700000000005</v>
      </c>
      <c r="C9" s="3">
        <f t="shared" si="8"/>
        <v>709.971</v>
      </c>
      <c r="D9" s="2">
        <f t="shared" si="8"/>
        <v>762.04499999999996</v>
      </c>
      <c r="E9" s="2">
        <f t="shared" si="9"/>
        <v>0.51900000000000002</v>
      </c>
      <c r="F9" s="3">
        <f t="shared" si="9"/>
        <v>0.55100000000000005</v>
      </c>
      <c r="G9" s="2">
        <f t="shared" si="9"/>
        <v>0.58299999999999996</v>
      </c>
      <c r="I9" s="1">
        <f>SUM(F21:F24)</f>
        <v>2.419</v>
      </c>
      <c r="K9" s="14" t="s">
        <v>75</v>
      </c>
      <c r="L9" s="65">
        <v>712.41405399432369</v>
      </c>
      <c r="M9" s="65">
        <v>660.34029780769799</v>
      </c>
      <c r="N9" s="65">
        <v>764.4878101809494</v>
      </c>
      <c r="O9" s="1">
        <f t="shared" si="0"/>
        <v>660.34</v>
      </c>
      <c r="P9" s="1">
        <f t="shared" si="1"/>
        <v>712.41399999999999</v>
      </c>
      <c r="Q9" s="1">
        <f t="shared" si="2"/>
        <v>764.48800000000006</v>
      </c>
      <c r="R9" s="14" t="str">
        <f t="shared" si="6"/>
        <v>2023Q3</v>
      </c>
      <c r="S9" s="51">
        <v>0.55213675242860505</v>
      </c>
      <c r="T9" s="51">
        <v>0.51819750303344136</v>
      </c>
      <c r="U9" s="51">
        <v>0.58607600182376873</v>
      </c>
      <c r="V9" s="1">
        <f t="shared" si="3"/>
        <v>0.51800000000000002</v>
      </c>
      <c r="W9" s="1">
        <f t="shared" si="4"/>
        <v>0.55200000000000005</v>
      </c>
      <c r="X9" s="1">
        <f t="shared" si="5"/>
        <v>0.58599999999999997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660.34</v>
      </c>
      <c r="C10" s="3">
        <f t="shared" si="8"/>
        <v>712.41399999999999</v>
      </c>
      <c r="D10" s="2">
        <f t="shared" si="8"/>
        <v>764.48800000000006</v>
      </c>
      <c r="E10" s="2">
        <f t="shared" si="9"/>
        <v>0.51800000000000002</v>
      </c>
      <c r="F10" s="3">
        <f t="shared" si="9"/>
        <v>0.55200000000000005</v>
      </c>
      <c r="G10" s="2">
        <f t="shared" si="9"/>
        <v>0.58599999999999997</v>
      </c>
      <c r="I10" s="1">
        <f>SUM(F25:F28)</f>
        <v>2.4899999999999998</v>
      </c>
      <c r="K10" s="14" t="s">
        <v>76</v>
      </c>
      <c r="L10" s="65">
        <v>723.62403041256198</v>
      </c>
      <c r="M10" s="65">
        <v>671.55026381301514</v>
      </c>
      <c r="N10" s="65">
        <v>775.69779701210882</v>
      </c>
      <c r="O10" s="1">
        <f t="shared" si="0"/>
        <v>671.55</v>
      </c>
      <c r="P10" s="1">
        <f t="shared" si="1"/>
        <v>723.62400000000002</v>
      </c>
      <c r="Q10" s="1">
        <f t="shared" si="2"/>
        <v>775.69799999999998</v>
      </c>
      <c r="R10" s="14" t="str">
        <f t="shared" si="6"/>
        <v>2023Q4</v>
      </c>
      <c r="S10" s="51">
        <v>0.55721192048697832</v>
      </c>
      <c r="T10" s="51">
        <v>0.52140299970241755</v>
      </c>
      <c r="U10" s="51">
        <v>0.59302084127153909</v>
      </c>
      <c r="V10" s="1">
        <f t="shared" si="3"/>
        <v>0.52100000000000002</v>
      </c>
      <c r="W10" s="1">
        <f t="shared" si="4"/>
        <v>0.55700000000000005</v>
      </c>
      <c r="X10" s="1">
        <f t="shared" si="5"/>
        <v>0.59299999999999997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671.55</v>
      </c>
      <c r="C11" s="3">
        <f t="shared" si="8"/>
        <v>723.62400000000002</v>
      </c>
      <c r="D11" s="2">
        <f t="shared" si="8"/>
        <v>775.69799999999998</v>
      </c>
      <c r="E11" s="2">
        <f t="shared" si="9"/>
        <v>0.52100000000000002</v>
      </c>
      <c r="F11" s="3">
        <f t="shared" si="9"/>
        <v>0.55700000000000005</v>
      </c>
      <c r="G11" s="2">
        <f t="shared" si="9"/>
        <v>0.59299999999999997</v>
      </c>
      <c r="I11" s="1">
        <f>SUM(F29:F32)</f>
        <v>2.5580000000000003</v>
      </c>
      <c r="K11" s="14" t="s">
        <v>77</v>
      </c>
      <c r="L11" s="65">
        <v>704.68612372471603</v>
      </c>
      <c r="M11" s="65">
        <v>652.61235592735216</v>
      </c>
      <c r="N11" s="65">
        <v>756.7598915220799</v>
      </c>
      <c r="O11" s="1">
        <f t="shared" si="0"/>
        <v>652.61199999999997</v>
      </c>
      <c r="P11" s="1">
        <f t="shared" si="1"/>
        <v>704.68600000000004</v>
      </c>
      <c r="Q11" s="1">
        <f t="shared" si="2"/>
        <v>756.76</v>
      </c>
      <c r="R11" s="14" t="str">
        <f t="shared" si="6"/>
        <v>2024Q1</v>
      </c>
      <c r="S11" s="51">
        <v>0.55005576866217132</v>
      </c>
      <c r="T11" s="51">
        <v>0.51247006662071803</v>
      </c>
      <c r="U11" s="51">
        <v>0.5876414707036246</v>
      </c>
      <c r="V11" s="1">
        <f t="shared" si="3"/>
        <v>0.51200000000000001</v>
      </c>
      <c r="W11" s="1">
        <f t="shared" si="4"/>
        <v>0.55000000000000004</v>
      </c>
      <c r="X11" s="1">
        <f t="shared" si="5"/>
        <v>0.58799999999999997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652.61199999999997</v>
      </c>
      <c r="C12" s="3">
        <f t="shared" si="8"/>
        <v>704.68600000000004</v>
      </c>
      <c r="D12" s="2">
        <f t="shared" si="8"/>
        <v>756.76</v>
      </c>
      <c r="E12" s="2">
        <f t="shared" si="9"/>
        <v>0.51200000000000001</v>
      </c>
      <c r="F12" s="3">
        <f t="shared" si="9"/>
        <v>0.55000000000000004</v>
      </c>
      <c r="G12" s="2">
        <f t="shared" si="9"/>
        <v>0.58799999999999997</v>
      </c>
      <c r="K12" s="14" t="s">
        <v>78</v>
      </c>
      <c r="L12" s="65">
        <v>732.99054599053443</v>
      </c>
      <c r="M12" s="65">
        <v>680.91677805538347</v>
      </c>
      <c r="N12" s="65">
        <v>785.06431392568538</v>
      </c>
      <c r="O12" s="1">
        <f t="shared" si="0"/>
        <v>680.91700000000003</v>
      </c>
      <c r="P12" s="1">
        <f t="shared" si="1"/>
        <v>732.99099999999999</v>
      </c>
      <c r="Q12" s="1">
        <f t="shared" si="2"/>
        <v>785.06399999999996</v>
      </c>
      <c r="R12" s="14" t="str">
        <f t="shared" si="6"/>
        <v>2024Q2</v>
      </c>
      <c r="S12" s="51">
        <v>0.56873985239241565</v>
      </c>
      <c r="T12" s="51">
        <v>0.5294576530554751</v>
      </c>
      <c r="U12" s="51">
        <v>0.60802205172935619</v>
      </c>
      <c r="V12" s="1">
        <f t="shared" si="3"/>
        <v>0.52900000000000003</v>
      </c>
      <c r="W12" s="1">
        <f t="shared" si="4"/>
        <v>0.56899999999999995</v>
      </c>
      <c r="X12" s="1">
        <f t="shared" si="5"/>
        <v>0.60799999999999998</v>
      </c>
    </row>
    <row r="13" spans="1:30" ht="15.5" thickTop="1" thickBot="1" x14ac:dyDescent="0.4">
      <c r="A13" s="5" t="str">
        <f t="shared" si="7"/>
        <v>2024Q2</v>
      </c>
      <c r="B13" s="2">
        <f t="shared" si="8"/>
        <v>680.91700000000003</v>
      </c>
      <c r="C13" s="3">
        <f t="shared" si="8"/>
        <v>732.99099999999999</v>
      </c>
      <c r="D13" s="2">
        <f t="shared" si="8"/>
        <v>785.06399999999996</v>
      </c>
      <c r="E13" s="2">
        <f t="shared" si="9"/>
        <v>0.52900000000000003</v>
      </c>
      <c r="F13" s="3">
        <f t="shared" si="9"/>
        <v>0.56899999999999995</v>
      </c>
      <c r="G13" s="2">
        <f t="shared" si="9"/>
        <v>0.60799999999999998</v>
      </c>
      <c r="K13" s="14" t="s">
        <v>79</v>
      </c>
      <c r="L13" s="65">
        <v>735.41419271986547</v>
      </c>
      <c r="M13" s="65">
        <v>683.34042476886464</v>
      </c>
      <c r="N13" s="65">
        <v>787.4879606708663</v>
      </c>
      <c r="O13" s="1">
        <f t="shared" si="0"/>
        <v>683.34</v>
      </c>
      <c r="P13" s="1">
        <f t="shared" si="1"/>
        <v>735.41399999999999</v>
      </c>
      <c r="Q13" s="1">
        <f t="shared" si="2"/>
        <v>787.48800000000006</v>
      </c>
      <c r="R13" s="14" t="str">
        <f t="shared" si="6"/>
        <v>2024Q3</v>
      </c>
      <c r="S13" s="51">
        <v>0.56954451028208974</v>
      </c>
      <c r="T13" s="51">
        <v>0.52863610806559735</v>
      </c>
      <c r="U13" s="51">
        <v>0.61045291249858213</v>
      </c>
      <c r="V13" s="1">
        <f t="shared" si="3"/>
        <v>0.52900000000000003</v>
      </c>
      <c r="W13" s="1">
        <f t="shared" si="4"/>
        <v>0.56999999999999995</v>
      </c>
      <c r="X13" s="1">
        <f t="shared" si="5"/>
        <v>0.61</v>
      </c>
    </row>
    <row r="14" spans="1:30" ht="15.5" thickTop="1" thickBot="1" x14ac:dyDescent="0.4">
      <c r="A14" s="5" t="str">
        <f t="shared" si="7"/>
        <v>2024Q3</v>
      </c>
      <c r="B14" s="2">
        <f t="shared" si="8"/>
        <v>683.34</v>
      </c>
      <c r="C14" s="3">
        <f t="shared" si="8"/>
        <v>735.41399999999999</v>
      </c>
      <c r="D14" s="2">
        <f t="shared" si="8"/>
        <v>787.48800000000006</v>
      </c>
      <c r="E14" s="2">
        <f t="shared" si="9"/>
        <v>0.52900000000000003</v>
      </c>
      <c r="F14" s="3">
        <f t="shared" si="9"/>
        <v>0.56999999999999995</v>
      </c>
      <c r="G14" s="2">
        <f t="shared" si="9"/>
        <v>0.61</v>
      </c>
      <c r="K14" s="14" t="s">
        <v>84</v>
      </c>
      <c r="L14" s="65">
        <v>746.6175354609212</v>
      </c>
      <c r="M14" s="65">
        <v>694.54376750809718</v>
      </c>
      <c r="N14" s="65">
        <v>798.69130341374523</v>
      </c>
      <c r="O14" s="1">
        <f t="shared" si="0"/>
        <v>694.54399999999998</v>
      </c>
      <c r="P14" s="1">
        <f t="shared" si="1"/>
        <v>746.61800000000005</v>
      </c>
      <c r="Q14" s="1">
        <f t="shared" si="2"/>
        <v>798.69100000000003</v>
      </c>
      <c r="R14" s="14" t="str">
        <f t="shared" si="6"/>
        <v>2024Q4</v>
      </c>
      <c r="S14" s="51">
        <v>0.5746196759835045</v>
      </c>
      <c r="T14" s="51">
        <v>0.53214729014250028</v>
      </c>
      <c r="U14" s="51">
        <v>0.61709206182450871</v>
      </c>
      <c r="V14" s="1">
        <f t="shared" si="3"/>
        <v>0.53200000000000003</v>
      </c>
      <c r="W14" s="1">
        <f t="shared" si="4"/>
        <v>0.57499999999999996</v>
      </c>
      <c r="X14" s="1">
        <f t="shared" si="5"/>
        <v>0.61699999999999999</v>
      </c>
    </row>
    <row r="15" spans="1:30" ht="15.5" thickTop="1" thickBot="1" x14ac:dyDescent="0.4">
      <c r="A15" s="5" t="str">
        <f t="shared" si="7"/>
        <v>2024Q4</v>
      </c>
      <c r="B15" s="2">
        <f t="shared" si="8"/>
        <v>694.54399999999998</v>
      </c>
      <c r="C15" s="3">
        <f t="shared" si="8"/>
        <v>746.61800000000005</v>
      </c>
      <c r="D15" s="2">
        <f t="shared" si="8"/>
        <v>798.69100000000003</v>
      </c>
      <c r="E15" s="2">
        <f t="shared" si="9"/>
        <v>0.53200000000000003</v>
      </c>
      <c r="F15" s="3">
        <f t="shared" si="9"/>
        <v>0.57499999999999996</v>
      </c>
      <c r="G15" s="2">
        <f t="shared" si="9"/>
        <v>0.61699999999999999</v>
      </c>
      <c r="K15" s="14" t="s">
        <v>81</v>
      </c>
      <c r="L15" s="65">
        <v>727.67737887257863</v>
      </c>
      <c r="M15" s="65">
        <v>675.60361091954485</v>
      </c>
      <c r="N15" s="65">
        <v>779.75114682561241</v>
      </c>
      <c r="O15" s="1">
        <f t="shared" si="0"/>
        <v>675.60400000000004</v>
      </c>
      <c r="P15" s="1">
        <f t="shared" si="1"/>
        <v>727.67700000000002</v>
      </c>
      <c r="Q15" s="1">
        <f t="shared" si="2"/>
        <v>779.75099999999998</v>
      </c>
      <c r="R15" s="14" t="str">
        <f t="shared" si="6"/>
        <v>2025Q1</v>
      </c>
      <c r="S15" s="51">
        <v>0.56746352440923109</v>
      </c>
      <c r="T15" s="51">
        <v>0.5234827360334865</v>
      </c>
      <c r="U15" s="51">
        <v>0.61144431278497569</v>
      </c>
      <c r="V15" s="1">
        <f t="shared" si="3"/>
        <v>0.52300000000000002</v>
      </c>
      <c r="W15" s="1">
        <f t="shared" si="4"/>
        <v>0.56699999999999995</v>
      </c>
      <c r="X15" s="1">
        <f t="shared" si="5"/>
        <v>0.61099999999999999</v>
      </c>
    </row>
    <row r="16" spans="1:30" ht="15.5" thickTop="1" thickBot="1" x14ac:dyDescent="0.4">
      <c r="A16" s="5" t="str">
        <f t="shared" si="7"/>
        <v>2025Q1</v>
      </c>
      <c r="B16" s="2">
        <f t="shared" si="8"/>
        <v>675.60400000000004</v>
      </c>
      <c r="C16" s="3">
        <f t="shared" si="8"/>
        <v>727.67700000000002</v>
      </c>
      <c r="D16" s="2">
        <f t="shared" si="8"/>
        <v>779.75099999999998</v>
      </c>
      <c r="E16" s="2">
        <f t="shared" si="9"/>
        <v>0.52300000000000002</v>
      </c>
      <c r="F16" s="3">
        <f t="shared" si="9"/>
        <v>0.56699999999999995</v>
      </c>
      <c r="G16" s="2">
        <f t="shared" si="9"/>
        <v>0.61099999999999999</v>
      </c>
      <c r="K16" s="14" t="s">
        <v>82</v>
      </c>
      <c r="L16" s="65">
        <v>755.98103805449875</v>
      </c>
      <c r="M16" s="65">
        <v>703.90727010144087</v>
      </c>
      <c r="N16" s="65">
        <v>808.05480600755664</v>
      </c>
      <c r="O16" s="1">
        <f t="shared" si="0"/>
        <v>703.90700000000004</v>
      </c>
      <c r="P16" s="1">
        <f t="shared" si="1"/>
        <v>755.98099999999999</v>
      </c>
      <c r="Q16" s="1">
        <f t="shared" si="2"/>
        <v>808.05499999999995</v>
      </c>
      <c r="R16" s="14" t="str">
        <f t="shared" si="6"/>
        <v>2025Q2</v>
      </c>
      <c r="S16" s="51">
        <v>0.58614760811284483</v>
      </c>
      <c r="T16" s="51">
        <v>0.54070846272831452</v>
      </c>
      <c r="U16" s="51">
        <v>0.63158675349737514</v>
      </c>
      <c r="V16" s="1">
        <f t="shared" si="3"/>
        <v>0.54100000000000004</v>
      </c>
      <c r="W16" s="1">
        <f t="shared" si="4"/>
        <v>0.58599999999999997</v>
      </c>
      <c r="X16" s="1">
        <f t="shared" si="5"/>
        <v>0.63200000000000001</v>
      </c>
    </row>
    <row r="17" spans="1:24" ht="15.5" thickTop="1" thickBot="1" x14ac:dyDescent="0.4">
      <c r="A17" s="5" t="str">
        <f t="shared" si="7"/>
        <v>2025Q2</v>
      </c>
      <c r="B17" s="2">
        <f t="shared" si="8"/>
        <v>703.90700000000004</v>
      </c>
      <c r="C17" s="3">
        <f t="shared" si="8"/>
        <v>755.98099999999999</v>
      </c>
      <c r="D17" s="2">
        <f t="shared" si="8"/>
        <v>808.05499999999995</v>
      </c>
      <c r="E17" s="2">
        <f t="shared" si="9"/>
        <v>0.54100000000000004</v>
      </c>
      <c r="F17" s="3">
        <f t="shared" si="9"/>
        <v>0.58599999999999997</v>
      </c>
      <c r="G17" s="2">
        <f t="shared" si="9"/>
        <v>0.63200000000000001</v>
      </c>
      <c r="K17" s="14" t="s">
        <v>83</v>
      </c>
      <c r="L17" s="65">
        <v>758.40442597370156</v>
      </c>
      <c r="M17" s="65">
        <v>706.33065802064084</v>
      </c>
      <c r="N17" s="65">
        <v>810.47819392676229</v>
      </c>
      <c r="O17" s="1">
        <f t="shared" si="0"/>
        <v>706.33100000000002</v>
      </c>
      <c r="P17" s="1">
        <f t="shared" si="1"/>
        <v>758.404</v>
      </c>
      <c r="Q17" s="1">
        <f t="shared" si="2"/>
        <v>810.47799999999995</v>
      </c>
      <c r="R17" s="14" t="str">
        <f t="shared" si="6"/>
        <v>2025Q3</v>
      </c>
      <c r="S17" s="51">
        <v>0.58695226600534967</v>
      </c>
      <c r="T17" s="51">
        <v>0.54010013563328452</v>
      </c>
      <c r="U17" s="51">
        <v>0.63380439637741481</v>
      </c>
      <c r="V17" s="1">
        <f t="shared" si="3"/>
        <v>0.54</v>
      </c>
      <c r="W17" s="1">
        <f t="shared" si="4"/>
        <v>0.58699999999999997</v>
      </c>
      <c r="X17" s="1">
        <f t="shared" si="5"/>
        <v>0.63400000000000001</v>
      </c>
    </row>
    <row r="18" spans="1:24" ht="15.5" thickTop="1" thickBot="1" x14ac:dyDescent="0.4">
      <c r="A18" s="5" t="str">
        <f t="shared" si="7"/>
        <v>2025Q3</v>
      </c>
      <c r="B18" s="2">
        <f t="shared" si="8"/>
        <v>706.33100000000002</v>
      </c>
      <c r="C18" s="3">
        <f t="shared" si="8"/>
        <v>758.404</v>
      </c>
      <c r="D18" s="2">
        <f t="shared" si="8"/>
        <v>810.47799999999995</v>
      </c>
      <c r="E18" s="2">
        <f t="shared" si="9"/>
        <v>0.54</v>
      </c>
      <c r="F18" s="3">
        <f t="shared" si="9"/>
        <v>0.58699999999999997</v>
      </c>
      <c r="G18" s="2">
        <f t="shared" si="9"/>
        <v>0.63400000000000001</v>
      </c>
      <c r="K18" s="14" t="s">
        <v>80</v>
      </c>
      <c r="L18" s="65">
        <v>769.60768093583488</v>
      </c>
      <c r="M18" s="65">
        <v>717.53391298277393</v>
      </c>
      <c r="N18" s="65">
        <v>821.68144888889583</v>
      </c>
      <c r="O18" s="1">
        <f t="shared" si="0"/>
        <v>717.53399999999999</v>
      </c>
      <c r="P18" s="1">
        <f t="shared" si="1"/>
        <v>769.60799999999995</v>
      </c>
      <c r="Q18" s="1">
        <f t="shared" si="2"/>
        <v>821.68100000000004</v>
      </c>
      <c r="R18" s="14" t="str">
        <f t="shared" si="6"/>
        <v>2025Q4</v>
      </c>
      <c r="S18" s="51">
        <v>0.59202743170646344</v>
      </c>
      <c r="T18" s="51">
        <v>0.54380369991883115</v>
      </c>
      <c r="U18" s="51">
        <v>0.64025116349409572</v>
      </c>
      <c r="V18" s="1">
        <f t="shared" si="3"/>
        <v>0.54400000000000004</v>
      </c>
      <c r="W18" s="1">
        <f t="shared" si="4"/>
        <v>0.59199999999999997</v>
      </c>
      <c r="X18" s="1">
        <f t="shared" si="5"/>
        <v>0.64</v>
      </c>
    </row>
    <row r="19" spans="1:24" ht="15.5" thickTop="1" thickBot="1" x14ac:dyDescent="0.4">
      <c r="A19" s="5" t="str">
        <f t="shared" si="7"/>
        <v>2025Q4</v>
      </c>
      <c r="B19" s="2">
        <f t="shared" si="8"/>
        <v>717.53399999999999</v>
      </c>
      <c r="C19" s="3">
        <f t="shared" si="8"/>
        <v>769.60799999999995</v>
      </c>
      <c r="D19" s="2">
        <f t="shared" si="8"/>
        <v>821.68100000000004</v>
      </c>
      <c r="E19" s="2">
        <f t="shared" si="9"/>
        <v>0.54400000000000004</v>
      </c>
      <c r="F19" s="3">
        <f t="shared" si="9"/>
        <v>0.59199999999999997</v>
      </c>
      <c r="G19" s="2">
        <f t="shared" si="9"/>
        <v>0.64</v>
      </c>
      <c r="K19" s="14" t="s">
        <v>92</v>
      </c>
      <c r="L19" s="65">
        <v>750.66749457609455</v>
      </c>
      <c r="M19" s="65">
        <v>698.59372662303349</v>
      </c>
      <c r="N19" s="65">
        <v>802.74126252915562</v>
      </c>
      <c r="O19" s="1">
        <f t="shared" si="0"/>
        <v>698.59400000000005</v>
      </c>
      <c r="P19" s="1">
        <f t="shared" si="1"/>
        <v>750.66700000000003</v>
      </c>
      <c r="Q19" s="1">
        <f t="shared" si="2"/>
        <v>802.74099999999999</v>
      </c>
      <c r="R19" s="14" t="str">
        <f t="shared" si="6"/>
        <v>2026Q1</v>
      </c>
      <c r="S19" s="51">
        <v>0.584871280132222</v>
      </c>
      <c r="T19" s="51">
        <v>0.53531389425836873</v>
      </c>
      <c r="U19" s="51">
        <v>0.63442866600607528</v>
      </c>
      <c r="V19" s="1">
        <f t="shared" si="3"/>
        <v>0.53500000000000003</v>
      </c>
      <c r="W19" s="1">
        <f t="shared" si="4"/>
        <v>0.58499999999999996</v>
      </c>
      <c r="X19" s="1">
        <f t="shared" si="5"/>
        <v>0.63400000000000001</v>
      </c>
    </row>
    <row r="20" spans="1:24" ht="15.5" thickTop="1" thickBot="1" x14ac:dyDescent="0.4">
      <c r="A20" s="5" t="str">
        <f t="shared" si="7"/>
        <v>2026Q1</v>
      </c>
      <c r="B20" s="2">
        <f t="shared" si="8"/>
        <v>698.59400000000005</v>
      </c>
      <c r="C20" s="3">
        <f t="shared" si="8"/>
        <v>750.66700000000003</v>
      </c>
      <c r="D20" s="2">
        <f t="shared" si="8"/>
        <v>802.74099999999999</v>
      </c>
      <c r="E20" s="2">
        <f t="shared" si="9"/>
        <v>0.53500000000000003</v>
      </c>
      <c r="F20" s="3">
        <f t="shared" si="9"/>
        <v>0.58499999999999996</v>
      </c>
      <c r="G20" s="2">
        <f t="shared" si="9"/>
        <v>0.63400000000000001</v>
      </c>
      <c r="K20" s="14" t="s">
        <v>93</v>
      </c>
      <c r="L20" s="65">
        <v>778.97114366064625</v>
      </c>
      <c r="M20" s="65">
        <v>726.89737570758518</v>
      </c>
      <c r="N20" s="65">
        <v>831.04491161370731</v>
      </c>
      <c r="O20" s="1">
        <f t="shared" si="0"/>
        <v>726.89700000000005</v>
      </c>
      <c r="P20" s="1">
        <f t="shared" si="1"/>
        <v>778.971</v>
      </c>
      <c r="Q20" s="1">
        <f t="shared" si="2"/>
        <v>831.04499999999996</v>
      </c>
      <c r="R20" s="14" t="str">
        <f t="shared" si="6"/>
        <v>2026Q2</v>
      </c>
      <c r="S20" s="51">
        <v>0.6035553638358323</v>
      </c>
      <c r="T20" s="51">
        <v>0.55269928571556737</v>
      </c>
      <c r="U20" s="51">
        <v>0.65441144195609724</v>
      </c>
      <c r="V20" s="1">
        <f t="shared" si="3"/>
        <v>0.55300000000000005</v>
      </c>
      <c r="W20" s="1">
        <f t="shared" si="4"/>
        <v>0.60399999999999998</v>
      </c>
      <c r="X20" s="1">
        <f t="shared" si="5"/>
        <v>0.65400000000000003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726.89700000000005</v>
      </c>
      <c r="C21" s="3">
        <f t="shared" si="10"/>
        <v>778.971</v>
      </c>
      <c r="D21" s="2">
        <f t="shared" si="10"/>
        <v>831.04499999999996</v>
      </c>
      <c r="E21" s="2">
        <f t="shared" ref="E21:G35" si="11">V20</f>
        <v>0.55300000000000005</v>
      </c>
      <c r="F21" s="3">
        <f t="shared" si="11"/>
        <v>0.60399999999999998</v>
      </c>
      <c r="G21" s="2">
        <f t="shared" si="11"/>
        <v>0.65400000000000003</v>
      </c>
      <c r="K21" s="14" t="s">
        <v>94</v>
      </c>
      <c r="L21" s="65">
        <v>781.39452815519132</v>
      </c>
      <c r="M21" s="65">
        <v>729.32076020213026</v>
      </c>
      <c r="N21" s="65">
        <v>833.46829610825239</v>
      </c>
      <c r="O21" s="1">
        <f t="shared" si="0"/>
        <v>729.32100000000003</v>
      </c>
      <c r="P21" s="1">
        <f t="shared" si="1"/>
        <v>781.39499999999998</v>
      </c>
      <c r="Q21" s="1">
        <f t="shared" si="2"/>
        <v>833.46799999999996</v>
      </c>
      <c r="R21" s="14" t="str">
        <f t="shared" si="6"/>
        <v>2026Q3</v>
      </c>
      <c r="S21" s="51">
        <v>0.60436002172833758</v>
      </c>
      <c r="T21" s="51">
        <v>0.5522375997882647</v>
      </c>
      <c r="U21" s="51">
        <v>0.65648244366841046</v>
      </c>
      <c r="V21" s="1">
        <f t="shared" si="3"/>
        <v>0.55200000000000005</v>
      </c>
      <c r="W21" s="1">
        <f t="shared" si="4"/>
        <v>0.60399999999999998</v>
      </c>
      <c r="X21" s="1">
        <f t="shared" si="5"/>
        <v>0.65600000000000003</v>
      </c>
    </row>
    <row r="22" spans="1:24" ht="15.5" thickTop="1" thickBot="1" x14ac:dyDescent="0.4">
      <c r="A22" s="5" t="str">
        <f t="shared" si="7"/>
        <v>2026Q3</v>
      </c>
      <c r="B22" s="2">
        <f t="shared" si="10"/>
        <v>729.32100000000003</v>
      </c>
      <c r="C22" s="3">
        <f t="shared" si="10"/>
        <v>781.39499999999998</v>
      </c>
      <c r="D22" s="2">
        <f t="shared" si="10"/>
        <v>833.46799999999996</v>
      </c>
      <c r="E22" s="2">
        <f t="shared" si="11"/>
        <v>0.55200000000000005</v>
      </c>
      <c r="F22" s="3">
        <f t="shared" si="11"/>
        <v>0.60399999999999998</v>
      </c>
      <c r="G22" s="2">
        <f t="shared" si="11"/>
        <v>0.65600000000000003</v>
      </c>
      <c r="K22" s="14" t="s">
        <v>95</v>
      </c>
      <c r="L22" s="65">
        <v>792.59778195580589</v>
      </c>
      <c r="M22" s="65">
        <v>740.52401400274482</v>
      </c>
      <c r="N22" s="65">
        <v>844.67154990886695</v>
      </c>
      <c r="O22" s="1">
        <f t="shared" si="0"/>
        <v>740.524</v>
      </c>
      <c r="P22" s="1">
        <f t="shared" si="1"/>
        <v>792.59799999999996</v>
      </c>
      <c r="Q22" s="1">
        <f t="shared" si="2"/>
        <v>844.67200000000003</v>
      </c>
      <c r="R22" s="14" t="str">
        <f t="shared" si="6"/>
        <v>2026Q4</v>
      </c>
      <c r="S22" s="51">
        <v>0.60943518742945135</v>
      </c>
      <c r="T22" s="51">
        <v>0.5560764669048408</v>
      </c>
      <c r="U22" s="51">
        <v>0.6627939079540619</v>
      </c>
      <c r="V22" s="1">
        <f t="shared" si="3"/>
        <v>0.55600000000000005</v>
      </c>
      <c r="W22" s="1">
        <f t="shared" si="4"/>
        <v>0.60899999999999999</v>
      </c>
      <c r="X22" s="1">
        <f t="shared" si="5"/>
        <v>0.66300000000000003</v>
      </c>
    </row>
    <row r="23" spans="1:24" ht="15.5" thickTop="1" thickBot="1" x14ac:dyDescent="0.4">
      <c r="A23" s="5" t="str">
        <f t="shared" si="7"/>
        <v>2026Q4</v>
      </c>
      <c r="B23" s="2">
        <f t="shared" si="10"/>
        <v>740.524</v>
      </c>
      <c r="C23" s="3">
        <f t="shared" si="10"/>
        <v>792.59799999999996</v>
      </c>
      <c r="D23" s="2">
        <f t="shared" si="10"/>
        <v>844.67200000000003</v>
      </c>
      <c r="E23" s="2">
        <f t="shared" si="11"/>
        <v>0.55600000000000005</v>
      </c>
      <c r="F23" s="3">
        <f t="shared" si="11"/>
        <v>0.60899999999999999</v>
      </c>
      <c r="G23" s="2">
        <f t="shared" si="11"/>
        <v>0.66300000000000003</v>
      </c>
      <c r="K23" s="14" t="s">
        <v>96</v>
      </c>
      <c r="L23" s="65">
        <v>773.65759520212112</v>
      </c>
      <c r="M23" s="65">
        <v>721.58382724906005</v>
      </c>
      <c r="N23" s="65">
        <v>825.73136315518218</v>
      </c>
      <c r="O23" s="1">
        <f t="shared" si="0"/>
        <v>721.58399999999995</v>
      </c>
      <c r="P23" s="1">
        <f t="shared" si="1"/>
        <v>773.65800000000002</v>
      </c>
      <c r="Q23" s="1">
        <f t="shared" si="2"/>
        <v>825.73099999999999</v>
      </c>
      <c r="R23" s="14" t="str">
        <f t="shared" si="6"/>
        <v>2027Q1</v>
      </c>
      <c r="S23" s="51">
        <v>0.60227903585520981</v>
      </c>
      <c r="T23" s="51">
        <v>0.54771201978187123</v>
      </c>
      <c r="U23" s="51">
        <v>0.65684605192854839</v>
      </c>
      <c r="V23" s="1">
        <f t="shared" si="3"/>
        <v>0.54800000000000004</v>
      </c>
      <c r="W23" s="1">
        <f t="shared" si="4"/>
        <v>0.60199999999999998</v>
      </c>
      <c r="X23" s="1">
        <f t="shared" si="5"/>
        <v>0.65700000000000003</v>
      </c>
    </row>
    <row r="24" spans="1:24" ht="15.5" thickTop="1" thickBot="1" x14ac:dyDescent="0.4">
      <c r="A24" s="5" t="str">
        <f t="shared" si="7"/>
        <v>2027Q1</v>
      </c>
      <c r="B24" s="2">
        <f t="shared" si="10"/>
        <v>721.58399999999995</v>
      </c>
      <c r="C24" s="3">
        <f t="shared" si="10"/>
        <v>773.65800000000002</v>
      </c>
      <c r="D24" s="2">
        <f t="shared" si="10"/>
        <v>825.73099999999999</v>
      </c>
      <c r="E24" s="2">
        <f t="shared" si="11"/>
        <v>0.54800000000000004</v>
      </c>
      <c r="F24" s="3">
        <f t="shared" si="11"/>
        <v>0.60199999999999998</v>
      </c>
      <c r="G24" s="2">
        <f t="shared" si="11"/>
        <v>0.65700000000000003</v>
      </c>
      <c r="K24" s="14" t="s">
        <v>97</v>
      </c>
      <c r="L24" s="65">
        <v>801.96124415306122</v>
      </c>
      <c r="M24" s="65">
        <v>749.88747620000015</v>
      </c>
      <c r="N24" s="65">
        <v>854.03501210612228</v>
      </c>
      <c r="O24" s="1">
        <f t="shared" si="0"/>
        <v>749.88699999999994</v>
      </c>
      <c r="P24" s="1">
        <f t="shared" si="1"/>
        <v>801.96100000000001</v>
      </c>
      <c r="Q24" s="1">
        <f t="shared" si="2"/>
        <v>854.03499999999997</v>
      </c>
      <c r="R24" s="14" t="str">
        <f t="shared" si="6"/>
        <v>2027Q2</v>
      </c>
      <c r="S24" s="51">
        <v>0.62096311955882022</v>
      </c>
      <c r="T24" s="51">
        <v>0.56521399014613349</v>
      </c>
      <c r="U24" s="51">
        <v>0.67671224897150695</v>
      </c>
      <c r="V24" s="1">
        <f t="shared" si="3"/>
        <v>0.56499999999999995</v>
      </c>
      <c r="W24" s="1">
        <f t="shared" si="4"/>
        <v>0.621</v>
      </c>
      <c r="X24" s="1">
        <f t="shared" si="5"/>
        <v>0.67700000000000005</v>
      </c>
    </row>
    <row r="25" spans="1:24" ht="15.5" thickTop="1" thickBot="1" x14ac:dyDescent="0.4">
      <c r="A25" s="5" t="str">
        <f t="shared" si="7"/>
        <v>2027Q2</v>
      </c>
      <c r="B25" s="2">
        <f t="shared" si="10"/>
        <v>749.88699999999994</v>
      </c>
      <c r="C25" s="3">
        <f t="shared" si="10"/>
        <v>801.96100000000001</v>
      </c>
      <c r="D25" s="2">
        <f t="shared" si="10"/>
        <v>854.03499999999997</v>
      </c>
      <c r="E25" s="2">
        <f t="shared" si="11"/>
        <v>0.56499999999999995</v>
      </c>
      <c r="F25" s="3">
        <f t="shared" si="11"/>
        <v>0.621</v>
      </c>
      <c r="G25" s="2">
        <f t="shared" si="11"/>
        <v>0.67700000000000005</v>
      </c>
      <c r="K25" s="14" t="s">
        <v>98</v>
      </c>
      <c r="L25" s="65">
        <v>804.38462860229015</v>
      </c>
      <c r="M25" s="65">
        <v>752.31086064922908</v>
      </c>
      <c r="N25" s="65">
        <v>856.45839655535121</v>
      </c>
      <c r="O25" s="1">
        <f t="shared" si="0"/>
        <v>752.31100000000004</v>
      </c>
      <c r="P25" s="1">
        <f t="shared" si="1"/>
        <v>804.38499999999999</v>
      </c>
      <c r="Q25" s="1">
        <f t="shared" si="2"/>
        <v>856.45799999999997</v>
      </c>
      <c r="R25" s="14" t="str">
        <f t="shared" si="6"/>
        <v>2027Q3</v>
      </c>
      <c r="S25" s="51">
        <v>0.62176777745132539</v>
      </c>
      <c r="T25" s="51">
        <v>0.56486108524911605</v>
      </c>
      <c r="U25" s="51">
        <v>0.67867446965353473</v>
      </c>
      <c r="V25" s="1">
        <f t="shared" si="3"/>
        <v>0.56499999999999995</v>
      </c>
      <c r="W25" s="1">
        <f t="shared" si="4"/>
        <v>0.622</v>
      </c>
      <c r="X25" s="1">
        <f t="shared" si="5"/>
        <v>0.67900000000000005</v>
      </c>
    </row>
    <row r="26" spans="1:24" ht="15.5" thickTop="1" thickBot="1" x14ac:dyDescent="0.4">
      <c r="A26" s="5" t="str">
        <f t="shared" si="7"/>
        <v>2027Q3</v>
      </c>
      <c r="B26" s="2">
        <f t="shared" si="10"/>
        <v>752.31100000000004</v>
      </c>
      <c r="C26" s="3">
        <f t="shared" si="10"/>
        <v>804.38499999999999</v>
      </c>
      <c r="D26" s="2">
        <f t="shared" si="10"/>
        <v>856.45799999999997</v>
      </c>
      <c r="E26" s="2">
        <f t="shared" si="11"/>
        <v>0.56499999999999995</v>
      </c>
      <c r="F26" s="3">
        <f t="shared" si="11"/>
        <v>0.622</v>
      </c>
      <c r="G26" s="2">
        <f t="shared" si="11"/>
        <v>0.67900000000000005</v>
      </c>
      <c r="K26" s="14" t="s">
        <v>99</v>
      </c>
      <c r="L26" s="65">
        <v>815.58788238753516</v>
      </c>
      <c r="M26" s="65">
        <v>763.5141144344741</v>
      </c>
      <c r="N26" s="65">
        <v>867.66165034059622</v>
      </c>
      <c r="O26" s="1">
        <f t="shared" si="0"/>
        <v>763.51400000000001</v>
      </c>
      <c r="P26" s="1">
        <f t="shared" si="1"/>
        <v>815.58799999999997</v>
      </c>
      <c r="Q26" s="1">
        <f t="shared" si="2"/>
        <v>867.66200000000003</v>
      </c>
      <c r="R26" s="14" t="str">
        <f t="shared" si="6"/>
        <v>2027Q4</v>
      </c>
      <c r="S26" s="51">
        <v>0.62684294315243927</v>
      </c>
      <c r="T26" s="51">
        <v>0.56880176979660935</v>
      </c>
      <c r="U26" s="51">
        <v>0.68488411650826919</v>
      </c>
      <c r="V26" s="1">
        <f t="shared" si="3"/>
        <v>0.56899999999999995</v>
      </c>
      <c r="W26" s="1">
        <f t="shared" si="4"/>
        <v>0.627</v>
      </c>
      <c r="X26" s="1">
        <f t="shared" si="5"/>
        <v>0.68500000000000005</v>
      </c>
    </row>
    <row r="27" spans="1:24" ht="15.5" thickTop="1" thickBot="1" x14ac:dyDescent="0.4">
      <c r="A27" s="5" t="str">
        <f t="shared" si="7"/>
        <v>2027Q4</v>
      </c>
      <c r="B27" s="2">
        <f t="shared" si="10"/>
        <v>763.51400000000001</v>
      </c>
      <c r="C27" s="3">
        <f t="shared" si="10"/>
        <v>815.58799999999997</v>
      </c>
      <c r="D27" s="2">
        <f t="shared" si="10"/>
        <v>867.66200000000003</v>
      </c>
      <c r="E27" s="2">
        <f t="shared" si="11"/>
        <v>0.56899999999999995</v>
      </c>
      <c r="F27" s="3">
        <f t="shared" si="11"/>
        <v>0.627</v>
      </c>
      <c r="G27" s="2">
        <f t="shared" si="11"/>
        <v>0.68500000000000005</v>
      </c>
      <c r="K27" s="14" t="s">
        <v>100</v>
      </c>
      <c r="L27" s="65">
        <v>796.64769562863751</v>
      </c>
      <c r="M27" s="65">
        <v>744.57392767557644</v>
      </c>
      <c r="N27" s="65">
        <v>848.72146358169857</v>
      </c>
      <c r="O27" s="1">
        <f t="shared" si="0"/>
        <v>744.57399999999996</v>
      </c>
      <c r="P27" s="1">
        <f t="shared" si="1"/>
        <v>796.64800000000002</v>
      </c>
      <c r="Q27" s="1">
        <f t="shared" si="2"/>
        <v>848.721</v>
      </c>
      <c r="R27" s="14" t="str">
        <f t="shared" si="6"/>
        <v>2028Q1</v>
      </c>
      <c r="S27" s="51">
        <v>0.61968679157819773</v>
      </c>
      <c r="T27" s="51">
        <v>0.5605328906785445</v>
      </c>
      <c r="U27" s="51">
        <v>0.67884069247785095</v>
      </c>
      <c r="V27" s="1">
        <f t="shared" si="3"/>
        <v>0.56100000000000005</v>
      </c>
      <c r="W27" s="1">
        <f t="shared" si="4"/>
        <v>0.62</v>
      </c>
      <c r="X27" s="1">
        <f t="shared" si="5"/>
        <v>0.67900000000000005</v>
      </c>
    </row>
    <row r="28" spans="1:24" ht="15.5" thickTop="1" thickBot="1" x14ac:dyDescent="0.4">
      <c r="A28" s="5" t="str">
        <f t="shared" si="7"/>
        <v>2028Q1</v>
      </c>
      <c r="B28" s="2">
        <f t="shared" si="10"/>
        <v>744.57399999999996</v>
      </c>
      <c r="C28" s="3">
        <f t="shared" si="10"/>
        <v>796.64800000000002</v>
      </c>
      <c r="D28" s="2">
        <f t="shared" si="10"/>
        <v>848.721</v>
      </c>
      <c r="E28" s="2">
        <f t="shared" si="11"/>
        <v>0.56100000000000005</v>
      </c>
      <c r="F28" s="3">
        <f t="shared" si="11"/>
        <v>0.62</v>
      </c>
      <c r="G28" s="2">
        <f t="shared" si="11"/>
        <v>0.67900000000000005</v>
      </c>
      <c r="K28" s="14" t="s">
        <v>101</v>
      </c>
      <c r="L28" s="65">
        <v>824.95134457780966</v>
      </c>
      <c r="M28" s="65">
        <v>772.8775766247486</v>
      </c>
      <c r="N28" s="65">
        <v>877.02511253087073</v>
      </c>
      <c r="O28" s="1">
        <f t="shared" si="0"/>
        <v>772.87800000000004</v>
      </c>
      <c r="P28" s="1">
        <f t="shared" si="1"/>
        <v>824.95100000000002</v>
      </c>
      <c r="Q28" s="1">
        <f t="shared" si="2"/>
        <v>877.02499999999998</v>
      </c>
      <c r="R28" s="14" t="str">
        <f t="shared" si="6"/>
        <v>2028Q2</v>
      </c>
      <c r="S28" s="51">
        <v>0.63837087528180803</v>
      </c>
      <c r="T28" s="51">
        <v>0.57812479508757053</v>
      </c>
      <c r="U28" s="51">
        <v>0.69861695547604552</v>
      </c>
      <c r="V28" s="1">
        <f t="shared" si="3"/>
        <v>0.57799999999999996</v>
      </c>
      <c r="W28" s="1">
        <f t="shared" si="4"/>
        <v>0.63800000000000001</v>
      </c>
      <c r="X28" s="1">
        <f t="shared" si="5"/>
        <v>0.69899999999999995</v>
      </c>
    </row>
    <row r="29" spans="1:24" ht="15.5" thickTop="1" thickBot="1" x14ac:dyDescent="0.4">
      <c r="A29" s="5" t="str">
        <f t="shared" si="7"/>
        <v>2028Q2</v>
      </c>
      <c r="B29" s="2">
        <f t="shared" si="10"/>
        <v>772.87800000000004</v>
      </c>
      <c r="C29" s="3">
        <f t="shared" si="10"/>
        <v>824.95100000000002</v>
      </c>
      <c r="D29" s="2">
        <f t="shared" si="10"/>
        <v>877.02499999999998</v>
      </c>
      <c r="E29" s="2">
        <f t="shared" si="11"/>
        <v>0.57799999999999996</v>
      </c>
      <c r="F29" s="3">
        <f t="shared" si="11"/>
        <v>0.63800000000000001</v>
      </c>
      <c r="G29" s="2">
        <f t="shared" si="11"/>
        <v>0.69899999999999995</v>
      </c>
      <c r="K29" s="14" t="s">
        <v>102</v>
      </c>
      <c r="L29" s="65">
        <v>827.37472902643901</v>
      </c>
      <c r="M29" s="65">
        <v>775.30096107337795</v>
      </c>
      <c r="N29" s="65">
        <v>879.44849697950008</v>
      </c>
      <c r="O29" s="1">
        <f t="shared" si="0"/>
        <v>775.30100000000004</v>
      </c>
      <c r="P29" s="1">
        <f t="shared" si="1"/>
        <v>827.375</v>
      </c>
      <c r="Q29" s="1">
        <f t="shared" si="2"/>
        <v>879.44799999999998</v>
      </c>
      <c r="R29" s="14" t="str">
        <f t="shared" si="6"/>
        <v>2028Q3</v>
      </c>
      <c r="S29" s="51">
        <v>0.6391755331743133</v>
      </c>
      <c r="T29" s="51">
        <v>0.57785672394015575</v>
      </c>
      <c r="U29" s="51">
        <v>0.70049434240847086</v>
      </c>
      <c r="V29" s="1">
        <f t="shared" si="3"/>
        <v>0.57799999999999996</v>
      </c>
      <c r="W29" s="1">
        <f t="shared" si="4"/>
        <v>0.63900000000000001</v>
      </c>
      <c r="X29" s="1">
        <f t="shared" si="5"/>
        <v>0.7</v>
      </c>
    </row>
    <row r="30" spans="1:24" ht="15.5" thickTop="1" thickBot="1" x14ac:dyDescent="0.4">
      <c r="A30" s="5" t="str">
        <f t="shared" si="7"/>
        <v>2028Q3</v>
      </c>
      <c r="B30" s="2">
        <f t="shared" si="10"/>
        <v>775.30100000000004</v>
      </c>
      <c r="C30" s="3">
        <f t="shared" si="10"/>
        <v>827.375</v>
      </c>
      <c r="D30" s="2">
        <f t="shared" si="10"/>
        <v>879.44799999999998</v>
      </c>
      <c r="E30" s="2">
        <f t="shared" si="11"/>
        <v>0.57799999999999996</v>
      </c>
      <c r="F30" s="3">
        <f t="shared" si="11"/>
        <v>0.63900000000000001</v>
      </c>
      <c r="G30" s="2">
        <f t="shared" si="11"/>
        <v>0.7</v>
      </c>
      <c r="K30" s="14" t="s">
        <v>103</v>
      </c>
      <c r="L30" s="65">
        <v>838.57798281148064</v>
      </c>
      <c r="M30" s="65">
        <v>786.50421485841957</v>
      </c>
      <c r="N30" s="65">
        <v>890.6517507645417</v>
      </c>
      <c r="O30" s="1">
        <f t="shared" si="0"/>
        <v>786.50400000000002</v>
      </c>
      <c r="P30" s="1">
        <f t="shared" si="1"/>
        <v>838.57799999999997</v>
      </c>
      <c r="Q30" s="1">
        <f t="shared" si="2"/>
        <v>890.65200000000004</v>
      </c>
      <c r="R30" s="14" t="str">
        <f t="shared" si="6"/>
        <v>2028Q4</v>
      </c>
      <c r="S30" s="51">
        <v>0.64425069887542707</v>
      </c>
      <c r="T30" s="51">
        <v>0.58187760729725124</v>
      </c>
      <c r="U30" s="51">
        <v>0.70662379045360291</v>
      </c>
      <c r="V30" s="1">
        <f t="shared" si="3"/>
        <v>0.58199999999999996</v>
      </c>
      <c r="W30" s="1">
        <f t="shared" si="4"/>
        <v>0.64400000000000002</v>
      </c>
      <c r="X30" s="1">
        <f t="shared" si="5"/>
        <v>0.70699999999999996</v>
      </c>
    </row>
    <row r="31" spans="1:24" ht="15.5" thickTop="1" thickBot="1" x14ac:dyDescent="0.4">
      <c r="A31" s="5" t="str">
        <f t="shared" si="7"/>
        <v>2028Q4</v>
      </c>
      <c r="B31" s="2">
        <f t="shared" si="10"/>
        <v>786.50400000000002</v>
      </c>
      <c r="C31" s="3">
        <f t="shared" si="10"/>
        <v>838.57799999999997</v>
      </c>
      <c r="D31" s="2">
        <f t="shared" si="10"/>
        <v>890.65200000000004</v>
      </c>
      <c r="E31" s="2">
        <f t="shared" si="11"/>
        <v>0.58199999999999996</v>
      </c>
      <c r="F31" s="3">
        <f t="shared" si="11"/>
        <v>0.64400000000000002</v>
      </c>
      <c r="G31" s="2">
        <f t="shared" si="11"/>
        <v>0.70699999999999996</v>
      </c>
      <c r="K31" s="14" t="s">
        <v>104</v>
      </c>
      <c r="L31" s="65">
        <v>819.63779605251398</v>
      </c>
      <c r="M31" s="65">
        <v>767.56402809945291</v>
      </c>
      <c r="N31" s="65">
        <v>871.71156400557504</v>
      </c>
      <c r="O31" s="1">
        <f t="shared" si="0"/>
        <v>767.56399999999996</v>
      </c>
      <c r="P31" s="1">
        <f t="shared" si="1"/>
        <v>819.63800000000003</v>
      </c>
      <c r="Q31" s="1">
        <f t="shared" si="2"/>
        <v>871.71199999999999</v>
      </c>
      <c r="R31" s="14" t="str">
        <f t="shared" si="6"/>
        <v>2029Q1</v>
      </c>
      <c r="S31" s="51">
        <v>0.63709454730118564</v>
      </c>
      <c r="T31" s="51">
        <v>0.57368469995754345</v>
      </c>
      <c r="U31" s="51">
        <v>0.70050439464482783</v>
      </c>
      <c r="V31" s="1">
        <f t="shared" si="3"/>
        <v>0.57399999999999995</v>
      </c>
      <c r="W31" s="1">
        <f t="shared" si="4"/>
        <v>0.63700000000000001</v>
      </c>
      <c r="X31" s="1">
        <f t="shared" si="5"/>
        <v>0.70099999999999996</v>
      </c>
    </row>
    <row r="32" spans="1:24" ht="15.5" thickTop="1" thickBot="1" x14ac:dyDescent="0.4">
      <c r="A32" s="5" t="str">
        <f t="shared" si="7"/>
        <v>2029Q1</v>
      </c>
      <c r="B32" s="2">
        <f t="shared" si="10"/>
        <v>767.56399999999996</v>
      </c>
      <c r="C32" s="3">
        <f t="shared" si="10"/>
        <v>819.63800000000003</v>
      </c>
      <c r="D32" s="2">
        <f t="shared" si="10"/>
        <v>871.71199999999999</v>
      </c>
      <c r="E32" s="2">
        <f t="shared" si="11"/>
        <v>0.57399999999999995</v>
      </c>
      <c r="F32" s="3">
        <f t="shared" si="11"/>
        <v>0.63700000000000001</v>
      </c>
      <c r="G32" s="2">
        <f t="shared" si="11"/>
        <v>0.70099999999999996</v>
      </c>
      <c r="K32" s="14" t="s">
        <v>105</v>
      </c>
      <c r="L32" s="65">
        <v>847.94144500166283</v>
      </c>
      <c r="M32" s="65">
        <v>795.86767704860176</v>
      </c>
      <c r="N32" s="65">
        <v>900.01521295472389</v>
      </c>
      <c r="O32" s="1">
        <f t="shared" si="0"/>
        <v>795.86800000000005</v>
      </c>
      <c r="P32" s="1">
        <f t="shared" si="1"/>
        <v>847.94100000000003</v>
      </c>
      <c r="Q32" s="1">
        <f t="shared" si="2"/>
        <v>900.01499999999999</v>
      </c>
      <c r="R32" s="14" t="str">
        <f t="shared" si="6"/>
        <v>2029Q2</v>
      </c>
      <c r="S32" s="51">
        <v>0.65577863100479594</v>
      </c>
      <c r="T32" s="51">
        <v>0.59134870839682985</v>
      </c>
      <c r="U32" s="51">
        <v>0.72020855361276204</v>
      </c>
      <c r="V32" s="1">
        <f t="shared" si="3"/>
        <v>0.59099999999999997</v>
      </c>
      <c r="W32" s="1">
        <f t="shared" si="4"/>
        <v>0.65600000000000003</v>
      </c>
      <c r="X32" s="1">
        <f t="shared" si="5"/>
        <v>0.72</v>
      </c>
    </row>
    <row r="33" spans="1:24" ht="15.5" thickTop="1" thickBot="1" x14ac:dyDescent="0.4">
      <c r="A33" s="5" t="str">
        <f t="shared" si="7"/>
        <v>2029Q2</v>
      </c>
      <c r="B33" s="2">
        <f t="shared" si="10"/>
        <v>795.86800000000005</v>
      </c>
      <c r="C33" s="3">
        <f t="shared" si="10"/>
        <v>847.94100000000003</v>
      </c>
      <c r="D33" s="2">
        <f t="shared" si="10"/>
        <v>900.01499999999999</v>
      </c>
      <c r="E33" s="2">
        <f t="shared" si="11"/>
        <v>0.59099999999999997</v>
      </c>
      <c r="F33" s="3">
        <f t="shared" si="11"/>
        <v>0.65600000000000003</v>
      </c>
      <c r="G33" s="2">
        <f t="shared" si="11"/>
        <v>0.72</v>
      </c>
      <c r="K33" s="14" t="s">
        <v>106</v>
      </c>
      <c r="L33" s="65">
        <v>850.36482945028411</v>
      </c>
      <c r="M33" s="65">
        <v>798.29106149722304</v>
      </c>
      <c r="N33" s="65">
        <v>902.43859740334517</v>
      </c>
      <c r="O33" s="1">
        <f t="shared" si="0"/>
        <v>798.29100000000005</v>
      </c>
      <c r="P33" s="1">
        <f t="shared" si="1"/>
        <v>850.36500000000001</v>
      </c>
      <c r="Q33" s="1">
        <f t="shared" si="2"/>
        <v>902.43899999999996</v>
      </c>
      <c r="R33" s="14" t="str">
        <f t="shared" si="6"/>
        <v>2029Q3</v>
      </c>
      <c r="S33" s="51">
        <v>0.65658328889730122</v>
      </c>
      <c r="T33" s="51">
        <v>0.59114919140682609</v>
      </c>
      <c r="U33" s="51">
        <v>0.72201738638777635</v>
      </c>
      <c r="V33" s="1">
        <f t="shared" si="3"/>
        <v>0.59099999999999997</v>
      </c>
      <c r="W33" s="1">
        <f t="shared" si="4"/>
        <v>0.65700000000000003</v>
      </c>
      <c r="X33" s="1">
        <f t="shared" si="5"/>
        <v>0.72199999999999998</v>
      </c>
    </row>
    <row r="34" spans="1:24" ht="15.5" thickTop="1" thickBot="1" x14ac:dyDescent="0.4">
      <c r="A34" s="5" t="str">
        <f t="shared" si="7"/>
        <v>2029Q3</v>
      </c>
      <c r="B34" s="2">
        <f t="shared" si="10"/>
        <v>798.29100000000005</v>
      </c>
      <c r="C34" s="3">
        <f t="shared" si="10"/>
        <v>850.36500000000001</v>
      </c>
      <c r="D34" s="2">
        <f t="shared" si="10"/>
        <v>902.43899999999996</v>
      </c>
      <c r="E34" s="2">
        <f t="shared" si="11"/>
        <v>0.59099999999999997</v>
      </c>
      <c r="F34" s="3">
        <f t="shared" si="11"/>
        <v>0.65700000000000003</v>
      </c>
      <c r="G34" s="2">
        <f t="shared" si="11"/>
        <v>0.72199999999999998</v>
      </c>
      <c r="K34" s="14" t="s">
        <v>107</v>
      </c>
      <c r="L34" s="65">
        <v>861.56808323532312</v>
      </c>
      <c r="M34" s="65">
        <v>809.49431528226205</v>
      </c>
      <c r="N34" s="65">
        <v>913.64185118838418</v>
      </c>
      <c r="O34" s="1">
        <f t="shared" si="0"/>
        <v>809.49400000000003</v>
      </c>
      <c r="P34" s="1">
        <f t="shared" si="1"/>
        <v>861.56799999999998</v>
      </c>
      <c r="Q34" s="1">
        <f t="shared" si="2"/>
        <v>913.64200000000005</v>
      </c>
      <c r="R34" s="14" t="str">
        <f t="shared" si="6"/>
        <v>2029Q4</v>
      </c>
      <c r="S34" s="51">
        <v>0.66165845459841499</v>
      </c>
      <c r="T34" s="51">
        <v>0.5952353614641932</v>
      </c>
      <c r="U34" s="51">
        <v>0.72808154773263678</v>
      </c>
      <c r="V34" s="1">
        <f t="shared" si="3"/>
        <v>0.59499999999999997</v>
      </c>
      <c r="W34" s="1">
        <f t="shared" si="4"/>
        <v>0.66200000000000003</v>
      </c>
      <c r="X34" s="1">
        <f t="shared" si="5"/>
        <v>0.72799999999999998</v>
      </c>
    </row>
    <row r="35" spans="1:24" ht="13" thickTop="1" thickBot="1" x14ac:dyDescent="0.35">
      <c r="A35" s="5" t="str">
        <f t="shared" si="7"/>
        <v>2029Q4</v>
      </c>
      <c r="B35" s="2">
        <f t="shared" si="10"/>
        <v>809.49400000000003</v>
      </c>
      <c r="C35" s="3">
        <f t="shared" si="10"/>
        <v>861.56799999999998</v>
      </c>
      <c r="D35" s="2">
        <f t="shared" si="10"/>
        <v>913.64200000000005</v>
      </c>
      <c r="E35" s="2">
        <f t="shared" si="11"/>
        <v>0.59499999999999997</v>
      </c>
      <c r="F35" s="3">
        <f t="shared" si="11"/>
        <v>0.66200000000000003</v>
      </c>
      <c r="G35" s="2">
        <f t="shared" si="11"/>
        <v>0.72799999999999998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764.09668749999992</v>
      </c>
      <c r="F38" s="1">
        <f>AVERAGE(F4:F35)</f>
        <v>0.59184375</v>
      </c>
    </row>
    <row r="40" spans="1:24" ht="12.5" thickBot="1" x14ac:dyDescent="0.35"/>
    <row r="41" spans="1:24" ht="15.5" thickTop="1" thickBot="1" x14ac:dyDescent="0.4">
      <c r="A41" s="29" t="s">
        <v>50</v>
      </c>
      <c r="B41" s="30"/>
      <c r="C41" s="30"/>
      <c r="D41" s="30"/>
      <c r="E41" s="30"/>
      <c r="F41" s="30"/>
      <c r="G41" s="30"/>
      <c r="K41" s="29" t="s">
        <v>25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640.34400000000005</v>
      </c>
      <c r="D44" s="6"/>
      <c r="E44" s="6"/>
      <c r="F44" s="9">
        <f>ROUND(F4-((G4-F4)*(0.5/2)),3)</f>
        <v>0.50900000000000001</v>
      </c>
      <c r="G44" s="6"/>
      <c r="K44" s="7" t="str">
        <f>A4</f>
        <v>2022Q1</v>
      </c>
      <c r="L44" s="6"/>
      <c r="M44" s="9">
        <f>ROUND(C4-((D4-C4)*(1/2)),3)</f>
        <v>628.66399999999999</v>
      </c>
      <c r="N44" s="6"/>
      <c r="O44" s="6"/>
      <c r="P44" s="9">
        <f>ROUND(F4-((G4-F4)*(1/2)),3)</f>
        <v>0.505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671.87300000000005</v>
      </c>
      <c r="D45" s="6"/>
      <c r="E45" s="6"/>
      <c r="F45" s="9">
        <f t="shared" ref="F45:F75" si="14">ROUND(F5-((G5-F5)*(0.5/2)),3)</f>
        <v>0.52900000000000003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659.00099999999998</v>
      </c>
      <c r="N45" s="6"/>
      <c r="O45" s="6"/>
      <c r="P45" s="9">
        <f t="shared" ref="P45:P75" si="17">ROUND(F5-((G5-F5)*(1/2)),3)</f>
        <v>0.52300000000000002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675.66300000000001</v>
      </c>
      <c r="D46" s="6"/>
      <c r="E46" s="6"/>
      <c r="F46" s="9">
        <f t="shared" si="14"/>
        <v>0.52900000000000003</v>
      </c>
      <c r="G46" s="6"/>
      <c r="K46" s="7" t="str">
        <f t="shared" si="15"/>
        <v>2022Q3</v>
      </c>
      <c r="L46" s="6"/>
      <c r="M46" s="9">
        <f t="shared" si="16"/>
        <v>662.66200000000003</v>
      </c>
      <c r="N46" s="6"/>
      <c r="O46" s="6"/>
      <c r="P46" s="9">
        <f t="shared" si="17"/>
        <v>0.52300000000000002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687.36099999999999</v>
      </c>
      <c r="D47" s="6"/>
      <c r="E47" s="6"/>
      <c r="F47" s="9">
        <f t="shared" si="14"/>
        <v>0.53300000000000003</v>
      </c>
      <c r="G47" s="6"/>
      <c r="K47" s="7" t="str">
        <f t="shared" si="15"/>
        <v>2022Q4</v>
      </c>
      <c r="L47" s="6"/>
      <c r="M47" s="9">
        <f t="shared" si="16"/>
        <v>674.34400000000005</v>
      </c>
      <c r="N47" s="6"/>
      <c r="O47" s="6"/>
      <c r="P47" s="9">
        <f t="shared" si="17"/>
        <v>0.52700000000000002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668.59100000000001</v>
      </c>
      <c r="D48" s="6"/>
      <c r="E48" s="6"/>
      <c r="F48" s="9">
        <f t="shared" si="14"/>
        <v>0.52600000000000002</v>
      </c>
      <c r="G48" s="6"/>
      <c r="K48" s="7" t="str">
        <f t="shared" si="15"/>
        <v>2023Q1</v>
      </c>
      <c r="L48" s="6"/>
      <c r="M48" s="9">
        <f t="shared" si="16"/>
        <v>655.57299999999998</v>
      </c>
      <c r="N48" s="6"/>
      <c r="O48" s="6"/>
      <c r="P48" s="9">
        <f t="shared" si="17"/>
        <v>0.51900000000000002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696.95299999999997</v>
      </c>
      <c r="D49" s="6"/>
      <c r="E49" s="6"/>
      <c r="F49" s="9">
        <f t="shared" si="14"/>
        <v>0.54300000000000004</v>
      </c>
      <c r="G49" s="6"/>
      <c r="K49" s="7" t="str">
        <f t="shared" si="15"/>
        <v>2023Q2</v>
      </c>
      <c r="L49" s="6"/>
      <c r="M49" s="9">
        <f t="shared" si="16"/>
        <v>683.93399999999997</v>
      </c>
      <c r="N49" s="6"/>
      <c r="O49" s="6"/>
      <c r="P49" s="9">
        <f t="shared" si="17"/>
        <v>0.53500000000000003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699.39599999999996</v>
      </c>
      <c r="D50" s="6"/>
      <c r="E50" s="6"/>
      <c r="F50" s="9">
        <f t="shared" si="14"/>
        <v>0.54400000000000004</v>
      </c>
      <c r="G50" s="6"/>
      <c r="K50" s="7" t="str">
        <f t="shared" si="15"/>
        <v>2023Q3</v>
      </c>
      <c r="L50" s="6"/>
      <c r="M50" s="9">
        <f t="shared" si="16"/>
        <v>686.37699999999995</v>
      </c>
      <c r="N50" s="6"/>
      <c r="O50" s="6"/>
      <c r="P50" s="9">
        <f t="shared" si="17"/>
        <v>0.53500000000000003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710.60599999999999</v>
      </c>
      <c r="D51" s="6"/>
      <c r="E51" s="6"/>
      <c r="F51" s="9">
        <f t="shared" si="14"/>
        <v>0.54800000000000004</v>
      </c>
      <c r="G51" s="6"/>
      <c r="K51" s="7" t="str">
        <f t="shared" si="15"/>
        <v>2023Q4</v>
      </c>
      <c r="L51" s="6"/>
      <c r="M51" s="9">
        <f t="shared" si="16"/>
        <v>697.58699999999999</v>
      </c>
      <c r="N51" s="6"/>
      <c r="O51" s="6"/>
      <c r="P51" s="9">
        <f t="shared" si="17"/>
        <v>0.53900000000000003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691.66800000000001</v>
      </c>
      <c r="D52" s="6"/>
      <c r="E52" s="6"/>
      <c r="F52" s="9">
        <f t="shared" si="14"/>
        <v>0.54100000000000004</v>
      </c>
      <c r="G52" s="6"/>
      <c r="K52" s="7" t="str">
        <f t="shared" si="15"/>
        <v>2024Q1</v>
      </c>
      <c r="L52" s="6"/>
      <c r="M52" s="9">
        <f t="shared" si="16"/>
        <v>678.649</v>
      </c>
      <c r="N52" s="6"/>
      <c r="O52" s="6"/>
      <c r="P52" s="9">
        <f t="shared" si="17"/>
        <v>0.53100000000000003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719.97299999999996</v>
      </c>
      <c r="D53" s="6"/>
      <c r="E53" s="6"/>
      <c r="F53" s="9">
        <f t="shared" si="14"/>
        <v>0.55900000000000005</v>
      </c>
      <c r="G53" s="6"/>
      <c r="K53" s="7" t="str">
        <f t="shared" si="15"/>
        <v>2024Q2</v>
      </c>
      <c r="L53" s="6"/>
      <c r="M53" s="9">
        <f t="shared" si="16"/>
        <v>706.95500000000004</v>
      </c>
      <c r="N53" s="6"/>
      <c r="O53" s="6"/>
      <c r="P53" s="9">
        <f t="shared" si="17"/>
        <v>0.55000000000000004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722.39599999999996</v>
      </c>
      <c r="D54" s="6"/>
      <c r="E54" s="6"/>
      <c r="F54" s="9">
        <f t="shared" si="14"/>
        <v>0.56000000000000005</v>
      </c>
      <c r="G54" s="6"/>
      <c r="K54" s="7" t="str">
        <f t="shared" si="15"/>
        <v>2024Q3</v>
      </c>
      <c r="L54" s="6"/>
      <c r="M54" s="9">
        <f t="shared" si="16"/>
        <v>709.37699999999995</v>
      </c>
      <c r="N54" s="6"/>
      <c r="O54" s="6"/>
      <c r="P54" s="9">
        <f t="shared" si="17"/>
        <v>0.55000000000000004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733.6</v>
      </c>
      <c r="D55" s="6"/>
      <c r="E55" s="6"/>
      <c r="F55" s="9">
        <f t="shared" si="14"/>
        <v>0.56499999999999995</v>
      </c>
      <c r="G55" s="6"/>
      <c r="K55" s="7" t="str">
        <f t="shared" si="15"/>
        <v>2024Q4</v>
      </c>
      <c r="L55" s="6"/>
      <c r="M55" s="9">
        <f t="shared" si="16"/>
        <v>720.58199999999999</v>
      </c>
      <c r="N55" s="6"/>
      <c r="O55" s="6"/>
      <c r="P55" s="9">
        <f t="shared" si="17"/>
        <v>0.55400000000000005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714.65899999999999</v>
      </c>
      <c r="D56" s="6"/>
      <c r="E56" s="6"/>
      <c r="F56" s="9">
        <f t="shared" si="14"/>
        <v>0.55600000000000005</v>
      </c>
      <c r="G56" s="6"/>
      <c r="K56" s="7" t="str">
        <f t="shared" si="15"/>
        <v>2025Q1</v>
      </c>
      <c r="L56" s="6"/>
      <c r="M56" s="9">
        <f t="shared" si="16"/>
        <v>701.64</v>
      </c>
      <c r="N56" s="6"/>
      <c r="O56" s="6"/>
      <c r="P56" s="9">
        <f t="shared" si="17"/>
        <v>0.54500000000000004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742.96299999999997</v>
      </c>
      <c r="D57" s="6"/>
      <c r="E57" s="6"/>
      <c r="F57" s="9">
        <f t="shared" si="14"/>
        <v>0.57499999999999996</v>
      </c>
      <c r="G57" s="6"/>
      <c r="K57" s="7" t="str">
        <f t="shared" si="15"/>
        <v>2025Q2</v>
      </c>
      <c r="L57" s="6"/>
      <c r="M57" s="9">
        <f t="shared" si="16"/>
        <v>729.94399999999996</v>
      </c>
      <c r="N57" s="6"/>
      <c r="O57" s="6"/>
      <c r="P57" s="9">
        <f t="shared" si="17"/>
        <v>0.56299999999999994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745.38599999999997</v>
      </c>
      <c r="D58" s="6"/>
      <c r="E58" s="6"/>
      <c r="F58" s="9">
        <f t="shared" si="14"/>
        <v>0.57499999999999996</v>
      </c>
      <c r="G58" s="6"/>
      <c r="K58" s="7" t="str">
        <f t="shared" si="15"/>
        <v>2025Q3</v>
      </c>
      <c r="L58" s="6"/>
      <c r="M58" s="9">
        <f t="shared" si="16"/>
        <v>732.36699999999996</v>
      </c>
      <c r="N58" s="6"/>
      <c r="O58" s="6"/>
      <c r="P58" s="9">
        <f t="shared" si="17"/>
        <v>0.56399999999999995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756.59</v>
      </c>
      <c r="D59" s="6"/>
      <c r="E59" s="6"/>
      <c r="F59" s="9">
        <f t="shared" si="14"/>
        <v>0.57999999999999996</v>
      </c>
      <c r="G59" s="6"/>
      <c r="K59" s="7" t="str">
        <f t="shared" si="15"/>
        <v>2025Q4</v>
      </c>
      <c r="L59" s="6"/>
      <c r="M59" s="9">
        <f t="shared" si="16"/>
        <v>743.572</v>
      </c>
      <c r="N59" s="6"/>
      <c r="O59" s="6"/>
      <c r="P59" s="9">
        <f t="shared" si="17"/>
        <v>0.56799999999999995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737.649</v>
      </c>
      <c r="D60" s="6"/>
      <c r="E60" s="6"/>
      <c r="F60" s="9">
        <f t="shared" si="14"/>
        <v>0.57299999999999995</v>
      </c>
      <c r="G60" s="6"/>
      <c r="K60" s="7" t="str">
        <f t="shared" si="15"/>
        <v>2026Q1</v>
      </c>
      <c r="L60" s="6"/>
      <c r="M60" s="9">
        <f t="shared" si="16"/>
        <v>724.63</v>
      </c>
      <c r="N60" s="6"/>
      <c r="O60" s="6"/>
      <c r="P60" s="9">
        <f t="shared" si="17"/>
        <v>0.56100000000000005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765.95299999999997</v>
      </c>
      <c r="D61" s="6"/>
      <c r="E61" s="6"/>
      <c r="F61" s="9">
        <f t="shared" si="14"/>
        <v>0.59199999999999997</v>
      </c>
      <c r="G61" s="6"/>
      <c r="K61" s="7" t="str">
        <f t="shared" si="15"/>
        <v>2026Q2</v>
      </c>
      <c r="L61" s="6"/>
      <c r="M61" s="9">
        <f t="shared" si="16"/>
        <v>752.93399999999997</v>
      </c>
      <c r="N61" s="6"/>
      <c r="O61" s="6"/>
      <c r="P61" s="9">
        <f t="shared" si="17"/>
        <v>0.57899999999999996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768.37699999999995</v>
      </c>
      <c r="D62" s="6"/>
      <c r="E62" s="6"/>
      <c r="F62" s="9">
        <f t="shared" si="14"/>
        <v>0.59099999999999997</v>
      </c>
      <c r="G62" s="6"/>
      <c r="K62" s="7" t="str">
        <f t="shared" si="15"/>
        <v>2026Q3</v>
      </c>
      <c r="L62" s="6"/>
      <c r="M62" s="9">
        <f t="shared" si="16"/>
        <v>755.35900000000004</v>
      </c>
      <c r="N62" s="6"/>
      <c r="O62" s="6"/>
      <c r="P62" s="9">
        <f t="shared" si="17"/>
        <v>0.57799999999999996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779.58</v>
      </c>
      <c r="D63" s="6"/>
      <c r="E63" s="6"/>
      <c r="F63" s="9">
        <f t="shared" si="14"/>
        <v>0.59599999999999997</v>
      </c>
      <c r="G63" s="6"/>
      <c r="K63" s="7" t="str">
        <f t="shared" si="15"/>
        <v>2026Q4</v>
      </c>
      <c r="L63" s="6"/>
      <c r="M63" s="9">
        <f t="shared" si="16"/>
        <v>766.56100000000004</v>
      </c>
      <c r="N63" s="6"/>
      <c r="O63" s="6"/>
      <c r="P63" s="9">
        <f t="shared" si="17"/>
        <v>0.58199999999999996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760.64</v>
      </c>
      <c r="D64" s="6"/>
      <c r="E64" s="6"/>
      <c r="F64" s="9">
        <f t="shared" si="14"/>
        <v>0.58799999999999997</v>
      </c>
      <c r="G64" s="6"/>
      <c r="K64" s="7" t="str">
        <f t="shared" si="15"/>
        <v>2027Q1</v>
      </c>
      <c r="L64" s="6"/>
      <c r="M64" s="9">
        <f t="shared" si="16"/>
        <v>747.62199999999996</v>
      </c>
      <c r="N64" s="6"/>
      <c r="O64" s="6"/>
      <c r="P64" s="9">
        <f t="shared" si="17"/>
        <v>0.57499999999999996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788.94299999999998</v>
      </c>
      <c r="D65" s="6"/>
      <c r="E65" s="6"/>
      <c r="F65" s="9">
        <f t="shared" si="14"/>
        <v>0.60699999999999998</v>
      </c>
      <c r="G65" s="6"/>
      <c r="K65" s="7" t="str">
        <f t="shared" si="15"/>
        <v>2027Q2</v>
      </c>
      <c r="L65" s="6"/>
      <c r="M65" s="9">
        <f t="shared" si="16"/>
        <v>775.92399999999998</v>
      </c>
      <c r="N65" s="6"/>
      <c r="O65" s="6"/>
      <c r="P65" s="9">
        <f t="shared" si="17"/>
        <v>0.59299999999999997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791.36699999999996</v>
      </c>
      <c r="D66" s="6"/>
      <c r="E66" s="6"/>
      <c r="F66" s="9">
        <f t="shared" si="14"/>
        <v>0.60799999999999998</v>
      </c>
      <c r="G66" s="6"/>
      <c r="K66" s="7" t="str">
        <f t="shared" si="15"/>
        <v>2027Q3</v>
      </c>
      <c r="L66" s="6"/>
      <c r="M66" s="9">
        <f t="shared" si="16"/>
        <v>778.34900000000005</v>
      </c>
      <c r="N66" s="6"/>
      <c r="O66" s="6"/>
      <c r="P66" s="9">
        <f t="shared" si="17"/>
        <v>0.59399999999999997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802.57</v>
      </c>
      <c r="D67" s="6"/>
      <c r="E67" s="6"/>
      <c r="F67" s="9">
        <f t="shared" si="14"/>
        <v>0.61299999999999999</v>
      </c>
      <c r="G67" s="6"/>
      <c r="K67" s="7" t="str">
        <f t="shared" si="15"/>
        <v>2027Q4</v>
      </c>
      <c r="L67" s="6"/>
      <c r="M67" s="9">
        <f t="shared" si="16"/>
        <v>789.55100000000004</v>
      </c>
      <c r="N67" s="6"/>
      <c r="O67" s="6"/>
      <c r="P67" s="9">
        <f t="shared" si="17"/>
        <v>0.59799999999999998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783.63</v>
      </c>
      <c r="D68" s="6"/>
      <c r="E68" s="6"/>
      <c r="F68" s="9">
        <f t="shared" si="14"/>
        <v>0.60499999999999998</v>
      </c>
      <c r="G68" s="6"/>
      <c r="K68" s="7" t="str">
        <f t="shared" si="15"/>
        <v>2028Q1</v>
      </c>
      <c r="L68" s="6"/>
      <c r="M68" s="9">
        <f t="shared" si="16"/>
        <v>770.61199999999997</v>
      </c>
      <c r="N68" s="6"/>
      <c r="O68" s="6"/>
      <c r="P68" s="9">
        <f t="shared" si="17"/>
        <v>0.59099999999999997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811.93299999999999</v>
      </c>
      <c r="D69" s="6"/>
      <c r="E69" s="6"/>
      <c r="F69" s="9">
        <f t="shared" si="14"/>
        <v>0.623</v>
      </c>
      <c r="G69" s="6"/>
      <c r="K69" s="7" t="str">
        <f t="shared" si="15"/>
        <v>2028Q2</v>
      </c>
      <c r="L69" s="6"/>
      <c r="M69" s="9">
        <f t="shared" si="16"/>
        <v>798.91399999999999</v>
      </c>
      <c r="N69" s="6"/>
      <c r="O69" s="6"/>
      <c r="P69" s="9">
        <f t="shared" si="17"/>
        <v>0.60799999999999998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814.35699999999997</v>
      </c>
      <c r="D70" s="6"/>
      <c r="E70" s="6"/>
      <c r="F70" s="9">
        <f t="shared" si="14"/>
        <v>0.624</v>
      </c>
      <c r="G70" s="6"/>
      <c r="K70" s="7" t="str">
        <f t="shared" si="15"/>
        <v>2028Q3</v>
      </c>
      <c r="L70" s="6"/>
      <c r="M70" s="9">
        <f t="shared" si="16"/>
        <v>801.33900000000006</v>
      </c>
      <c r="N70" s="6"/>
      <c r="O70" s="6"/>
      <c r="P70" s="9">
        <f t="shared" si="17"/>
        <v>0.60899999999999999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825.56</v>
      </c>
      <c r="D71" s="6"/>
      <c r="E71" s="6"/>
      <c r="F71" s="9">
        <f t="shared" si="14"/>
        <v>0.628</v>
      </c>
      <c r="G71" s="6"/>
      <c r="K71" s="7" t="str">
        <f t="shared" si="15"/>
        <v>2028Q4</v>
      </c>
      <c r="L71" s="6"/>
      <c r="M71" s="9">
        <f t="shared" si="16"/>
        <v>812.54100000000005</v>
      </c>
      <c r="N71" s="6"/>
      <c r="O71" s="6"/>
      <c r="P71" s="9">
        <f t="shared" si="17"/>
        <v>0.61299999999999999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806.62</v>
      </c>
      <c r="D72" s="6"/>
      <c r="E72" s="6"/>
      <c r="F72" s="9">
        <f t="shared" si="14"/>
        <v>0.621</v>
      </c>
      <c r="G72" s="6"/>
      <c r="K72" s="7" t="str">
        <f t="shared" si="15"/>
        <v>2029Q1</v>
      </c>
      <c r="L72" s="6"/>
      <c r="M72" s="9">
        <f t="shared" si="16"/>
        <v>793.601</v>
      </c>
      <c r="N72" s="6"/>
      <c r="O72" s="6"/>
      <c r="P72" s="9">
        <f t="shared" si="17"/>
        <v>0.60499999999999998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834.923</v>
      </c>
      <c r="D73" s="6"/>
      <c r="E73" s="6"/>
      <c r="F73" s="9">
        <f t="shared" si="14"/>
        <v>0.64</v>
      </c>
      <c r="G73" s="6"/>
      <c r="K73" s="7" t="str">
        <f t="shared" si="15"/>
        <v>2029Q2</v>
      </c>
      <c r="L73" s="6"/>
      <c r="M73" s="9">
        <f t="shared" si="16"/>
        <v>821.904</v>
      </c>
      <c r="N73" s="6"/>
      <c r="O73" s="6"/>
      <c r="P73" s="9">
        <f t="shared" si="17"/>
        <v>0.624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837.34699999999998</v>
      </c>
      <c r="D74" s="6"/>
      <c r="E74" s="6"/>
      <c r="F74" s="9">
        <f t="shared" si="14"/>
        <v>0.64100000000000001</v>
      </c>
      <c r="G74" s="6"/>
      <c r="K74" s="7" t="str">
        <f t="shared" si="15"/>
        <v>2029Q3</v>
      </c>
      <c r="L74" s="6"/>
      <c r="M74" s="9">
        <f t="shared" si="16"/>
        <v>824.32799999999997</v>
      </c>
      <c r="N74" s="6"/>
      <c r="O74" s="6"/>
      <c r="P74" s="9">
        <f t="shared" si="17"/>
        <v>0.625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848.55</v>
      </c>
      <c r="D75" s="6"/>
      <c r="E75" s="6"/>
      <c r="F75" s="9">
        <f t="shared" si="14"/>
        <v>0.64600000000000002</v>
      </c>
      <c r="G75" s="6"/>
      <c r="K75" s="7" t="str">
        <f t="shared" si="15"/>
        <v>2029Q4</v>
      </c>
      <c r="L75" s="6"/>
      <c r="M75" s="9">
        <f t="shared" si="16"/>
        <v>835.53099999999995</v>
      </c>
      <c r="N75" s="6"/>
      <c r="O75" s="6"/>
      <c r="P75" s="9">
        <f t="shared" si="17"/>
        <v>0.629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6"/>
  <sheetViews>
    <sheetView topLeftCell="I1"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81640625" style="1" customWidth="1"/>
    <col min="4" max="5" width="12.1796875" style="1" bestFit="1" customWidth="1"/>
    <col min="6" max="6" width="19.81640625" style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2" t="s">
        <v>12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1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62">
        <v>548.86825106938977</v>
      </c>
      <c r="M3" s="62">
        <v>514.75765377983703</v>
      </c>
      <c r="N3" s="62">
        <v>582.97884835894251</v>
      </c>
      <c r="O3" s="1">
        <f t="shared" ref="O3:O34" si="0">ROUND(M3,3)</f>
        <v>514.75800000000004</v>
      </c>
      <c r="P3" s="1">
        <f t="shared" ref="P3:P34" si="1">ROUND(L3,3)</f>
        <v>548.86800000000005</v>
      </c>
      <c r="Q3" s="1">
        <f t="shared" ref="Q3:Q34" si="2">ROUND(N3,3)</f>
        <v>582.97900000000004</v>
      </c>
      <c r="R3" s="14" t="str">
        <f>K3</f>
        <v>2022Q1</v>
      </c>
      <c r="S3" s="47">
        <v>0.72877845877229497</v>
      </c>
      <c r="T3" s="47">
        <v>0.70018660478431194</v>
      </c>
      <c r="U3" s="47">
        <v>0.757370312760278</v>
      </c>
      <c r="V3" s="1">
        <f t="shared" ref="V3:V34" si="3">ROUND(T3,3)</f>
        <v>0.7</v>
      </c>
      <c r="W3" s="1">
        <f t="shared" ref="W3:W34" si="4">ROUND(S3,3)</f>
        <v>0.72899999999999998</v>
      </c>
      <c r="X3" s="1">
        <f t="shared" ref="X3:X34" si="5">ROUND(U3,3)</f>
        <v>0.75700000000000001</v>
      </c>
    </row>
    <row r="4" spans="1:30" ht="15.5" thickTop="1" thickBot="1" x14ac:dyDescent="0.4">
      <c r="A4" s="5" t="str">
        <f>K3</f>
        <v>2022Q1</v>
      </c>
      <c r="B4" s="2">
        <f>O3</f>
        <v>514.75800000000004</v>
      </c>
      <c r="C4" s="3">
        <f>P3</f>
        <v>548.86800000000005</v>
      </c>
      <c r="D4" s="2">
        <f>Q3</f>
        <v>582.97900000000004</v>
      </c>
      <c r="E4" s="2">
        <f>V3</f>
        <v>0.7</v>
      </c>
      <c r="F4" s="3">
        <f>W3</f>
        <v>0.72899999999999998</v>
      </c>
      <c r="G4" s="2">
        <f>X3</f>
        <v>0.75700000000000001</v>
      </c>
      <c r="K4" s="14" t="s">
        <v>70</v>
      </c>
      <c r="L4" s="62">
        <v>589.59137501112957</v>
      </c>
      <c r="M4" s="62">
        <v>550.57502984617668</v>
      </c>
      <c r="N4" s="62">
        <v>628.60772017608247</v>
      </c>
      <c r="O4" s="1">
        <f t="shared" si="0"/>
        <v>550.57500000000005</v>
      </c>
      <c r="P4" s="1">
        <f t="shared" si="1"/>
        <v>589.59100000000001</v>
      </c>
      <c r="Q4" s="1">
        <f t="shared" si="2"/>
        <v>628.60799999999995</v>
      </c>
      <c r="R4" s="14" t="str">
        <f t="shared" ref="R4:R34" si="6">K4</f>
        <v>2022Q2</v>
      </c>
      <c r="S4" s="47">
        <v>0.74870338982803086</v>
      </c>
      <c r="T4" s="47">
        <v>0.71587669670336607</v>
      </c>
      <c r="U4" s="47">
        <v>0.78153008295269566</v>
      </c>
      <c r="V4" s="1">
        <f t="shared" si="3"/>
        <v>0.71599999999999997</v>
      </c>
      <c r="W4" s="1">
        <f t="shared" si="4"/>
        <v>0.749</v>
      </c>
      <c r="X4" s="1">
        <f t="shared" si="5"/>
        <v>0.78200000000000003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550.57500000000005</v>
      </c>
      <c r="C5" s="3">
        <f t="shared" si="8"/>
        <v>589.59100000000001</v>
      </c>
      <c r="D5" s="2">
        <f t="shared" si="8"/>
        <v>628.60799999999995</v>
      </c>
      <c r="E5" s="2">
        <f t="shared" ref="E5:G20" si="9">V4</f>
        <v>0.71599999999999997</v>
      </c>
      <c r="F5" s="3">
        <f t="shared" si="9"/>
        <v>0.749</v>
      </c>
      <c r="G5" s="2">
        <f t="shared" si="9"/>
        <v>0.78200000000000003</v>
      </c>
      <c r="I5" s="1">
        <f>SUM(F5:F8)</f>
        <v>3.008</v>
      </c>
      <c r="K5" s="14" t="s">
        <v>71</v>
      </c>
      <c r="L5" s="62">
        <v>587.97044412321168</v>
      </c>
      <c r="M5" s="62">
        <v>545.91124388527555</v>
      </c>
      <c r="N5" s="62">
        <v>630.0296443611478</v>
      </c>
      <c r="O5" s="1">
        <f t="shared" si="0"/>
        <v>545.91099999999994</v>
      </c>
      <c r="P5" s="1">
        <f t="shared" si="1"/>
        <v>587.97</v>
      </c>
      <c r="Q5" s="1">
        <f t="shared" si="2"/>
        <v>630.03</v>
      </c>
      <c r="R5" s="14" t="str">
        <f t="shared" si="6"/>
        <v>2022Q3</v>
      </c>
      <c r="S5" s="47">
        <v>0.7521101868016683</v>
      </c>
      <c r="T5" s="47">
        <v>0.71562525971447744</v>
      </c>
      <c r="U5" s="47">
        <v>0.78859511388885917</v>
      </c>
      <c r="V5" s="1">
        <f t="shared" si="3"/>
        <v>0.71599999999999997</v>
      </c>
      <c r="W5" s="1">
        <f t="shared" si="4"/>
        <v>0.752</v>
      </c>
      <c r="X5" s="1">
        <f t="shared" si="5"/>
        <v>0.78900000000000003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545.91099999999994</v>
      </c>
      <c r="C6" s="3">
        <f t="shared" si="8"/>
        <v>587.97</v>
      </c>
      <c r="D6" s="2">
        <f t="shared" si="8"/>
        <v>630.03</v>
      </c>
      <c r="E6" s="2">
        <f t="shared" si="9"/>
        <v>0.71599999999999997</v>
      </c>
      <c r="F6" s="3">
        <f t="shared" si="9"/>
        <v>0.752</v>
      </c>
      <c r="G6" s="2">
        <f t="shared" si="9"/>
        <v>0.78900000000000003</v>
      </c>
      <c r="I6" s="1">
        <f>SUM(F9:F12)</f>
        <v>3.0920000000000001</v>
      </c>
      <c r="K6" s="14" t="s">
        <v>72</v>
      </c>
      <c r="L6" s="62">
        <v>594.59084435223122</v>
      </c>
      <c r="M6" s="62">
        <v>550.56098418368265</v>
      </c>
      <c r="N6" s="62">
        <v>638.62070452077978</v>
      </c>
      <c r="O6" s="1">
        <f t="shared" si="0"/>
        <v>550.56100000000004</v>
      </c>
      <c r="P6" s="1">
        <f t="shared" si="1"/>
        <v>594.59100000000001</v>
      </c>
      <c r="Q6" s="1">
        <f t="shared" si="2"/>
        <v>638.62099999999998</v>
      </c>
      <c r="R6" s="14" t="str">
        <f t="shared" si="6"/>
        <v>2022Q4</v>
      </c>
      <c r="S6" s="47">
        <v>0.75671869386938917</v>
      </c>
      <c r="T6" s="47">
        <v>0.71691163832889671</v>
      </c>
      <c r="U6" s="47">
        <v>0.79652574940988163</v>
      </c>
      <c r="V6" s="1">
        <f t="shared" si="3"/>
        <v>0.71699999999999997</v>
      </c>
      <c r="W6" s="1">
        <f t="shared" si="4"/>
        <v>0.75700000000000001</v>
      </c>
      <c r="X6" s="1">
        <f t="shared" si="5"/>
        <v>0.79700000000000004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550.56100000000004</v>
      </c>
      <c r="C7" s="3">
        <f t="shared" si="8"/>
        <v>594.59100000000001</v>
      </c>
      <c r="D7" s="2">
        <f t="shared" si="8"/>
        <v>638.62099999999998</v>
      </c>
      <c r="E7" s="2">
        <f t="shared" si="9"/>
        <v>0.71699999999999997</v>
      </c>
      <c r="F7" s="3">
        <f t="shared" si="9"/>
        <v>0.75700000000000001</v>
      </c>
      <c r="G7" s="2">
        <f t="shared" si="9"/>
        <v>0.79700000000000004</v>
      </c>
      <c r="I7" s="1">
        <f>SUM(F13:F16)</f>
        <v>3.1770000000000005</v>
      </c>
      <c r="K7" s="14" t="s">
        <v>73</v>
      </c>
      <c r="L7" s="62">
        <v>556.65984484663409</v>
      </c>
      <c r="M7" s="62">
        <v>511.32447651706548</v>
      </c>
      <c r="N7" s="62">
        <v>601.9952131762027</v>
      </c>
      <c r="O7" s="1">
        <f t="shared" si="0"/>
        <v>511.32400000000001</v>
      </c>
      <c r="P7" s="1">
        <f t="shared" si="1"/>
        <v>556.66</v>
      </c>
      <c r="Q7" s="1">
        <f t="shared" si="2"/>
        <v>601.995</v>
      </c>
      <c r="R7" s="14" t="str">
        <f t="shared" si="6"/>
        <v>2023Q1</v>
      </c>
      <c r="S7" s="47">
        <v>0.749709374243553</v>
      </c>
      <c r="T7" s="47">
        <v>0.70683686911238741</v>
      </c>
      <c r="U7" s="47">
        <v>0.79258187937471858</v>
      </c>
      <c r="V7" s="1">
        <f t="shared" si="3"/>
        <v>0.70699999999999996</v>
      </c>
      <c r="W7" s="1">
        <f t="shared" si="4"/>
        <v>0.75</v>
      </c>
      <c r="X7" s="1">
        <f t="shared" si="5"/>
        <v>0.79300000000000004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511.32400000000001</v>
      </c>
      <c r="C8" s="3">
        <f t="shared" si="8"/>
        <v>556.66</v>
      </c>
      <c r="D8" s="2">
        <f t="shared" si="8"/>
        <v>601.995</v>
      </c>
      <c r="E8" s="2">
        <f t="shared" si="9"/>
        <v>0.70699999999999996</v>
      </c>
      <c r="F8" s="3">
        <f t="shared" si="9"/>
        <v>0.75</v>
      </c>
      <c r="G8" s="2">
        <f t="shared" si="9"/>
        <v>0.79300000000000004</v>
      </c>
      <c r="I8" s="1">
        <f>SUM(F17:F20)</f>
        <v>3.2640000000000002</v>
      </c>
      <c r="K8" s="14" t="s">
        <v>74</v>
      </c>
      <c r="L8" s="62">
        <v>597.59429816291731</v>
      </c>
      <c r="M8" s="62">
        <v>551.38255075281609</v>
      </c>
      <c r="N8" s="62">
        <v>643.80604557301854</v>
      </c>
      <c r="O8" s="1">
        <f t="shared" si="0"/>
        <v>551.38300000000004</v>
      </c>
      <c r="P8" s="1">
        <f t="shared" si="1"/>
        <v>597.59400000000005</v>
      </c>
      <c r="Q8" s="1">
        <f t="shared" si="2"/>
        <v>643.80600000000004</v>
      </c>
      <c r="R8" s="14" t="str">
        <f t="shared" si="6"/>
        <v>2023Q2</v>
      </c>
      <c r="S8" s="47">
        <v>0.77003891526289392</v>
      </c>
      <c r="T8" s="47">
        <v>0.72430597644257277</v>
      </c>
      <c r="U8" s="47">
        <v>0.81577185408321506</v>
      </c>
      <c r="V8" s="1">
        <f t="shared" si="3"/>
        <v>0.72399999999999998</v>
      </c>
      <c r="W8" s="1">
        <f t="shared" si="4"/>
        <v>0.77</v>
      </c>
      <c r="X8" s="1">
        <f t="shared" si="5"/>
        <v>0.81599999999999995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551.38300000000004</v>
      </c>
      <c r="C9" s="3">
        <f t="shared" si="8"/>
        <v>597.59400000000005</v>
      </c>
      <c r="D9" s="2">
        <f t="shared" si="8"/>
        <v>643.80600000000004</v>
      </c>
      <c r="E9" s="2">
        <f t="shared" si="9"/>
        <v>0.72399999999999998</v>
      </c>
      <c r="F9" s="3">
        <f t="shared" si="9"/>
        <v>0.77</v>
      </c>
      <c r="G9" s="2">
        <f t="shared" si="9"/>
        <v>0.81599999999999995</v>
      </c>
      <c r="I9" s="1">
        <f>SUM(F21:F24)</f>
        <v>3.3479999999999999</v>
      </c>
      <c r="K9" s="14" t="s">
        <v>75</v>
      </c>
      <c r="L9" s="62">
        <v>596.1486156990776</v>
      </c>
      <c r="M9" s="62">
        <v>549.34371832885779</v>
      </c>
      <c r="N9" s="62">
        <v>642.9535130692974</v>
      </c>
      <c r="O9" s="1">
        <f t="shared" si="0"/>
        <v>549.34400000000005</v>
      </c>
      <c r="P9" s="1">
        <f t="shared" si="1"/>
        <v>596.149</v>
      </c>
      <c r="Q9" s="1">
        <f t="shared" si="2"/>
        <v>642.95399999999995</v>
      </c>
      <c r="R9" s="14" t="str">
        <f t="shared" si="6"/>
        <v>2023Q3</v>
      </c>
      <c r="S9" s="47">
        <v>0.7734523355223234</v>
      </c>
      <c r="T9" s="47">
        <v>0.72502763428836448</v>
      </c>
      <c r="U9" s="47">
        <v>0.82187703675628232</v>
      </c>
      <c r="V9" s="1">
        <f t="shared" si="3"/>
        <v>0.72499999999999998</v>
      </c>
      <c r="W9" s="1">
        <f t="shared" si="4"/>
        <v>0.77300000000000002</v>
      </c>
      <c r="X9" s="1">
        <f t="shared" si="5"/>
        <v>0.82199999999999995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549.34400000000005</v>
      </c>
      <c r="C10" s="3">
        <f t="shared" si="8"/>
        <v>596.149</v>
      </c>
      <c r="D10" s="2">
        <f t="shared" si="8"/>
        <v>642.95399999999995</v>
      </c>
      <c r="E10" s="2">
        <f t="shared" si="9"/>
        <v>0.72499999999999998</v>
      </c>
      <c r="F10" s="3">
        <f t="shared" si="9"/>
        <v>0.77300000000000002</v>
      </c>
      <c r="G10" s="2">
        <f t="shared" si="9"/>
        <v>0.82199999999999995</v>
      </c>
      <c r="I10" s="1">
        <f>SUM(F25:F28)</f>
        <v>3.4329999999999998</v>
      </c>
      <c r="K10" s="14" t="s">
        <v>76</v>
      </c>
      <c r="L10" s="62">
        <v>602.91434361956567</v>
      </c>
      <c r="M10" s="62">
        <v>555.70587142725765</v>
      </c>
      <c r="N10" s="62">
        <v>650.12281581187369</v>
      </c>
      <c r="O10" s="1">
        <f t="shared" si="0"/>
        <v>555.70600000000002</v>
      </c>
      <c r="P10" s="1">
        <f t="shared" si="1"/>
        <v>602.91399999999999</v>
      </c>
      <c r="Q10" s="1">
        <f t="shared" si="2"/>
        <v>650.12300000000005</v>
      </c>
      <c r="R10" s="14" t="str">
        <f t="shared" si="6"/>
        <v>2023Q4</v>
      </c>
      <c r="S10" s="47">
        <v>0.77806095101029749</v>
      </c>
      <c r="T10" s="47">
        <v>0.72708643104153758</v>
      </c>
      <c r="U10" s="47">
        <v>0.82903547097905739</v>
      </c>
      <c r="V10" s="1">
        <f t="shared" si="3"/>
        <v>0.72699999999999998</v>
      </c>
      <c r="W10" s="1">
        <f t="shared" si="4"/>
        <v>0.77800000000000002</v>
      </c>
      <c r="X10" s="1">
        <f t="shared" si="5"/>
        <v>0.82899999999999996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555.70600000000002</v>
      </c>
      <c r="C11" s="3">
        <f t="shared" si="8"/>
        <v>602.91399999999999</v>
      </c>
      <c r="D11" s="2">
        <f t="shared" si="8"/>
        <v>650.12300000000005</v>
      </c>
      <c r="E11" s="2">
        <f t="shared" si="9"/>
        <v>0.72699999999999998</v>
      </c>
      <c r="F11" s="3">
        <f t="shared" si="9"/>
        <v>0.77800000000000002</v>
      </c>
      <c r="G11" s="2">
        <f t="shared" si="9"/>
        <v>0.82899999999999996</v>
      </c>
      <c r="I11" s="1">
        <f>SUM(F29:F32)</f>
        <v>3.5200000000000005</v>
      </c>
      <c r="K11" s="14" t="s">
        <v>77</v>
      </c>
      <c r="L11" s="62">
        <v>565.1038595366814</v>
      </c>
      <c r="M11" s="62">
        <v>517.61984606351461</v>
      </c>
      <c r="N11" s="62">
        <v>612.58787300984818</v>
      </c>
      <c r="O11" s="1">
        <f t="shared" si="0"/>
        <v>517.62</v>
      </c>
      <c r="P11" s="1">
        <f t="shared" si="1"/>
        <v>565.10400000000004</v>
      </c>
      <c r="Q11" s="1">
        <f t="shared" si="2"/>
        <v>612.58799999999997</v>
      </c>
      <c r="R11" s="14" t="str">
        <f t="shared" si="6"/>
        <v>2024Q1</v>
      </c>
      <c r="S11" s="47">
        <v>0.77105163315925274</v>
      </c>
      <c r="T11" s="47">
        <v>0.71764890211960752</v>
      </c>
      <c r="U11" s="47">
        <v>0.82445436419889795</v>
      </c>
      <c r="V11" s="1">
        <f t="shared" si="3"/>
        <v>0.71799999999999997</v>
      </c>
      <c r="W11" s="1">
        <f t="shared" si="4"/>
        <v>0.77100000000000002</v>
      </c>
      <c r="X11" s="1">
        <f t="shared" si="5"/>
        <v>0.82399999999999995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517.62</v>
      </c>
      <c r="C12" s="3">
        <f t="shared" si="8"/>
        <v>565.10400000000004</v>
      </c>
      <c r="D12" s="2">
        <f t="shared" si="8"/>
        <v>612.58799999999997</v>
      </c>
      <c r="E12" s="2">
        <f t="shared" si="9"/>
        <v>0.71799999999999997</v>
      </c>
      <c r="F12" s="3">
        <f t="shared" si="9"/>
        <v>0.77100000000000002</v>
      </c>
      <c r="G12" s="2">
        <f t="shared" si="9"/>
        <v>0.82399999999999995</v>
      </c>
      <c r="K12" s="14" t="s">
        <v>78</v>
      </c>
      <c r="L12" s="62">
        <v>606.13825228615121</v>
      </c>
      <c r="M12" s="62">
        <v>558.46567782894806</v>
      </c>
      <c r="N12" s="62">
        <v>653.81082674335437</v>
      </c>
      <c r="O12" s="1">
        <f t="shared" si="0"/>
        <v>558.46600000000001</v>
      </c>
      <c r="P12" s="1">
        <f t="shared" si="1"/>
        <v>606.13800000000003</v>
      </c>
      <c r="Q12" s="1">
        <f t="shared" si="2"/>
        <v>653.81100000000004</v>
      </c>
      <c r="R12" s="14" t="str">
        <f t="shared" si="6"/>
        <v>2024Q2</v>
      </c>
      <c r="S12" s="47">
        <v>0.7913811742076462</v>
      </c>
      <c r="T12" s="47">
        <v>0.73565594043568361</v>
      </c>
      <c r="U12" s="47">
        <v>0.84710640797960879</v>
      </c>
      <c r="V12" s="1">
        <f t="shared" si="3"/>
        <v>0.73599999999999999</v>
      </c>
      <c r="W12" s="1">
        <f t="shared" si="4"/>
        <v>0.79100000000000004</v>
      </c>
      <c r="X12" s="1">
        <f t="shared" si="5"/>
        <v>0.84699999999999998</v>
      </c>
    </row>
    <row r="13" spans="1:30" ht="15.5" thickTop="1" thickBot="1" x14ac:dyDescent="0.4">
      <c r="A13" s="5" t="str">
        <f t="shared" si="7"/>
        <v>2024Q2</v>
      </c>
      <c r="B13" s="2">
        <f t="shared" si="8"/>
        <v>558.46600000000001</v>
      </c>
      <c r="C13" s="3">
        <f t="shared" si="8"/>
        <v>606.13800000000003</v>
      </c>
      <c r="D13" s="2">
        <f t="shared" si="8"/>
        <v>653.81100000000004</v>
      </c>
      <c r="E13" s="2">
        <f t="shared" si="9"/>
        <v>0.73599999999999999</v>
      </c>
      <c r="F13" s="3">
        <f t="shared" si="9"/>
        <v>0.79100000000000004</v>
      </c>
      <c r="G13" s="2">
        <f t="shared" si="9"/>
        <v>0.84699999999999998</v>
      </c>
      <c r="K13" s="14" t="s">
        <v>79</v>
      </c>
      <c r="L13" s="62">
        <v>604.77544627148984</v>
      </c>
      <c r="M13" s="62">
        <v>556.97363319101873</v>
      </c>
      <c r="N13" s="62">
        <v>652.57725935196095</v>
      </c>
      <c r="O13" s="1">
        <f t="shared" si="0"/>
        <v>556.97400000000005</v>
      </c>
      <c r="P13" s="1">
        <f t="shared" si="1"/>
        <v>604.77499999999998</v>
      </c>
      <c r="Q13" s="1">
        <f t="shared" si="2"/>
        <v>652.577</v>
      </c>
      <c r="R13" s="14" t="str">
        <f t="shared" si="6"/>
        <v>2024Q3</v>
      </c>
      <c r="S13" s="47">
        <v>0.79479459446755107</v>
      </c>
      <c r="T13" s="47">
        <v>0.73683985630588689</v>
      </c>
      <c r="U13" s="47">
        <v>0.85274933262921526</v>
      </c>
      <c r="V13" s="1">
        <f t="shared" si="3"/>
        <v>0.73699999999999999</v>
      </c>
      <c r="W13" s="1">
        <f t="shared" si="4"/>
        <v>0.79500000000000004</v>
      </c>
      <c r="X13" s="1">
        <f t="shared" si="5"/>
        <v>0.85299999999999998</v>
      </c>
    </row>
    <row r="14" spans="1:30" ht="15.5" thickTop="1" thickBot="1" x14ac:dyDescent="0.4">
      <c r="A14" s="5" t="str">
        <f t="shared" si="7"/>
        <v>2024Q3</v>
      </c>
      <c r="B14" s="2">
        <f t="shared" si="8"/>
        <v>556.97400000000005</v>
      </c>
      <c r="C14" s="3">
        <f t="shared" si="8"/>
        <v>604.77499999999998</v>
      </c>
      <c r="D14" s="2">
        <f t="shared" si="8"/>
        <v>652.577</v>
      </c>
      <c r="E14" s="2">
        <f t="shared" si="9"/>
        <v>0.73699999999999999</v>
      </c>
      <c r="F14" s="3">
        <f t="shared" si="9"/>
        <v>0.79500000000000004</v>
      </c>
      <c r="G14" s="2">
        <f t="shared" si="9"/>
        <v>0.85299999999999998</v>
      </c>
      <c r="K14" s="14" t="s">
        <v>84</v>
      </c>
      <c r="L14" s="62">
        <v>611.60990087582434</v>
      </c>
      <c r="M14" s="62">
        <v>563.7194149340545</v>
      </c>
      <c r="N14" s="62">
        <v>659.50038681759418</v>
      </c>
      <c r="O14" s="1">
        <f t="shared" si="0"/>
        <v>563.71900000000005</v>
      </c>
      <c r="P14" s="1">
        <f t="shared" si="1"/>
        <v>611.61</v>
      </c>
      <c r="Q14" s="1">
        <f t="shared" si="2"/>
        <v>659.5</v>
      </c>
      <c r="R14" s="14" t="str">
        <f t="shared" si="6"/>
        <v>2024Q4</v>
      </c>
      <c r="S14" s="47">
        <v>0.79940320995553293</v>
      </c>
      <c r="T14" s="47">
        <v>0.7393016153690809</v>
      </c>
      <c r="U14" s="47">
        <v>0.85950480454198497</v>
      </c>
      <c r="V14" s="1">
        <f t="shared" si="3"/>
        <v>0.73899999999999999</v>
      </c>
      <c r="W14" s="1">
        <f t="shared" si="4"/>
        <v>0.79900000000000004</v>
      </c>
      <c r="X14" s="1">
        <f t="shared" si="5"/>
        <v>0.86</v>
      </c>
    </row>
    <row r="15" spans="1:30" ht="15.5" thickTop="1" thickBot="1" x14ac:dyDescent="0.4">
      <c r="A15" s="5" t="str">
        <f t="shared" si="7"/>
        <v>2024Q4</v>
      </c>
      <c r="B15" s="2">
        <f t="shared" si="8"/>
        <v>563.71900000000005</v>
      </c>
      <c r="C15" s="3">
        <f t="shared" si="8"/>
        <v>611.61</v>
      </c>
      <c r="D15" s="2">
        <f t="shared" si="8"/>
        <v>659.5</v>
      </c>
      <c r="E15" s="2">
        <f t="shared" si="9"/>
        <v>0.73899999999999999</v>
      </c>
      <c r="F15" s="3">
        <f t="shared" si="9"/>
        <v>0.79900000000000004</v>
      </c>
      <c r="G15" s="2">
        <f t="shared" si="9"/>
        <v>0.86</v>
      </c>
      <c r="K15" s="14" t="s">
        <v>81</v>
      </c>
      <c r="L15" s="62">
        <v>573.8564095468447</v>
      </c>
      <c r="M15" s="62">
        <v>525.90503990961759</v>
      </c>
      <c r="N15" s="62">
        <v>621.80777918407182</v>
      </c>
      <c r="O15" s="1">
        <f t="shared" si="0"/>
        <v>525.90499999999997</v>
      </c>
      <c r="P15" s="1">
        <f t="shared" si="1"/>
        <v>573.85599999999999</v>
      </c>
      <c r="Q15" s="1">
        <f t="shared" si="2"/>
        <v>621.80799999999999</v>
      </c>
      <c r="R15" s="14" t="str">
        <f t="shared" si="6"/>
        <v>2025Q1</v>
      </c>
      <c r="S15" s="47">
        <v>0.79239389210448852</v>
      </c>
      <c r="T15" s="47">
        <v>0.730219527063248</v>
      </c>
      <c r="U15" s="47">
        <v>0.85456825714572904</v>
      </c>
      <c r="V15" s="1">
        <f t="shared" si="3"/>
        <v>0.73</v>
      </c>
      <c r="W15" s="1">
        <f t="shared" si="4"/>
        <v>0.79200000000000004</v>
      </c>
      <c r="X15" s="1">
        <f t="shared" si="5"/>
        <v>0.85499999999999998</v>
      </c>
    </row>
    <row r="16" spans="1:30" ht="15.5" thickTop="1" thickBot="1" x14ac:dyDescent="0.4">
      <c r="A16" s="5" t="str">
        <f t="shared" si="7"/>
        <v>2025Q1</v>
      </c>
      <c r="B16" s="2">
        <f t="shared" si="8"/>
        <v>525.90499999999997</v>
      </c>
      <c r="C16" s="3">
        <f t="shared" si="8"/>
        <v>573.85599999999999</v>
      </c>
      <c r="D16" s="2">
        <f t="shared" si="8"/>
        <v>621.80799999999999</v>
      </c>
      <c r="E16" s="2">
        <f t="shared" si="9"/>
        <v>0.73</v>
      </c>
      <c r="F16" s="3">
        <f t="shared" si="9"/>
        <v>0.79200000000000004</v>
      </c>
      <c r="G16" s="2">
        <f t="shared" si="9"/>
        <v>0.85499999999999998</v>
      </c>
      <c r="K16" s="14" t="s">
        <v>82</v>
      </c>
      <c r="L16" s="62">
        <v>614.93806449224564</v>
      </c>
      <c r="M16" s="62">
        <v>566.94487097156571</v>
      </c>
      <c r="N16" s="62">
        <v>662.93125801292558</v>
      </c>
      <c r="O16" s="1">
        <f t="shared" si="0"/>
        <v>566.94500000000005</v>
      </c>
      <c r="P16" s="1">
        <f t="shared" si="1"/>
        <v>614.93799999999999</v>
      </c>
      <c r="Q16" s="1">
        <f t="shared" si="2"/>
        <v>662.93100000000004</v>
      </c>
      <c r="R16" s="14" t="str">
        <f t="shared" si="6"/>
        <v>2025Q2</v>
      </c>
      <c r="S16" s="47">
        <v>0.81272343315288198</v>
      </c>
      <c r="T16" s="47">
        <v>0.74854320516381501</v>
      </c>
      <c r="U16" s="47">
        <v>0.87690366114194895</v>
      </c>
      <c r="V16" s="1">
        <f t="shared" si="3"/>
        <v>0.749</v>
      </c>
      <c r="W16" s="1">
        <f t="shared" si="4"/>
        <v>0.81299999999999994</v>
      </c>
      <c r="X16" s="1">
        <f t="shared" si="5"/>
        <v>0.877</v>
      </c>
    </row>
    <row r="17" spans="1:24" ht="15.5" thickTop="1" thickBot="1" x14ac:dyDescent="0.4">
      <c r="A17" s="5" t="str">
        <f t="shared" si="7"/>
        <v>2025Q2</v>
      </c>
      <c r="B17" s="2">
        <f t="shared" si="8"/>
        <v>566.94500000000005</v>
      </c>
      <c r="C17" s="3">
        <f t="shared" si="8"/>
        <v>614.93799999999999</v>
      </c>
      <c r="D17" s="2">
        <f t="shared" si="8"/>
        <v>662.93100000000004</v>
      </c>
      <c r="E17" s="2">
        <f t="shared" si="9"/>
        <v>0.749</v>
      </c>
      <c r="F17" s="3">
        <f t="shared" si="9"/>
        <v>0.81299999999999994</v>
      </c>
      <c r="G17" s="2">
        <f t="shared" si="9"/>
        <v>0.877</v>
      </c>
      <c r="K17" s="14" t="s">
        <v>83</v>
      </c>
      <c r="L17" s="62">
        <v>613.61445144530728</v>
      </c>
      <c r="M17" s="62">
        <v>565.59251747423195</v>
      </c>
      <c r="N17" s="62">
        <v>661.63638541638261</v>
      </c>
      <c r="O17" s="1">
        <f t="shared" si="0"/>
        <v>565.59299999999996</v>
      </c>
      <c r="P17" s="1">
        <f t="shared" si="1"/>
        <v>613.61400000000003</v>
      </c>
      <c r="Q17" s="1">
        <f t="shared" si="2"/>
        <v>661.63599999999997</v>
      </c>
      <c r="R17" s="14" t="str">
        <f t="shared" si="6"/>
        <v>2025Q3</v>
      </c>
      <c r="S17" s="47">
        <v>0.81613685341278686</v>
      </c>
      <c r="T17" s="47">
        <v>0.75001158092808706</v>
      </c>
      <c r="U17" s="47">
        <v>0.88226212589748665</v>
      </c>
      <c r="V17" s="1">
        <f t="shared" si="3"/>
        <v>0.75</v>
      </c>
      <c r="W17" s="1">
        <f t="shared" si="4"/>
        <v>0.81599999999999995</v>
      </c>
      <c r="X17" s="1">
        <f t="shared" si="5"/>
        <v>0.88200000000000001</v>
      </c>
    </row>
    <row r="18" spans="1:24" ht="15.5" thickTop="1" thickBot="1" x14ac:dyDescent="0.4">
      <c r="A18" s="5" t="str">
        <f t="shared" si="7"/>
        <v>2025Q3</v>
      </c>
      <c r="B18" s="2">
        <f t="shared" si="8"/>
        <v>565.59299999999996</v>
      </c>
      <c r="C18" s="3">
        <f t="shared" si="8"/>
        <v>613.61400000000003</v>
      </c>
      <c r="D18" s="2">
        <f t="shared" si="8"/>
        <v>661.63599999999997</v>
      </c>
      <c r="E18" s="2">
        <f t="shared" si="9"/>
        <v>0.75</v>
      </c>
      <c r="F18" s="3">
        <f t="shared" si="9"/>
        <v>0.81599999999999995</v>
      </c>
      <c r="G18" s="2">
        <f t="shared" si="9"/>
        <v>0.88200000000000001</v>
      </c>
      <c r="K18" s="14" t="s">
        <v>80</v>
      </c>
      <c r="L18" s="62">
        <v>620.48140747469563</v>
      </c>
      <c r="M18" s="62">
        <v>572.43971915193799</v>
      </c>
      <c r="N18" s="62">
        <v>668.52309579745327</v>
      </c>
      <c r="O18" s="1">
        <f t="shared" si="0"/>
        <v>572.44000000000005</v>
      </c>
      <c r="P18" s="1">
        <f t="shared" si="1"/>
        <v>620.48099999999999</v>
      </c>
      <c r="Q18" s="1">
        <f t="shared" si="2"/>
        <v>668.52300000000002</v>
      </c>
      <c r="R18" s="14" t="str">
        <f t="shared" si="6"/>
        <v>2025Q4</v>
      </c>
      <c r="S18" s="47">
        <v>0.82074546890076872</v>
      </c>
      <c r="T18" s="47">
        <v>0.75273075242247278</v>
      </c>
      <c r="U18" s="47">
        <v>0.88876018537906465</v>
      </c>
      <c r="V18" s="1">
        <f t="shared" si="3"/>
        <v>0.753</v>
      </c>
      <c r="W18" s="1">
        <f t="shared" si="4"/>
        <v>0.82099999999999995</v>
      </c>
      <c r="X18" s="1">
        <f t="shared" si="5"/>
        <v>0.88900000000000001</v>
      </c>
    </row>
    <row r="19" spans="1:24" ht="15.5" thickTop="1" thickBot="1" x14ac:dyDescent="0.4">
      <c r="A19" s="5" t="str">
        <f t="shared" si="7"/>
        <v>2025Q4</v>
      </c>
      <c r="B19" s="2">
        <f t="shared" si="8"/>
        <v>572.44000000000005</v>
      </c>
      <c r="C19" s="3">
        <f t="shared" si="8"/>
        <v>620.48099999999999</v>
      </c>
      <c r="D19" s="2">
        <f t="shared" si="8"/>
        <v>668.52300000000002</v>
      </c>
      <c r="E19" s="2">
        <f t="shared" si="9"/>
        <v>0.753</v>
      </c>
      <c r="F19" s="3">
        <f t="shared" si="9"/>
        <v>0.82099999999999995</v>
      </c>
      <c r="G19" s="2">
        <f t="shared" si="9"/>
        <v>0.88900000000000001</v>
      </c>
      <c r="K19" s="14" t="s">
        <v>92</v>
      </c>
      <c r="L19" s="62">
        <v>582.75486849691322</v>
      </c>
      <c r="M19" s="62">
        <v>534.69960014779736</v>
      </c>
      <c r="N19" s="62">
        <v>630.81013684602908</v>
      </c>
      <c r="O19" s="1">
        <f t="shared" si="0"/>
        <v>534.70000000000005</v>
      </c>
      <c r="P19" s="1">
        <f t="shared" si="1"/>
        <v>582.755</v>
      </c>
      <c r="Q19" s="1">
        <f t="shared" si="2"/>
        <v>630.80999999999995</v>
      </c>
      <c r="R19" s="14" t="str">
        <f t="shared" si="6"/>
        <v>2026Q1</v>
      </c>
      <c r="S19" s="47">
        <v>0.81373615104972419</v>
      </c>
      <c r="T19" s="47">
        <v>0.74388307914826679</v>
      </c>
      <c r="U19" s="47">
        <v>0.88358922295118159</v>
      </c>
      <c r="V19" s="1">
        <f t="shared" si="3"/>
        <v>0.74399999999999999</v>
      </c>
      <c r="W19" s="1">
        <f t="shared" si="4"/>
        <v>0.81399999999999995</v>
      </c>
      <c r="X19" s="1">
        <f t="shared" si="5"/>
        <v>0.88400000000000001</v>
      </c>
    </row>
    <row r="20" spans="1:24" ht="15.5" thickTop="1" thickBot="1" x14ac:dyDescent="0.4">
      <c r="A20" s="5" t="str">
        <f t="shared" si="7"/>
        <v>2026Q1</v>
      </c>
      <c r="B20" s="2">
        <f t="shared" si="8"/>
        <v>534.70000000000005</v>
      </c>
      <c r="C20" s="3">
        <f t="shared" si="8"/>
        <v>582.755</v>
      </c>
      <c r="D20" s="2">
        <f t="shared" si="8"/>
        <v>630.80999999999995</v>
      </c>
      <c r="E20" s="2">
        <f t="shared" si="9"/>
        <v>0.74399999999999999</v>
      </c>
      <c r="F20" s="3">
        <f t="shared" si="9"/>
        <v>0.81399999999999995</v>
      </c>
      <c r="G20" s="2">
        <f t="shared" si="9"/>
        <v>0.88400000000000001</v>
      </c>
      <c r="K20" s="14" t="s">
        <v>93</v>
      </c>
      <c r="L20" s="62">
        <v>623.8588741310565</v>
      </c>
      <c r="M20" s="62">
        <v>575.79426925048449</v>
      </c>
      <c r="N20" s="62">
        <v>671.9234790116285</v>
      </c>
      <c r="O20" s="1">
        <f t="shared" si="0"/>
        <v>575.79399999999998</v>
      </c>
      <c r="P20" s="1">
        <f t="shared" si="1"/>
        <v>623.85900000000004</v>
      </c>
      <c r="Q20" s="1">
        <f t="shared" si="2"/>
        <v>671.923</v>
      </c>
      <c r="R20" s="14" t="str">
        <f t="shared" si="6"/>
        <v>2026Q2</v>
      </c>
      <c r="S20" s="47">
        <v>0.83406569209811765</v>
      </c>
      <c r="T20" s="47">
        <v>0.76242142051610373</v>
      </c>
      <c r="U20" s="47">
        <v>0.90570996368013157</v>
      </c>
      <c r="V20" s="1">
        <f t="shared" si="3"/>
        <v>0.76200000000000001</v>
      </c>
      <c r="W20" s="1">
        <f t="shared" si="4"/>
        <v>0.83399999999999996</v>
      </c>
      <c r="X20" s="1">
        <f t="shared" si="5"/>
        <v>0.90600000000000003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575.79399999999998</v>
      </c>
      <c r="C21" s="3">
        <f t="shared" si="10"/>
        <v>623.85900000000004</v>
      </c>
      <c r="D21" s="2">
        <f t="shared" si="10"/>
        <v>671.923</v>
      </c>
      <c r="E21" s="2">
        <f t="shared" ref="E21:G35" si="11">V20</f>
        <v>0.76200000000000001</v>
      </c>
      <c r="F21" s="3">
        <f t="shared" si="11"/>
        <v>0.83399999999999996</v>
      </c>
      <c r="G21" s="2">
        <f t="shared" si="11"/>
        <v>0.90600000000000003</v>
      </c>
      <c r="K21" s="14" t="s">
        <v>94</v>
      </c>
      <c r="L21" s="62">
        <v>622.55379576718155</v>
      </c>
      <c r="M21" s="62">
        <v>574.48277136170873</v>
      </c>
      <c r="N21" s="62">
        <v>670.62482017265438</v>
      </c>
      <c r="O21" s="1">
        <f t="shared" si="0"/>
        <v>574.48299999999995</v>
      </c>
      <c r="P21" s="1">
        <f t="shared" si="1"/>
        <v>622.55399999999997</v>
      </c>
      <c r="Q21" s="1">
        <f t="shared" si="2"/>
        <v>670.625</v>
      </c>
      <c r="R21" s="14" t="str">
        <f t="shared" si="6"/>
        <v>2026Q3</v>
      </c>
      <c r="S21" s="47">
        <v>0.83747911235802253</v>
      </c>
      <c r="T21" s="47">
        <v>0.76408734410732193</v>
      </c>
      <c r="U21" s="47">
        <v>0.91087088060872312</v>
      </c>
      <c r="V21" s="1">
        <f t="shared" si="3"/>
        <v>0.76400000000000001</v>
      </c>
      <c r="W21" s="1">
        <f t="shared" si="4"/>
        <v>0.83699999999999997</v>
      </c>
      <c r="X21" s="1">
        <f t="shared" si="5"/>
        <v>0.91100000000000003</v>
      </c>
    </row>
    <row r="22" spans="1:24" ht="15.5" thickTop="1" thickBot="1" x14ac:dyDescent="0.4">
      <c r="A22" s="5" t="str">
        <f t="shared" si="7"/>
        <v>2026Q3</v>
      </c>
      <c r="B22" s="2">
        <f t="shared" si="10"/>
        <v>574.48299999999995</v>
      </c>
      <c r="C22" s="3">
        <f t="shared" si="10"/>
        <v>622.55399999999997</v>
      </c>
      <c r="D22" s="2">
        <f t="shared" si="10"/>
        <v>670.625</v>
      </c>
      <c r="E22" s="2">
        <f t="shared" si="11"/>
        <v>0.76400000000000001</v>
      </c>
      <c r="F22" s="3">
        <f t="shared" si="11"/>
        <v>0.83699999999999997</v>
      </c>
      <c r="G22" s="2">
        <f t="shared" si="11"/>
        <v>0.91100000000000003</v>
      </c>
      <c r="K22" s="14" t="s">
        <v>95</v>
      </c>
      <c r="L22" s="62">
        <v>629.4361219929973</v>
      </c>
      <c r="M22" s="62">
        <v>581.36068348458878</v>
      </c>
      <c r="N22" s="62">
        <v>677.51156050140582</v>
      </c>
      <c r="O22" s="1">
        <f t="shared" si="0"/>
        <v>581.36099999999999</v>
      </c>
      <c r="P22" s="1">
        <f t="shared" si="1"/>
        <v>629.43600000000004</v>
      </c>
      <c r="Q22" s="1">
        <f t="shared" si="2"/>
        <v>677.51199999999994</v>
      </c>
      <c r="R22" s="14" t="str">
        <f t="shared" si="6"/>
        <v>2026Q4</v>
      </c>
      <c r="S22" s="47">
        <v>0.84208772784600439</v>
      </c>
      <c r="T22" s="47">
        <v>0.7669891150531456</v>
      </c>
      <c r="U22" s="47">
        <v>0.91718634063886317</v>
      </c>
      <c r="V22" s="1">
        <f t="shared" si="3"/>
        <v>0.76700000000000002</v>
      </c>
      <c r="W22" s="1">
        <f t="shared" si="4"/>
        <v>0.84199999999999997</v>
      </c>
      <c r="X22" s="1">
        <f t="shared" si="5"/>
        <v>0.91700000000000004</v>
      </c>
    </row>
    <row r="23" spans="1:24" ht="15.5" thickTop="1" thickBot="1" x14ac:dyDescent="0.4">
      <c r="A23" s="5" t="str">
        <f t="shared" si="7"/>
        <v>2026Q4</v>
      </c>
      <c r="B23" s="2">
        <f t="shared" si="10"/>
        <v>581.36099999999999</v>
      </c>
      <c r="C23" s="3">
        <f t="shared" si="10"/>
        <v>629.43600000000004</v>
      </c>
      <c r="D23" s="2">
        <f t="shared" si="10"/>
        <v>677.51199999999994</v>
      </c>
      <c r="E23" s="2">
        <f t="shared" si="11"/>
        <v>0.76700000000000002</v>
      </c>
      <c r="F23" s="3">
        <f t="shared" si="11"/>
        <v>0.84199999999999997</v>
      </c>
      <c r="G23" s="2">
        <f t="shared" si="11"/>
        <v>0.91700000000000004</v>
      </c>
      <c r="K23" s="14" t="s">
        <v>96</v>
      </c>
      <c r="L23" s="62">
        <v>591.72232900808751</v>
      </c>
      <c r="M23" s="62">
        <v>543.64385522977193</v>
      </c>
      <c r="N23" s="62">
        <v>639.8008027864031</v>
      </c>
      <c r="O23" s="1">
        <f t="shared" si="0"/>
        <v>543.64400000000001</v>
      </c>
      <c r="P23" s="1">
        <f t="shared" si="1"/>
        <v>591.72199999999998</v>
      </c>
      <c r="Q23" s="1">
        <f t="shared" si="2"/>
        <v>639.80100000000004</v>
      </c>
      <c r="R23" s="14" t="str">
        <f t="shared" si="6"/>
        <v>2027Q1</v>
      </c>
      <c r="S23" s="47">
        <v>0.83507840999495986</v>
      </c>
      <c r="T23" s="47">
        <v>0.75831089316747013</v>
      </c>
      <c r="U23" s="47">
        <v>0.91184592682244958</v>
      </c>
      <c r="V23" s="1">
        <f t="shared" si="3"/>
        <v>0.75800000000000001</v>
      </c>
      <c r="W23" s="1">
        <f t="shared" si="4"/>
        <v>0.83499999999999996</v>
      </c>
      <c r="X23" s="1">
        <f t="shared" si="5"/>
        <v>0.91200000000000003</v>
      </c>
    </row>
    <row r="24" spans="1:24" ht="15.5" thickTop="1" thickBot="1" x14ac:dyDescent="0.4">
      <c r="A24" s="5" t="str">
        <f t="shared" si="7"/>
        <v>2027Q1</v>
      </c>
      <c r="B24" s="2">
        <f t="shared" si="10"/>
        <v>543.64400000000001</v>
      </c>
      <c r="C24" s="3">
        <f t="shared" si="10"/>
        <v>591.72199999999998</v>
      </c>
      <c r="D24" s="2">
        <f t="shared" si="10"/>
        <v>639.80100000000004</v>
      </c>
      <c r="E24" s="2">
        <f t="shared" si="11"/>
        <v>0.75800000000000001</v>
      </c>
      <c r="F24" s="3">
        <f t="shared" si="11"/>
        <v>0.83499999999999996</v>
      </c>
      <c r="G24" s="2">
        <f t="shared" si="11"/>
        <v>0.91200000000000003</v>
      </c>
      <c r="K24" s="14" t="s">
        <v>97</v>
      </c>
      <c r="L24" s="62">
        <v>632.83690447034417</v>
      </c>
      <c r="M24" s="62">
        <v>584.75634349865413</v>
      </c>
      <c r="N24" s="62">
        <v>680.9174654420342</v>
      </c>
      <c r="O24" s="1">
        <f t="shared" si="0"/>
        <v>584.75599999999997</v>
      </c>
      <c r="P24" s="1">
        <f t="shared" si="1"/>
        <v>632.83699999999999</v>
      </c>
      <c r="Q24" s="1">
        <f t="shared" si="2"/>
        <v>680.91700000000003</v>
      </c>
      <c r="R24" s="14" t="str">
        <f t="shared" si="6"/>
        <v>2027Q2</v>
      </c>
      <c r="S24" s="47">
        <v>0.85540795104335332</v>
      </c>
      <c r="T24" s="47">
        <v>0.77700704775578844</v>
      </c>
      <c r="U24" s="47">
        <v>0.9338088543309182</v>
      </c>
      <c r="V24" s="1">
        <f t="shared" si="3"/>
        <v>0.77700000000000002</v>
      </c>
      <c r="W24" s="1">
        <f t="shared" si="4"/>
        <v>0.85499999999999998</v>
      </c>
      <c r="X24" s="1">
        <f t="shared" si="5"/>
        <v>0.93400000000000005</v>
      </c>
    </row>
    <row r="25" spans="1:24" ht="15.5" thickTop="1" thickBot="1" x14ac:dyDescent="0.4">
      <c r="A25" s="5" t="str">
        <f t="shared" si="7"/>
        <v>2027Q2</v>
      </c>
      <c r="B25" s="2">
        <f t="shared" si="10"/>
        <v>584.75599999999997</v>
      </c>
      <c r="C25" s="3">
        <f t="shared" si="10"/>
        <v>632.83699999999999</v>
      </c>
      <c r="D25" s="2">
        <f t="shared" si="10"/>
        <v>680.91700000000003</v>
      </c>
      <c r="E25" s="2">
        <f t="shared" si="11"/>
        <v>0.77700000000000002</v>
      </c>
      <c r="F25" s="3">
        <f t="shared" si="11"/>
        <v>0.85499999999999998</v>
      </c>
      <c r="G25" s="2">
        <f t="shared" si="11"/>
        <v>0.93400000000000005</v>
      </c>
      <c r="K25" s="14" t="s">
        <v>98</v>
      </c>
      <c r="L25" s="62">
        <v>631.54059131350039</v>
      </c>
      <c r="M25" s="62">
        <v>583.45859506626266</v>
      </c>
      <c r="N25" s="62">
        <v>679.62258756073811</v>
      </c>
      <c r="O25" s="1">
        <f t="shared" si="0"/>
        <v>583.45899999999995</v>
      </c>
      <c r="P25" s="1">
        <f t="shared" si="1"/>
        <v>631.54100000000005</v>
      </c>
      <c r="Q25" s="1">
        <f t="shared" si="2"/>
        <v>679.62300000000005</v>
      </c>
      <c r="R25" s="14" t="str">
        <f t="shared" si="6"/>
        <v>2027Q3</v>
      </c>
      <c r="S25" s="47">
        <v>0.8588213713032582</v>
      </c>
      <c r="T25" s="47">
        <v>0.77882042360416348</v>
      </c>
      <c r="U25" s="47">
        <v>0.93882231900235291</v>
      </c>
      <c r="V25" s="1">
        <f t="shared" si="3"/>
        <v>0.77900000000000003</v>
      </c>
      <c r="W25" s="1">
        <f t="shared" si="4"/>
        <v>0.85899999999999999</v>
      </c>
      <c r="X25" s="1">
        <f t="shared" si="5"/>
        <v>0.93899999999999995</v>
      </c>
    </row>
    <row r="26" spans="1:24" ht="15.5" thickTop="1" thickBot="1" x14ac:dyDescent="0.4">
      <c r="A26" s="5" t="str">
        <f t="shared" si="7"/>
        <v>2027Q3</v>
      </c>
      <c r="B26" s="2">
        <f t="shared" si="10"/>
        <v>583.45899999999995</v>
      </c>
      <c r="C26" s="3">
        <f t="shared" si="10"/>
        <v>631.54100000000005</v>
      </c>
      <c r="D26" s="2">
        <f t="shared" si="10"/>
        <v>679.62300000000005</v>
      </c>
      <c r="E26" s="2">
        <f t="shared" si="11"/>
        <v>0.77900000000000003</v>
      </c>
      <c r="F26" s="3">
        <f t="shared" si="11"/>
        <v>0.85899999999999999</v>
      </c>
      <c r="G26" s="2">
        <f t="shared" si="11"/>
        <v>0.93899999999999995</v>
      </c>
      <c r="K26" s="14" t="s">
        <v>99</v>
      </c>
      <c r="L26" s="62">
        <v>638.43018623408352</v>
      </c>
      <c r="M26" s="62">
        <v>590.34720299661592</v>
      </c>
      <c r="N26" s="62">
        <v>686.51316947155112</v>
      </c>
      <c r="O26" s="1">
        <f t="shared" si="0"/>
        <v>590.34699999999998</v>
      </c>
      <c r="P26" s="1">
        <f t="shared" si="1"/>
        <v>638.42999999999995</v>
      </c>
      <c r="Q26" s="1">
        <f t="shared" si="2"/>
        <v>686.51300000000003</v>
      </c>
      <c r="R26" s="14" t="str">
        <f t="shared" si="6"/>
        <v>2027Q4</v>
      </c>
      <c r="S26" s="47">
        <v>0.86342998679124006</v>
      </c>
      <c r="T26" s="47">
        <v>0.78186037462346969</v>
      </c>
      <c r="U26" s="47">
        <v>0.94499959895901042</v>
      </c>
      <c r="V26" s="1">
        <f t="shared" si="3"/>
        <v>0.78200000000000003</v>
      </c>
      <c r="W26" s="1">
        <f t="shared" si="4"/>
        <v>0.86299999999999999</v>
      </c>
      <c r="X26" s="1">
        <f t="shared" si="5"/>
        <v>0.94499999999999995</v>
      </c>
    </row>
    <row r="27" spans="1:24" ht="15.5" thickTop="1" thickBot="1" x14ac:dyDescent="0.4">
      <c r="A27" s="5" t="str">
        <f t="shared" si="7"/>
        <v>2027Q4</v>
      </c>
      <c r="B27" s="2">
        <f t="shared" si="10"/>
        <v>590.34699999999998</v>
      </c>
      <c r="C27" s="3">
        <f t="shared" si="10"/>
        <v>638.42999999999995</v>
      </c>
      <c r="D27" s="2">
        <f t="shared" si="10"/>
        <v>686.51300000000003</v>
      </c>
      <c r="E27" s="2">
        <f t="shared" si="11"/>
        <v>0.78200000000000003</v>
      </c>
      <c r="F27" s="3">
        <f t="shared" si="11"/>
        <v>0.86299999999999999</v>
      </c>
      <c r="G27" s="2">
        <f t="shared" si="11"/>
        <v>0.94499999999999995</v>
      </c>
      <c r="K27" s="14" t="s">
        <v>100</v>
      </c>
      <c r="L27" s="62">
        <v>600.72242093607645</v>
      </c>
      <c r="M27" s="62">
        <v>552.63875897362107</v>
      </c>
      <c r="N27" s="62">
        <v>648.80608289853183</v>
      </c>
      <c r="O27" s="1">
        <f t="shared" si="0"/>
        <v>552.63900000000001</v>
      </c>
      <c r="P27" s="1">
        <f t="shared" si="1"/>
        <v>600.72199999999998</v>
      </c>
      <c r="Q27" s="1">
        <f t="shared" si="2"/>
        <v>648.80600000000004</v>
      </c>
      <c r="R27" s="14" t="str">
        <f t="shared" si="6"/>
        <v>2028Q1</v>
      </c>
      <c r="S27" s="47">
        <v>0.85642066894019553</v>
      </c>
      <c r="T27" s="47">
        <v>0.77331199535164852</v>
      </c>
      <c r="U27" s="47">
        <v>0.93952934252874254</v>
      </c>
      <c r="V27" s="1">
        <f t="shared" si="3"/>
        <v>0.77300000000000002</v>
      </c>
      <c r="W27" s="1">
        <f t="shared" si="4"/>
        <v>0.85599999999999998</v>
      </c>
      <c r="X27" s="1">
        <f t="shared" si="5"/>
        <v>0.94</v>
      </c>
    </row>
    <row r="28" spans="1:24" ht="15.5" thickTop="1" thickBot="1" x14ac:dyDescent="0.4">
      <c r="A28" s="5" t="str">
        <f t="shared" si="7"/>
        <v>2028Q1</v>
      </c>
      <c r="B28" s="2">
        <f t="shared" si="10"/>
        <v>552.63900000000001</v>
      </c>
      <c r="C28" s="3">
        <f t="shared" si="10"/>
        <v>600.72199999999998</v>
      </c>
      <c r="D28" s="2">
        <f t="shared" si="10"/>
        <v>648.80600000000004</v>
      </c>
      <c r="E28" s="2">
        <f t="shared" si="11"/>
        <v>0.77300000000000002</v>
      </c>
      <c r="F28" s="3">
        <f t="shared" si="11"/>
        <v>0.85599999999999998</v>
      </c>
      <c r="G28" s="2">
        <f t="shared" si="11"/>
        <v>0.94</v>
      </c>
      <c r="K28" s="14" t="s">
        <v>101</v>
      </c>
      <c r="L28" s="62">
        <v>641.84199495867426</v>
      </c>
      <c r="M28" s="62">
        <v>593.75786625390765</v>
      </c>
      <c r="N28" s="62">
        <v>689.92612366344088</v>
      </c>
      <c r="O28" s="1">
        <f t="shared" si="0"/>
        <v>593.75800000000004</v>
      </c>
      <c r="P28" s="1">
        <f t="shared" si="1"/>
        <v>641.84199999999998</v>
      </c>
      <c r="Q28" s="1">
        <f t="shared" si="2"/>
        <v>689.92600000000004</v>
      </c>
      <c r="R28" s="14" t="str">
        <f t="shared" si="6"/>
        <v>2028Q2</v>
      </c>
      <c r="S28" s="47">
        <v>0.87675020998858899</v>
      </c>
      <c r="T28" s="47">
        <v>0.7921304627537098</v>
      </c>
      <c r="U28" s="47">
        <v>0.96136995722346819</v>
      </c>
      <c r="V28" s="1">
        <f t="shared" si="3"/>
        <v>0.79200000000000004</v>
      </c>
      <c r="W28" s="1">
        <f t="shared" si="4"/>
        <v>0.877</v>
      </c>
      <c r="X28" s="1">
        <f t="shared" si="5"/>
        <v>0.96099999999999997</v>
      </c>
    </row>
    <row r="29" spans="1:24" ht="15.5" thickTop="1" thickBot="1" x14ac:dyDescent="0.4">
      <c r="A29" s="5" t="str">
        <f t="shared" si="7"/>
        <v>2028Q2</v>
      </c>
      <c r="B29" s="2">
        <f t="shared" si="10"/>
        <v>593.75800000000004</v>
      </c>
      <c r="C29" s="3">
        <f t="shared" si="10"/>
        <v>641.84199999999998</v>
      </c>
      <c r="D29" s="2">
        <f t="shared" si="10"/>
        <v>689.92600000000004</v>
      </c>
      <c r="E29" s="2">
        <f t="shared" si="11"/>
        <v>0.79200000000000004</v>
      </c>
      <c r="F29" s="3">
        <f t="shared" si="11"/>
        <v>0.877</v>
      </c>
      <c r="G29" s="2">
        <f t="shared" si="11"/>
        <v>0.96099999999999997</v>
      </c>
      <c r="K29" s="14" t="s">
        <v>102</v>
      </c>
      <c r="L29" s="62">
        <v>640.54982694173054</v>
      </c>
      <c r="M29" s="62">
        <v>592.46537726867848</v>
      </c>
      <c r="N29" s="62">
        <v>688.63427661478261</v>
      </c>
      <c r="O29" s="1">
        <f t="shared" si="0"/>
        <v>592.46500000000003</v>
      </c>
      <c r="P29" s="1">
        <f t="shared" si="1"/>
        <v>640.54999999999995</v>
      </c>
      <c r="Q29" s="1">
        <f t="shared" si="2"/>
        <v>688.63400000000001</v>
      </c>
      <c r="R29" s="14" t="str">
        <f t="shared" si="6"/>
        <v>2028Q3</v>
      </c>
      <c r="S29" s="47">
        <v>0.88016363024849387</v>
      </c>
      <c r="T29" s="47">
        <v>0.79405932362831355</v>
      </c>
      <c r="U29" s="47">
        <v>0.96626793686867418</v>
      </c>
      <c r="V29" s="1">
        <f t="shared" si="3"/>
        <v>0.79400000000000004</v>
      </c>
      <c r="W29" s="1">
        <f t="shared" si="4"/>
        <v>0.88</v>
      </c>
      <c r="X29" s="1">
        <f t="shared" si="5"/>
        <v>0.96599999999999997</v>
      </c>
    </row>
    <row r="30" spans="1:24" ht="15.5" thickTop="1" thickBot="1" x14ac:dyDescent="0.4">
      <c r="A30" s="5" t="str">
        <f t="shared" si="7"/>
        <v>2028Q3</v>
      </c>
      <c r="B30" s="2">
        <f t="shared" si="10"/>
        <v>592.46500000000003</v>
      </c>
      <c r="C30" s="3">
        <f t="shared" si="10"/>
        <v>640.54999999999995</v>
      </c>
      <c r="D30" s="2">
        <f t="shared" si="10"/>
        <v>688.63400000000001</v>
      </c>
      <c r="E30" s="2">
        <f t="shared" si="11"/>
        <v>0.79400000000000004</v>
      </c>
      <c r="F30" s="3">
        <f t="shared" si="11"/>
        <v>0.88</v>
      </c>
      <c r="G30" s="2">
        <f t="shared" si="11"/>
        <v>0.96599999999999997</v>
      </c>
      <c r="K30" s="14" t="s">
        <v>103</v>
      </c>
      <c r="L30" s="62">
        <v>647.44285928901616</v>
      </c>
      <c r="M30" s="62">
        <v>599.35818889266272</v>
      </c>
      <c r="N30" s="62">
        <v>695.52752968536959</v>
      </c>
      <c r="O30" s="1">
        <f t="shared" si="0"/>
        <v>599.35799999999995</v>
      </c>
      <c r="P30" s="1">
        <f t="shared" si="1"/>
        <v>647.44299999999998</v>
      </c>
      <c r="Q30" s="1">
        <f t="shared" si="2"/>
        <v>695.52800000000002</v>
      </c>
      <c r="R30" s="14" t="str">
        <f t="shared" si="6"/>
        <v>2028Q4</v>
      </c>
      <c r="S30" s="47">
        <v>0.88477224573647573</v>
      </c>
      <c r="T30" s="47">
        <v>0.79720854540928976</v>
      </c>
      <c r="U30" s="47">
        <v>0.97233594606366169</v>
      </c>
      <c r="V30" s="1">
        <f t="shared" si="3"/>
        <v>0.79700000000000004</v>
      </c>
      <c r="W30" s="1">
        <f t="shared" si="4"/>
        <v>0.88500000000000001</v>
      </c>
      <c r="X30" s="1">
        <f t="shared" si="5"/>
        <v>0.97199999999999998</v>
      </c>
    </row>
    <row r="31" spans="1:24" ht="15.5" thickTop="1" thickBot="1" x14ac:dyDescent="0.4">
      <c r="A31" s="5" t="str">
        <f t="shared" si="7"/>
        <v>2028Q4</v>
      </c>
      <c r="B31" s="2">
        <f t="shared" si="10"/>
        <v>599.35799999999995</v>
      </c>
      <c r="C31" s="3">
        <f t="shared" si="10"/>
        <v>647.44299999999998</v>
      </c>
      <c r="D31" s="2">
        <f t="shared" si="10"/>
        <v>695.52800000000002</v>
      </c>
      <c r="E31" s="2">
        <f t="shared" si="11"/>
        <v>0.79700000000000004</v>
      </c>
      <c r="F31" s="3">
        <f t="shared" si="11"/>
        <v>0.88500000000000001</v>
      </c>
      <c r="G31" s="2">
        <f t="shared" si="11"/>
        <v>0.97199999999999998</v>
      </c>
      <c r="K31" s="14" t="s">
        <v>104</v>
      </c>
      <c r="L31" s="62">
        <v>609.73794453468668</v>
      </c>
      <c r="M31" s="62">
        <v>561.65312235118267</v>
      </c>
      <c r="N31" s="62">
        <v>657.82276671819068</v>
      </c>
      <c r="O31" s="1">
        <f t="shared" si="0"/>
        <v>561.65300000000002</v>
      </c>
      <c r="P31" s="1">
        <f t="shared" si="1"/>
        <v>609.73800000000006</v>
      </c>
      <c r="Q31" s="1">
        <f t="shared" si="2"/>
        <v>657.82299999999998</v>
      </c>
      <c r="R31" s="14" t="str">
        <f t="shared" si="6"/>
        <v>2029Q1</v>
      </c>
      <c r="S31" s="47">
        <v>0.8777629278854312</v>
      </c>
      <c r="T31" s="47">
        <v>0.78876376153295125</v>
      </c>
      <c r="U31" s="47">
        <v>0.96676209423791115</v>
      </c>
      <c r="V31" s="1">
        <f t="shared" si="3"/>
        <v>0.78900000000000003</v>
      </c>
      <c r="W31" s="1">
        <f t="shared" si="4"/>
        <v>0.878</v>
      </c>
      <c r="X31" s="1">
        <f t="shared" si="5"/>
        <v>0.96699999999999997</v>
      </c>
    </row>
    <row r="32" spans="1:24" ht="15.5" thickTop="1" thickBot="1" x14ac:dyDescent="0.4">
      <c r="A32" s="5" t="str">
        <f t="shared" si="7"/>
        <v>2029Q1</v>
      </c>
      <c r="B32" s="2">
        <f t="shared" si="10"/>
        <v>561.65300000000002</v>
      </c>
      <c r="C32" s="3">
        <f t="shared" si="10"/>
        <v>609.73800000000006</v>
      </c>
      <c r="D32" s="2">
        <f t="shared" si="10"/>
        <v>657.82299999999998</v>
      </c>
      <c r="E32" s="2">
        <f t="shared" si="11"/>
        <v>0.78900000000000003</v>
      </c>
      <c r="F32" s="3">
        <f t="shared" si="11"/>
        <v>0.878</v>
      </c>
      <c r="G32" s="2">
        <f t="shared" si="11"/>
        <v>0.96699999999999997</v>
      </c>
      <c r="K32" s="14" t="s">
        <v>105</v>
      </c>
      <c r="L32" s="62">
        <v>650.85988241838197</v>
      </c>
      <c r="M32" s="62">
        <v>602.77495585366046</v>
      </c>
      <c r="N32" s="62">
        <v>698.94480898310348</v>
      </c>
      <c r="O32" s="1">
        <f t="shared" si="0"/>
        <v>602.77499999999998</v>
      </c>
      <c r="P32" s="1">
        <f t="shared" si="1"/>
        <v>650.86</v>
      </c>
      <c r="Q32" s="1">
        <f t="shared" si="2"/>
        <v>698.94500000000005</v>
      </c>
      <c r="R32" s="14" t="str">
        <f t="shared" si="6"/>
        <v>2029Q2</v>
      </c>
      <c r="S32" s="47">
        <v>0.89809246893382466</v>
      </c>
      <c r="T32" s="47">
        <v>0.8076806245334166</v>
      </c>
      <c r="U32" s="47">
        <v>0.98850431333423272</v>
      </c>
      <c r="V32" s="1">
        <f t="shared" si="3"/>
        <v>0.80800000000000005</v>
      </c>
      <c r="W32" s="1">
        <f t="shared" si="4"/>
        <v>0.89800000000000002</v>
      </c>
      <c r="X32" s="1">
        <f t="shared" si="5"/>
        <v>0.98899999999999999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602.77499999999998</v>
      </c>
      <c r="C33" s="3">
        <f t="shared" si="10"/>
        <v>650.86</v>
      </c>
      <c r="D33" s="2">
        <f t="shared" si="10"/>
        <v>698.94500000000005</v>
      </c>
      <c r="E33" s="2">
        <f t="shared" si="11"/>
        <v>0.80800000000000005</v>
      </c>
      <c r="F33" s="3">
        <f t="shared" si="11"/>
        <v>0.89800000000000002</v>
      </c>
      <c r="G33" s="2">
        <f t="shared" si="11"/>
        <v>0.98899999999999999</v>
      </c>
      <c r="K33" s="14" t="s">
        <v>106</v>
      </c>
      <c r="L33" s="62">
        <v>649.56967467285324</v>
      </c>
      <c r="M33" s="62">
        <v>601.48467632703819</v>
      </c>
      <c r="N33" s="62">
        <v>697.65467301866829</v>
      </c>
      <c r="O33" s="1">
        <f t="shared" si="0"/>
        <v>601.48500000000001</v>
      </c>
      <c r="P33" s="1">
        <f t="shared" si="1"/>
        <v>649.57000000000005</v>
      </c>
      <c r="Q33" s="1">
        <f t="shared" si="2"/>
        <v>697.65499999999997</v>
      </c>
      <c r="R33" s="14" t="str">
        <f t="shared" si="6"/>
        <v>2029Q3</v>
      </c>
      <c r="S33" s="47">
        <v>0.90150588919372954</v>
      </c>
      <c r="T33" s="47">
        <v>0.80970310272005663</v>
      </c>
      <c r="U33" s="47">
        <v>0.99330867566740244</v>
      </c>
      <c r="V33" s="1">
        <f t="shared" si="3"/>
        <v>0.81</v>
      </c>
      <c r="W33" s="1">
        <f t="shared" si="4"/>
        <v>0.90200000000000002</v>
      </c>
      <c r="X33" s="1">
        <f t="shared" si="5"/>
        <v>0.99299999999999999</v>
      </c>
    </row>
    <row r="34" spans="1:24" ht="15.5" thickTop="1" thickBot="1" x14ac:dyDescent="0.4">
      <c r="A34" s="5" t="str">
        <f t="shared" si="7"/>
        <v>2029Q3</v>
      </c>
      <c r="B34" s="2">
        <f t="shared" si="10"/>
        <v>601.48500000000001</v>
      </c>
      <c r="C34" s="3">
        <f t="shared" si="10"/>
        <v>649.57000000000005</v>
      </c>
      <c r="D34" s="2">
        <f t="shared" si="10"/>
        <v>697.65499999999997</v>
      </c>
      <c r="E34" s="2">
        <f t="shared" si="11"/>
        <v>0.81</v>
      </c>
      <c r="F34" s="3">
        <f t="shared" si="11"/>
        <v>0.90200000000000002</v>
      </c>
      <c r="G34" s="2">
        <f t="shared" si="11"/>
        <v>0.99299999999999999</v>
      </c>
      <c r="K34" s="14" t="s">
        <v>107</v>
      </c>
      <c r="L34" s="62">
        <v>656.46433260804872</v>
      </c>
      <c r="M34" s="62">
        <v>608.37928489963326</v>
      </c>
      <c r="N34" s="62">
        <v>704.54938031646418</v>
      </c>
      <c r="O34" s="1">
        <f t="shared" si="0"/>
        <v>608.37900000000002</v>
      </c>
      <c r="P34" s="1">
        <f t="shared" si="1"/>
        <v>656.46400000000006</v>
      </c>
      <c r="Q34" s="1">
        <f t="shared" si="2"/>
        <v>704.54899999999998</v>
      </c>
      <c r="R34" s="14" t="str">
        <f t="shared" si="6"/>
        <v>2029Q4</v>
      </c>
      <c r="S34" s="47">
        <v>0.9061145046817114</v>
      </c>
      <c r="T34" s="47">
        <v>0.81294153864124474</v>
      </c>
      <c r="U34" s="47">
        <v>0.99928747072217805</v>
      </c>
      <c r="V34" s="1">
        <f t="shared" si="3"/>
        <v>0.81299999999999994</v>
      </c>
      <c r="W34" s="1">
        <f t="shared" si="4"/>
        <v>0.90600000000000003</v>
      </c>
      <c r="X34" s="1">
        <f t="shared" si="5"/>
        <v>0.999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608.37900000000002</v>
      </c>
      <c r="C35" s="3">
        <f t="shared" si="10"/>
        <v>656.46400000000006</v>
      </c>
      <c r="D35" s="2">
        <f t="shared" si="10"/>
        <v>704.54899999999998</v>
      </c>
      <c r="E35" s="2">
        <f t="shared" si="11"/>
        <v>0.81299999999999994</v>
      </c>
      <c r="F35" s="3">
        <f t="shared" si="11"/>
        <v>0.90600000000000003</v>
      </c>
      <c r="G35" s="2">
        <f t="shared" si="11"/>
        <v>0.999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610.47424999999987</v>
      </c>
      <c r="F38" s="1">
        <f>AVERAGE(F4:F35)</f>
        <v>0.82115625000000003</v>
      </c>
    </row>
    <row r="40" spans="1:24" ht="12.5" thickBot="1" x14ac:dyDescent="0.35"/>
    <row r="41" spans="1:24" ht="15.5" thickTop="1" thickBot="1" x14ac:dyDescent="0.4">
      <c r="A41" s="29" t="s">
        <v>51</v>
      </c>
      <c r="B41" s="30"/>
      <c r="C41" s="30"/>
      <c r="D41" s="30"/>
      <c r="E41" s="30"/>
      <c r="F41" s="30"/>
      <c r="G41" s="30"/>
      <c r="K41" s="29" t="s">
        <v>26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540.34</v>
      </c>
      <c r="D44" s="6"/>
      <c r="E44" s="6"/>
      <c r="F44" s="9">
        <f>ROUND(F4-((G4-F4)*(0.5/2)),3)</f>
        <v>0.72199999999999998</v>
      </c>
      <c r="G44" s="6"/>
      <c r="K44" s="7" t="str">
        <f>A4</f>
        <v>2022Q1</v>
      </c>
      <c r="L44" s="6"/>
      <c r="M44" s="9">
        <f>ROUND(C4-((D4-C4)*(1/2)),3)</f>
        <v>531.81299999999999</v>
      </c>
      <c r="N44" s="6"/>
      <c r="O44" s="6"/>
      <c r="P44" s="9">
        <f>ROUND(F4-((G4-F4)*(1/2)),3)</f>
        <v>0.71499999999999997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579.83699999999999</v>
      </c>
      <c r="D45" s="6"/>
      <c r="E45" s="6"/>
      <c r="F45" s="9">
        <f t="shared" ref="F45:F75" si="14">ROUND(F5-((G5-F5)*(0.5/2)),3)</f>
        <v>0.74099999999999999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570.08299999999997</v>
      </c>
      <c r="N45" s="6"/>
      <c r="O45" s="6"/>
      <c r="P45" s="9">
        <f t="shared" ref="P45:P75" si="17">ROUND(F5-((G5-F5)*(1/2)),3)</f>
        <v>0.73299999999999998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577.45500000000004</v>
      </c>
      <c r="D46" s="6"/>
      <c r="E46" s="6"/>
      <c r="F46" s="9">
        <f t="shared" si="14"/>
        <v>0.74299999999999999</v>
      </c>
      <c r="G46" s="6"/>
      <c r="K46" s="7" t="str">
        <f t="shared" si="15"/>
        <v>2022Q3</v>
      </c>
      <c r="L46" s="6"/>
      <c r="M46" s="9">
        <f t="shared" si="16"/>
        <v>566.94000000000005</v>
      </c>
      <c r="N46" s="6"/>
      <c r="O46" s="6"/>
      <c r="P46" s="9">
        <f t="shared" si="17"/>
        <v>0.73399999999999999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583.58399999999995</v>
      </c>
      <c r="D47" s="6"/>
      <c r="E47" s="6"/>
      <c r="F47" s="9">
        <f t="shared" si="14"/>
        <v>0.747</v>
      </c>
      <c r="G47" s="6"/>
      <c r="K47" s="7" t="str">
        <f t="shared" si="15"/>
        <v>2022Q4</v>
      </c>
      <c r="L47" s="6"/>
      <c r="M47" s="9">
        <f t="shared" si="16"/>
        <v>572.57600000000002</v>
      </c>
      <c r="N47" s="6"/>
      <c r="O47" s="6"/>
      <c r="P47" s="9">
        <f t="shared" si="17"/>
        <v>0.73699999999999999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545.32600000000002</v>
      </c>
      <c r="D48" s="6"/>
      <c r="E48" s="6"/>
      <c r="F48" s="9">
        <f t="shared" si="14"/>
        <v>0.73899999999999999</v>
      </c>
      <c r="G48" s="6"/>
      <c r="K48" s="7" t="str">
        <f t="shared" si="15"/>
        <v>2023Q1</v>
      </c>
      <c r="L48" s="6"/>
      <c r="M48" s="9">
        <f t="shared" si="16"/>
        <v>533.99300000000005</v>
      </c>
      <c r="N48" s="6"/>
      <c r="O48" s="6"/>
      <c r="P48" s="9">
        <f t="shared" si="17"/>
        <v>0.72899999999999998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586.04100000000005</v>
      </c>
      <c r="D49" s="6"/>
      <c r="E49" s="6"/>
      <c r="F49" s="9">
        <f t="shared" si="14"/>
        <v>0.75900000000000001</v>
      </c>
      <c r="G49" s="6"/>
      <c r="K49" s="7" t="str">
        <f t="shared" si="15"/>
        <v>2023Q2</v>
      </c>
      <c r="L49" s="6"/>
      <c r="M49" s="9">
        <f t="shared" si="16"/>
        <v>574.48800000000006</v>
      </c>
      <c r="N49" s="6"/>
      <c r="O49" s="6"/>
      <c r="P49" s="9">
        <f t="shared" si="17"/>
        <v>0.747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584.44799999999998</v>
      </c>
      <c r="D50" s="6"/>
      <c r="E50" s="6"/>
      <c r="F50" s="9">
        <f t="shared" si="14"/>
        <v>0.76100000000000001</v>
      </c>
      <c r="G50" s="6"/>
      <c r="K50" s="7" t="str">
        <f t="shared" si="15"/>
        <v>2023Q3</v>
      </c>
      <c r="L50" s="6"/>
      <c r="M50" s="9">
        <f t="shared" si="16"/>
        <v>572.74699999999996</v>
      </c>
      <c r="N50" s="6"/>
      <c r="O50" s="6"/>
      <c r="P50" s="9">
        <f t="shared" si="17"/>
        <v>0.749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591.11199999999997</v>
      </c>
      <c r="D51" s="6"/>
      <c r="E51" s="6"/>
      <c r="F51" s="9">
        <f t="shared" si="14"/>
        <v>0.76500000000000001</v>
      </c>
      <c r="G51" s="6"/>
      <c r="K51" s="7" t="str">
        <f t="shared" si="15"/>
        <v>2023Q4</v>
      </c>
      <c r="L51" s="6"/>
      <c r="M51" s="9">
        <f t="shared" si="16"/>
        <v>579.30999999999995</v>
      </c>
      <c r="N51" s="6"/>
      <c r="O51" s="6"/>
      <c r="P51" s="9">
        <f t="shared" si="17"/>
        <v>0.753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553.23299999999995</v>
      </c>
      <c r="D52" s="6"/>
      <c r="E52" s="6"/>
      <c r="F52" s="9">
        <f t="shared" si="14"/>
        <v>0.75800000000000001</v>
      </c>
      <c r="G52" s="6"/>
      <c r="K52" s="7" t="str">
        <f t="shared" si="15"/>
        <v>2024Q1</v>
      </c>
      <c r="L52" s="6"/>
      <c r="M52" s="9">
        <f t="shared" si="16"/>
        <v>541.36199999999997</v>
      </c>
      <c r="N52" s="6"/>
      <c r="O52" s="6"/>
      <c r="P52" s="9">
        <f t="shared" si="17"/>
        <v>0.745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594.22</v>
      </c>
      <c r="D53" s="6"/>
      <c r="E53" s="6"/>
      <c r="F53" s="9">
        <f t="shared" si="14"/>
        <v>0.77700000000000002</v>
      </c>
      <c r="G53" s="6"/>
      <c r="K53" s="7" t="str">
        <f t="shared" si="15"/>
        <v>2024Q2</v>
      </c>
      <c r="L53" s="6"/>
      <c r="M53" s="9">
        <f t="shared" si="16"/>
        <v>582.30200000000002</v>
      </c>
      <c r="N53" s="6"/>
      <c r="O53" s="6"/>
      <c r="P53" s="9">
        <f t="shared" si="17"/>
        <v>0.76300000000000001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592.82500000000005</v>
      </c>
      <c r="D54" s="6"/>
      <c r="E54" s="6"/>
      <c r="F54" s="9">
        <f t="shared" si="14"/>
        <v>0.78100000000000003</v>
      </c>
      <c r="G54" s="6"/>
      <c r="K54" s="7" t="str">
        <f t="shared" si="15"/>
        <v>2024Q3</v>
      </c>
      <c r="L54" s="6"/>
      <c r="M54" s="9">
        <f t="shared" si="16"/>
        <v>580.87400000000002</v>
      </c>
      <c r="N54" s="6"/>
      <c r="O54" s="6"/>
      <c r="P54" s="9">
        <f t="shared" si="17"/>
        <v>0.76600000000000001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599.63800000000003</v>
      </c>
      <c r="D55" s="6"/>
      <c r="E55" s="6"/>
      <c r="F55" s="9">
        <f t="shared" si="14"/>
        <v>0.78400000000000003</v>
      </c>
      <c r="G55" s="6"/>
      <c r="K55" s="7" t="str">
        <f t="shared" si="15"/>
        <v>2024Q4</v>
      </c>
      <c r="L55" s="6"/>
      <c r="M55" s="9">
        <f t="shared" si="16"/>
        <v>587.66499999999996</v>
      </c>
      <c r="N55" s="6"/>
      <c r="O55" s="6"/>
      <c r="P55" s="9">
        <f t="shared" si="17"/>
        <v>0.76900000000000002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561.86800000000005</v>
      </c>
      <c r="D56" s="6"/>
      <c r="E56" s="6"/>
      <c r="F56" s="9">
        <f t="shared" si="14"/>
        <v>0.77600000000000002</v>
      </c>
      <c r="G56" s="6"/>
      <c r="K56" s="7" t="str">
        <f t="shared" si="15"/>
        <v>2025Q1</v>
      </c>
      <c r="L56" s="6"/>
      <c r="M56" s="9">
        <f t="shared" si="16"/>
        <v>549.88</v>
      </c>
      <c r="N56" s="6"/>
      <c r="O56" s="6"/>
      <c r="P56" s="9">
        <f t="shared" si="17"/>
        <v>0.76100000000000001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602.94000000000005</v>
      </c>
      <c r="D57" s="6"/>
      <c r="E57" s="6"/>
      <c r="F57" s="9">
        <f t="shared" si="14"/>
        <v>0.79700000000000004</v>
      </c>
      <c r="G57" s="6"/>
      <c r="K57" s="7" t="str">
        <f t="shared" si="15"/>
        <v>2025Q2</v>
      </c>
      <c r="L57" s="6"/>
      <c r="M57" s="9">
        <f t="shared" si="16"/>
        <v>590.94200000000001</v>
      </c>
      <c r="N57" s="6"/>
      <c r="O57" s="6"/>
      <c r="P57" s="9">
        <f t="shared" si="17"/>
        <v>0.78100000000000003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601.60900000000004</v>
      </c>
      <c r="D58" s="6"/>
      <c r="E58" s="6"/>
      <c r="F58" s="9">
        <f t="shared" si="14"/>
        <v>0.8</v>
      </c>
      <c r="G58" s="6"/>
      <c r="K58" s="7" t="str">
        <f t="shared" si="15"/>
        <v>2025Q3</v>
      </c>
      <c r="L58" s="6"/>
      <c r="M58" s="9">
        <f t="shared" si="16"/>
        <v>589.60299999999995</v>
      </c>
      <c r="N58" s="6"/>
      <c r="O58" s="6"/>
      <c r="P58" s="9">
        <f t="shared" si="17"/>
        <v>0.78300000000000003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608.471</v>
      </c>
      <c r="D59" s="6"/>
      <c r="E59" s="6"/>
      <c r="F59" s="9">
        <f t="shared" si="14"/>
        <v>0.80400000000000005</v>
      </c>
      <c r="G59" s="6"/>
      <c r="K59" s="7" t="str">
        <f t="shared" si="15"/>
        <v>2025Q4</v>
      </c>
      <c r="L59" s="6"/>
      <c r="M59" s="9">
        <f t="shared" si="16"/>
        <v>596.46</v>
      </c>
      <c r="N59" s="6"/>
      <c r="O59" s="6"/>
      <c r="P59" s="9">
        <f t="shared" si="17"/>
        <v>0.78700000000000003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570.74099999999999</v>
      </c>
      <c r="D60" s="6"/>
      <c r="E60" s="6"/>
      <c r="F60" s="9">
        <f t="shared" si="14"/>
        <v>0.79700000000000004</v>
      </c>
      <c r="G60" s="6"/>
      <c r="K60" s="7" t="str">
        <f t="shared" si="15"/>
        <v>2026Q1</v>
      </c>
      <c r="L60" s="6"/>
      <c r="M60" s="9">
        <f t="shared" si="16"/>
        <v>558.72799999999995</v>
      </c>
      <c r="N60" s="6"/>
      <c r="O60" s="6"/>
      <c r="P60" s="9">
        <f t="shared" si="17"/>
        <v>0.77900000000000003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611.84299999999996</v>
      </c>
      <c r="D61" s="6"/>
      <c r="E61" s="6"/>
      <c r="F61" s="9">
        <f t="shared" si="14"/>
        <v>0.81599999999999995</v>
      </c>
      <c r="G61" s="6"/>
      <c r="K61" s="7" t="str">
        <f t="shared" si="15"/>
        <v>2026Q2</v>
      </c>
      <c r="L61" s="6"/>
      <c r="M61" s="9">
        <f t="shared" si="16"/>
        <v>599.827</v>
      </c>
      <c r="N61" s="6"/>
      <c r="O61" s="6"/>
      <c r="P61" s="9">
        <f t="shared" si="17"/>
        <v>0.79800000000000004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610.53599999999994</v>
      </c>
      <c r="D62" s="6"/>
      <c r="E62" s="6"/>
      <c r="F62" s="9">
        <f t="shared" si="14"/>
        <v>0.81899999999999995</v>
      </c>
      <c r="G62" s="6"/>
      <c r="K62" s="7" t="str">
        <f t="shared" si="15"/>
        <v>2026Q3</v>
      </c>
      <c r="L62" s="6"/>
      <c r="M62" s="9">
        <f t="shared" si="16"/>
        <v>598.51900000000001</v>
      </c>
      <c r="N62" s="6"/>
      <c r="O62" s="6"/>
      <c r="P62" s="9">
        <f t="shared" si="17"/>
        <v>0.8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617.41700000000003</v>
      </c>
      <c r="D63" s="6"/>
      <c r="E63" s="6"/>
      <c r="F63" s="9">
        <f t="shared" si="14"/>
        <v>0.82299999999999995</v>
      </c>
      <c r="G63" s="6"/>
      <c r="K63" s="7" t="str">
        <f t="shared" si="15"/>
        <v>2026Q4</v>
      </c>
      <c r="L63" s="6"/>
      <c r="M63" s="9">
        <f t="shared" si="16"/>
        <v>605.39800000000002</v>
      </c>
      <c r="N63" s="6"/>
      <c r="O63" s="6"/>
      <c r="P63" s="9">
        <f t="shared" si="17"/>
        <v>0.80500000000000005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579.702</v>
      </c>
      <c r="D64" s="6"/>
      <c r="E64" s="6"/>
      <c r="F64" s="9">
        <f t="shared" si="14"/>
        <v>0.81599999999999995</v>
      </c>
      <c r="G64" s="6"/>
      <c r="K64" s="7" t="str">
        <f t="shared" si="15"/>
        <v>2027Q1</v>
      </c>
      <c r="L64" s="6"/>
      <c r="M64" s="9">
        <f t="shared" si="16"/>
        <v>567.68299999999999</v>
      </c>
      <c r="N64" s="6"/>
      <c r="O64" s="6"/>
      <c r="P64" s="9">
        <f t="shared" si="17"/>
        <v>0.79700000000000004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620.81700000000001</v>
      </c>
      <c r="D65" s="6"/>
      <c r="E65" s="6"/>
      <c r="F65" s="9">
        <f t="shared" si="14"/>
        <v>0.83499999999999996</v>
      </c>
      <c r="G65" s="6"/>
      <c r="K65" s="7" t="str">
        <f t="shared" si="15"/>
        <v>2027Q2</v>
      </c>
      <c r="L65" s="6"/>
      <c r="M65" s="9">
        <f t="shared" si="16"/>
        <v>608.79700000000003</v>
      </c>
      <c r="N65" s="6"/>
      <c r="O65" s="6"/>
      <c r="P65" s="9">
        <f t="shared" si="17"/>
        <v>0.81599999999999995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619.52099999999996</v>
      </c>
      <c r="D66" s="6"/>
      <c r="E66" s="6"/>
      <c r="F66" s="9">
        <f t="shared" si="14"/>
        <v>0.83899999999999997</v>
      </c>
      <c r="G66" s="6"/>
      <c r="K66" s="7" t="str">
        <f t="shared" si="15"/>
        <v>2027Q3</v>
      </c>
      <c r="L66" s="6"/>
      <c r="M66" s="9">
        <f t="shared" si="16"/>
        <v>607.5</v>
      </c>
      <c r="N66" s="6"/>
      <c r="O66" s="6"/>
      <c r="P66" s="9">
        <f t="shared" si="17"/>
        <v>0.81899999999999995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626.40899999999999</v>
      </c>
      <c r="D67" s="6"/>
      <c r="E67" s="6"/>
      <c r="F67" s="9">
        <f t="shared" si="14"/>
        <v>0.84299999999999997</v>
      </c>
      <c r="G67" s="6"/>
      <c r="K67" s="7" t="str">
        <f t="shared" si="15"/>
        <v>2027Q4</v>
      </c>
      <c r="L67" s="6"/>
      <c r="M67" s="9">
        <f t="shared" si="16"/>
        <v>614.38900000000001</v>
      </c>
      <c r="N67" s="6"/>
      <c r="O67" s="6"/>
      <c r="P67" s="9">
        <f t="shared" si="17"/>
        <v>0.82199999999999995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588.70100000000002</v>
      </c>
      <c r="D68" s="6"/>
      <c r="E68" s="6"/>
      <c r="F68" s="9">
        <f t="shared" si="14"/>
        <v>0.83499999999999996</v>
      </c>
      <c r="G68" s="6"/>
      <c r="K68" s="7" t="str">
        <f t="shared" si="15"/>
        <v>2028Q1</v>
      </c>
      <c r="L68" s="6"/>
      <c r="M68" s="9">
        <f t="shared" si="16"/>
        <v>576.67999999999995</v>
      </c>
      <c r="N68" s="6"/>
      <c r="O68" s="6"/>
      <c r="P68" s="9">
        <f t="shared" si="17"/>
        <v>0.81399999999999995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629.82100000000003</v>
      </c>
      <c r="D69" s="6"/>
      <c r="E69" s="6"/>
      <c r="F69" s="9">
        <f t="shared" si="14"/>
        <v>0.85599999999999998</v>
      </c>
      <c r="G69" s="6"/>
      <c r="K69" s="7" t="str">
        <f t="shared" si="15"/>
        <v>2028Q2</v>
      </c>
      <c r="L69" s="6"/>
      <c r="M69" s="9">
        <f t="shared" si="16"/>
        <v>617.79999999999995</v>
      </c>
      <c r="N69" s="6"/>
      <c r="O69" s="6"/>
      <c r="P69" s="9">
        <f t="shared" si="17"/>
        <v>0.83499999999999996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628.529</v>
      </c>
      <c r="D70" s="6"/>
      <c r="E70" s="6"/>
      <c r="F70" s="9">
        <f t="shared" si="14"/>
        <v>0.85899999999999999</v>
      </c>
      <c r="G70" s="6"/>
      <c r="K70" s="7" t="str">
        <f t="shared" si="15"/>
        <v>2028Q3</v>
      </c>
      <c r="L70" s="6"/>
      <c r="M70" s="9">
        <f t="shared" si="16"/>
        <v>616.50800000000004</v>
      </c>
      <c r="N70" s="6"/>
      <c r="O70" s="6"/>
      <c r="P70" s="9">
        <f t="shared" si="17"/>
        <v>0.83699999999999997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635.42200000000003</v>
      </c>
      <c r="D71" s="6"/>
      <c r="E71" s="6"/>
      <c r="F71" s="9">
        <f t="shared" si="14"/>
        <v>0.86299999999999999</v>
      </c>
      <c r="G71" s="6"/>
      <c r="K71" s="7" t="str">
        <f t="shared" si="15"/>
        <v>2028Q4</v>
      </c>
      <c r="L71" s="6"/>
      <c r="M71" s="9">
        <f t="shared" si="16"/>
        <v>623.40099999999995</v>
      </c>
      <c r="N71" s="6"/>
      <c r="O71" s="6"/>
      <c r="P71" s="9">
        <f t="shared" si="17"/>
        <v>0.84199999999999997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597.71699999999998</v>
      </c>
      <c r="D72" s="6"/>
      <c r="E72" s="6"/>
      <c r="F72" s="9">
        <f t="shared" si="14"/>
        <v>0.85599999999999998</v>
      </c>
      <c r="G72" s="6"/>
      <c r="K72" s="7" t="str">
        <f t="shared" si="15"/>
        <v>2029Q1</v>
      </c>
      <c r="L72" s="6"/>
      <c r="M72" s="9">
        <f t="shared" si="16"/>
        <v>585.69600000000003</v>
      </c>
      <c r="N72" s="6"/>
      <c r="O72" s="6"/>
      <c r="P72" s="9">
        <f t="shared" si="17"/>
        <v>0.83399999999999996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638.83900000000006</v>
      </c>
      <c r="D73" s="6"/>
      <c r="E73" s="6"/>
      <c r="F73" s="9">
        <f t="shared" si="14"/>
        <v>0.875</v>
      </c>
      <c r="G73" s="6"/>
      <c r="K73" s="7" t="str">
        <f t="shared" si="15"/>
        <v>2029Q2</v>
      </c>
      <c r="L73" s="6"/>
      <c r="M73" s="9">
        <f t="shared" si="16"/>
        <v>626.81799999999998</v>
      </c>
      <c r="N73" s="6"/>
      <c r="O73" s="6"/>
      <c r="P73" s="9">
        <f t="shared" si="17"/>
        <v>0.85299999999999998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637.54899999999998</v>
      </c>
      <c r="D74" s="6"/>
      <c r="E74" s="6"/>
      <c r="F74" s="9">
        <f t="shared" si="14"/>
        <v>0.879</v>
      </c>
      <c r="G74" s="6"/>
      <c r="K74" s="7" t="str">
        <f t="shared" si="15"/>
        <v>2029Q3</v>
      </c>
      <c r="L74" s="6"/>
      <c r="M74" s="9">
        <f t="shared" si="16"/>
        <v>625.52800000000002</v>
      </c>
      <c r="N74" s="6"/>
      <c r="O74" s="6"/>
      <c r="P74" s="9">
        <f t="shared" si="17"/>
        <v>0.85699999999999998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644.44299999999998</v>
      </c>
      <c r="D75" s="6"/>
      <c r="E75" s="6"/>
      <c r="F75" s="9">
        <f t="shared" si="14"/>
        <v>0.88300000000000001</v>
      </c>
      <c r="G75" s="6"/>
      <c r="K75" s="7" t="str">
        <f t="shared" si="15"/>
        <v>2029Q4</v>
      </c>
      <c r="L75" s="6"/>
      <c r="M75" s="9">
        <f t="shared" si="16"/>
        <v>632.42200000000003</v>
      </c>
      <c r="N75" s="6"/>
      <c r="O75" s="6"/>
      <c r="P75" s="9">
        <f t="shared" si="17"/>
        <v>0.86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6"/>
  <sheetViews>
    <sheetView topLeftCell="I1"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9.81640625" style="1" customWidth="1"/>
    <col min="4" max="5" width="12.1796875" style="1" bestFit="1" customWidth="1"/>
    <col min="6" max="6" width="20" style="1" customWidth="1"/>
    <col min="7" max="7" width="12.1796875" style="1" bestFit="1" customWidth="1"/>
    <col min="8" max="12" width="9.1796875" style="1"/>
    <col min="13" max="13" width="19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11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2" t="s">
        <v>41</v>
      </c>
      <c r="C2" s="32"/>
      <c r="D2" s="32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1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J3" s="28"/>
      <c r="K3" s="14" t="s">
        <v>69</v>
      </c>
      <c r="L3" s="61">
        <v>585.05961802847594</v>
      </c>
      <c r="M3" s="61">
        <v>544.03143459783701</v>
      </c>
      <c r="N3" s="61">
        <v>626.08780145911487</v>
      </c>
      <c r="O3" s="1">
        <f t="shared" ref="O3:O34" si="0">ROUND(M3,3)</f>
        <v>544.03099999999995</v>
      </c>
      <c r="P3" s="1">
        <f t="shared" ref="P3:P34" si="1">ROUND(L3,3)</f>
        <v>585.05999999999995</v>
      </c>
      <c r="Q3" s="1">
        <f t="shared" ref="Q3:Q34" si="2">ROUND(N3,3)</f>
        <v>626.08799999999997</v>
      </c>
      <c r="R3" s="14" t="str">
        <f>K3</f>
        <v>2022Q1</v>
      </c>
      <c r="S3" s="46">
        <v>0.15388276657051683</v>
      </c>
      <c r="T3" s="46">
        <v>0.14726262627061901</v>
      </c>
      <c r="U3" s="46">
        <v>0.16050290687041466</v>
      </c>
      <c r="V3" s="1">
        <f t="shared" ref="V3:V34" si="3">ROUND(T3,3)</f>
        <v>0.14699999999999999</v>
      </c>
      <c r="W3" s="1">
        <f t="shared" ref="W3:W34" si="4">ROUND(S3,3)</f>
        <v>0.154</v>
      </c>
      <c r="X3" s="1">
        <f t="shared" ref="X3:X34" si="5">ROUND(U3,3)</f>
        <v>0.161</v>
      </c>
    </row>
    <row r="4" spans="1:30" ht="15.5" thickTop="1" thickBot="1" x14ac:dyDescent="0.4">
      <c r="A4" s="5" t="str">
        <f>K3</f>
        <v>2022Q1</v>
      </c>
      <c r="B4" s="2">
        <f>O3</f>
        <v>544.03099999999995</v>
      </c>
      <c r="C4" s="3">
        <f>P3</f>
        <v>585.05999999999995</v>
      </c>
      <c r="D4" s="2">
        <f>Q3</f>
        <v>626.08799999999997</v>
      </c>
      <c r="E4" s="2">
        <f>V3</f>
        <v>0.14699999999999999</v>
      </c>
      <c r="F4" s="3">
        <f>W3</f>
        <v>0.154</v>
      </c>
      <c r="G4" s="2">
        <f>X3</f>
        <v>0.161</v>
      </c>
      <c r="J4" s="28"/>
      <c r="K4" s="14" t="s">
        <v>70</v>
      </c>
      <c r="L4" s="61">
        <v>612.07894760503495</v>
      </c>
      <c r="M4" s="61">
        <v>563.21186148778668</v>
      </c>
      <c r="N4" s="61">
        <v>660.94603372228323</v>
      </c>
      <c r="O4" s="1">
        <f t="shared" si="0"/>
        <v>563.21199999999999</v>
      </c>
      <c r="P4" s="1">
        <f t="shared" si="1"/>
        <v>612.07899999999995</v>
      </c>
      <c r="Q4" s="1">
        <f t="shared" si="2"/>
        <v>660.94600000000003</v>
      </c>
      <c r="R4" s="14" t="str">
        <f t="shared" ref="R4:R34" si="6">K4</f>
        <v>2022Q2</v>
      </c>
      <c r="S4" s="46">
        <v>0.16310166874654122</v>
      </c>
      <c r="T4" s="46">
        <v>0.15426086788656754</v>
      </c>
      <c r="U4" s="46">
        <v>0.17194246960651491</v>
      </c>
      <c r="V4" s="1">
        <f t="shared" si="3"/>
        <v>0.154</v>
      </c>
      <c r="W4" s="1">
        <f t="shared" si="4"/>
        <v>0.16300000000000001</v>
      </c>
      <c r="X4" s="1">
        <f t="shared" si="5"/>
        <v>0.17199999999999999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563.21199999999999</v>
      </c>
      <c r="C5" s="3">
        <f t="shared" si="8"/>
        <v>612.07899999999995</v>
      </c>
      <c r="D5" s="2">
        <f t="shared" si="8"/>
        <v>660.94600000000003</v>
      </c>
      <c r="E5" s="2">
        <f t="shared" ref="E5:G20" si="9">V4</f>
        <v>0.154</v>
      </c>
      <c r="F5" s="3">
        <f t="shared" si="9"/>
        <v>0.16300000000000001</v>
      </c>
      <c r="G5" s="2">
        <f t="shared" si="9"/>
        <v>0.17199999999999999</v>
      </c>
      <c r="I5" s="1">
        <f>SUM(F5:F8)</f>
        <v>0.64500000000000002</v>
      </c>
      <c r="K5" s="14" t="s">
        <v>71</v>
      </c>
      <c r="L5" s="61">
        <v>611.36449968148042</v>
      </c>
      <c r="M5" s="61">
        <v>556.065649971673</v>
      </c>
      <c r="N5" s="61">
        <v>666.66334939128785</v>
      </c>
      <c r="O5" s="1">
        <f t="shared" si="0"/>
        <v>556.06600000000003</v>
      </c>
      <c r="P5" s="1">
        <f t="shared" si="1"/>
        <v>611.36400000000003</v>
      </c>
      <c r="Q5" s="1">
        <f t="shared" si="2"/>
        <v>666.66300000000001</v>
      </c>
      <c r="R5" s="14" t="str">
        <f t="shared" si="6"/>
        <v>2022Q3</v>
      </c>
      <c r="S5" s="46">
        <v>0.15833692171763111</v>
      </c>
      <c r="T5" s="46">
        <v>0.14730612080098504</v>
      </c>
      <c r="U5" s="46">
        <v>0.16936772263427718</v>
      </c>
      <c r="V5" s="1">
        <f t="shared" si="3"/>
        <v>0.14699999999999999</v>
      </c>
      <c r="W5" s="1">
        <f t="shared" si="4"/>
        <v>0.158</v>
      </c>
      <c r="X5" s="1">
        <f t="shared" si="5"/>
        <v>0.16900000000000001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556.06600000000003</v>
      </c>
      <c r="C6" s="3">
        <f t="shared" si="8"/>
        <v>611.36400000000003</v>
      </c>
      <c r="D6" s="2">
        <f t="shared" si="8"/>
        <v>666.66300000000001</v>
      </c>
      <c r="E6" s="2">
        <f t="shared" si="9"/>
        <v>0.14699999999999999</v>
      </c>
      <c r="F6" s="3">
        <f t="shared" si="9"/>
        <v>0.158</v>
      </c>
      <c r="G6" s="2">
        <f t="shared" si="9"/>
        <v>0.16900000000000001</v>
      </c>
      <c r="I6" s="1">
        <f>SUM(F9:F12)</f>
        <v>0.66900000000000004</v>
      </c>
      <c r="K6" s="14" t="s">
        <v>72</v>
      </c>
      <c r="L6" s="61">
        <v>615.78136022802516</v>
      </c>
      <c r="M6" s="61">
        <v>554.99539551777718</v>
      </c>
      <c r="N6" s="61">
        <v>676.56732493827315</v>
      </c>
      <c r="O6" s="1">
        <f t="shared" si="0"/>
        <v>554.995</v>
      </c>
      <c r="P6" s="1">
        <f t="shared" si="1"/>
        <v>615.78099999999995</v>
      </c>
      <c r="Q6" s="1">
        <f t="shared" si="2"/>
        <v>676.56700000000001</v>
      </c>
      <c r="R6" s="14" t="str">
        <f t="shared" si="6"/>
        <v>2022Q4</v>
      </c>
      <c r="S6" s="46">
        <v>0.16439405420294506</v>
      </c>
      <c r="T6" s="46">
        <v>0.15189298046360797</v>
      </c>
      <c r="U6" s="46">
        <v>0.17689512794228215</v>
      </c>
      <c r="V6" s="1">
        <f t="shared" si="3"/>
        <v>0.152</v>
      </c>
      <c r="W6" s="1">
        <f t="shared" si="4"/>
        <v>0.16400000000000001</v>
      </c>
      <c r="X6" s="1">
        <f t="shared" si="5"/>
        <v>0.17699999999999999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554.995</v>
      </c>
      <c r="C7" s="3">
        <f t="shared" si="8"/>
        <v>615.78099999999995</v>
      </c>
      <c r="D7" s="2">
        <f t="shared" si="8"/>
        <v>676.56700000000001</v>
      </c>
      <c r="E7" s="2">
        <f t="shared" si="9"/>
        <v>0.152</v>
      </c>
      <c r="F7" s="3">
        <f t="shared" si="9"/>
        <v>0.16400000000000001</v>
      </c>
      <c r="G7" s="2">
        <f t="shared" si="9"/>
        <v>0.17699999999999999</v>
      </c>
      <c r="I7" s="1">
        <f>SUM(F13:F16)</f>
        <v>0.69199999999999995</v>
      </c>
      <c r="K7" s="14" t="s">
        <v>73</v>
      </c>
      <c r="L7" s="61">
        <v>600.26674114610296</v>
      </c>
      <c r="M7" s="61">
        <v>534.68831691797493</v>
      </c>
      <c r="N7" s="61">
        <v>665.84516537423099</v>
      </c>
      <c r="O7" s="1">
        <f t="shared" si="0"/>
        <v>534.68799999999999</v>
      </c>
      <c r="P7" s="1">
        <f t="shared" si="1"/>
        <v>600.26700000000005</v>
      </c>
      <c r="Q7" s="1">
        <f t="shared" si="2"/>
        <v>665.84500000000003</v>
      </c>
      <c r="R7" s="14" t="str">
        <f t="shared" si="6"/>
        <v>2023Q1</v>
      </c>
      <c r="S7" s="46">
        <v>0.15984455873133158</v>
      </c>
      <c r="T7" s="46">
        <v>0.1457198389829692</v>
      </c>
      <c r="U7" s="46">
        <v>0.17396927847969396</v>
      </c>
      <c r="V7" s="1">
        <f t="shared" si="3"/>
        <v>0.14599999999999999</v>
      </c>
      <c r="W7" s="1">
        <f t="shared" si="4"/>
        <v>0.16</v>
      </c>
      <c r="X7" s="1">
        <f t="shared" si="5"/>
        <v>0.17399999999999999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534.68799999999999</v>
      </c>
      <c r="C8" s="3">
        <f t="shared" si="8"/>
        <v>600.26700000000005</v>
      </c>
      <c r="D8" s="2">
        <f t="shared" si="8"/>
        <v>665.84500000000003</v>
      </c>
      <c r="E8" s="2">
        <f t="shared" si="9"/>
        <v>0.14599999999999999</v>
      </c>
      <c r="F8" s="3">
        <f t="shared" si="9"/>
        <v>0.16</v>
      </c>
      <c r="G8" s="2">
        <f t="shared" si="9"/>
        <v>0.17399999999999999</v>
      </c>
      <c r="I8" s="1">
        <f>SUM(F17:F20)</f>
        <v>0.71499999999999986</v>
      </c>
      <c r="K8" s="14" t="s">
        <v>74</v>
      </c>
      <c r="L8" s="61">
        <v>627.42518039364188</v>
      </c>
      <c r="M8" s="61">
        <v>557.59469413262707</v>
      </c>
      <c r="N8" s="61">
        <v>697.25566665465669</v>
      </c>
      <c r="O8" s="1">
        <f t="shared" si="0"/>
        <v>557.59500000000003</v>
      </c>
      <c r="P8" s="1">
        <f t="shared" si="1"/>
        <v>627.42499999999995</v>
      </c>
      <c r="Q8" s="1">
        <f t="shared" si="2"/>
        <v>697.25599999999997</v>
      </c>
      <c r="R8" s="14" t="str">
        <f t="shared" si="6"/>
        <v>2023Q2</v>
      </c>
      <c r="S8" s="46">
        <v>0.16868176374898927</v>
      </c>
      <c r="T8" s="46">
        <v>0.15337308196634963</v>
      </c>
      <c r="U8" s="46">
        <v>0.18399044553162891</v>
      </c>
      <c r="V8" s="1">
        <f t="shared" si="3"/>
        <v>0.153</v>
      </c>
      <c r="W8" s="1">
        <f t="shared" si="4"/>
        <v>0.16900000000000001</v>
      </c>
      <c r="X8" s="1">
        <f t="shared" si="5"/>
        <v>0.184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557.59500000000003</v>
      </c>
      <c r="C9" s="3">
        <f t="shared" si="8"/>
        <v>627.42499999999995</v>
      </c>
      <c r="D9" s="2">
        <f t="shared" si="8"/>
        <v>697.25599999999997</v>
      </c>
      <c r="E9" s="2">
        <f t="shared" si="9"/>
        <v>0.153</v>
      </c>
      <c r="F9" s="3">
        <f t="shared" si="9"/>
        <v>0.16900000000000001</v>
      </c>
      <c r="G9" s="2">
        <f t="shared" si="9"/>
        <v>0.184</v>
      </c>
      <c r="I9" s="1">
        <f>SUM(F21:F24)</f>
        <v>0.73799999999999999</v>
      </c>
      <c r="K9" s="14" t="s">
        <v>75</v>
      </c>
      <c r="L9" s="61">
        <v>626.84637290195406</v>
      </c>
      <c r="M9" s="61">
        <v>553.2005717633557</v>
      </c>
      <c r="N9" s="61">
        <v>700.49217404055241</v>
      </c>
      <c r="O9" s="1">
        <f t="shared" si="0"/>
        <v>553.20100000000002</v>
      </c>
      <c r="P9" s="1">
        <f t="shared" si="1"/>
        <v>626.846</v>
      </c>
      <c r="Q9" s="1">
        <f t="shared" si="2"/>
        <v>700.49199999999996</v>
      </c>
      <c r="R9" s="14" t="str">
        <f t="shared" si="6"/>
        <v>2023Q3</v>
      </c>
      <c r="S9" s="46">
        <v>0.16428704129554422</v>
      </c>
      <c r="T9" s="46">
        <v>0.14763420764362514</v>
      </c>
      <c r="U9" s="46">
        <v>0.1809398749474633</v>
      </c>
      <c r="V9" s="1">
        <f t="shared" si="3"/>
        <v>0.14799999999999999</v>
      </c>
      <c r="W9" s="1">
        <f t="shared" si="4"/>
        <v>0.16400000000000001</v>
      </c>
      <c r="X9" s="1">
        <f t="shared" si="5"/>
        <v>0.18099999999999999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553.20100000000002</v>
      </c>
      <c r="C10" s="3">
        <f t="shared" si="8"/>
        <v>626.846</v>
      </c>
      <c r="D10" s="2">
        <f t="shared" si="8"/>
        <v>700.49199999999996</v>
      </c>
      <c r="E10" s="2">
        <f t="shared" si="9"/>
        <v>0.14799999999999999</v>
      </c>
      <c r="F10" s="3">
        <f t="shared" si="9"/>
        <v>0.16400000000000001</v>
      </c>
      <c r="G10" s="2">
        <f t="shared" si="9"/>
        <v>0.18099999999999999</v>
      </c>
      <c r="I10" s="1">
        <f>SUM(F25:F28)</f>
        <v>0.76100000000000012</v>
      </c>
      <c r="K10" s="14" t="s">
        <v>76</v>
      </c>
      <c r="L10" s="61">
        <v>631.39549116018338</v>
      </c>
      <c r="M10" s="61">
        <v>554.2971886210363</v>
      </c>
      <c r="N10" s="61">
        <v>708.49379369933047</v>
      </c>
      <c r="O10" s="1">
        <f t="shared" si="0"/>
        <v>554.29700000000003</v>
      </c>
      <c r="P10" s="1">
        <f t="shared" si="1"/>
        <v>631.39499999999998</v>
      </c>
      <c r="Q10" s="1">
        <f t="shared" si="2"/>
        <v>708.49400000000003</v>
      </c>
      <c r="R10" s="14" t="str">
        <f t="shared" si="6"/>
        <v>2023Q4</v>
      </c>
      <c r="S10" s="46">
        <v>0.16998546483203084</v>
      </c>
      <c r="T10" s="46">
        <v>0.15231061180030434</v>
      </c>
      <c r="U10" s="46">
        <v>0.18766031786375734</v>
      </c>
      <c r="V10" s="1">
        <f t="shared" si="3"/>
        <v>0.152</v>
      </c>
      <c r="W10" s="1">
        <f t="shared" si="4"/>
        <v>0.17</v>
      </c>
      <c r="X10" s="1">
        <f t="shared" si="5"/>
        <v>0.188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554.29700000000003</v>
      </c>
      <c r="C11" s="3">
        <f t="shared" si="8"/>
        <v>631.39499999999998</v>
      </c>
      <c r="D11" s="2">
        <f t="shared" si="8"/>
        <v>708.49400000000003</v>
      </c>
      <c r="E11" s="2">
        <f t="shared" si="9"/>
        <v>0.152</v>
      </c>
      <c r="F11" s="3">
        <f t="shared" si="9"/>
        <v>0.17</v>
      </c>
      <c r="G11" s="2">
        <f t="shared" si="9"/>
        <v>0.188</v>
      </c>
      <c r="I11" s="1">
        <f>SUM(F29:F32)</f>
        <v>0.78400000000000003</v>
      </c>
      <c r="K11" s="14" t="s">
        <v>77</v>
      </c>
      <c r="L11" s="61">
        <v>616.00983143100962</v>
      </c>
      <c r="M11" s="61">
        <v>535.76671594887728</v>
      </c>
      <c r="N11" s="61">
        <v>696.25294691314195</v>
      </c>
      <c r="O11" s="1">
        <f t="shared" si="0"/>
        <v>535.76700000000005</v>
      </c>
      <c r="P11" s="1">
        <f t="shared" si="1"/>
        <v>616.01</v>
      </c>
      <c r="Q11" s="1">
        <f t="shared" si="2"/>
        <v>696.25300000000004</v>
      </c>
      <c r="R11" s="14" t="str">
        <f t="shared" si="6"/>
        <v>2024Q1</v>
      </c>
      <c r="S11" s="46">
        <v>0.16578370872288292</v>
      </c>
      <c r="T11" s="46">
        <v>0.14693937689128536</v>
      </c>
      <c r="U11" s="46">
        <v>0.18462804055448048</v>
      </c>
      <c r="V11" s="1">
        <f t="shared" si="3"/>
        <v>0.14699999999999999</v>
      </c>
      <c r="W11" s="1">
        <f t="shared" si="4"/>
        <v>0.16600000000000001</v>
      </c>
      <c r="X11" s="1">
        <f t="shared" si="5"/>
        <v>0.185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535.76700000000005</v>
      </c>
      <c r="C12" s="3">
        <f t="shared" si="8"/>
        <v>616.01</v>
      </c>
      <c r="D12" s="2">
        <f t="shared" si="8"/>
        <v>696.25300000000004</v>
      </c>
      <c r="E12" s="2">
        <f t="shared" si="9"/>
        <v>0.14699999999999999</v>
      </c>
      <c r="F12" s="3">
        <f t="shared" si="9"/>
        <v>0.16600000000000001</v>
      </c>
      <c r="G12" s="2">
        <f t="shared" si="9"/>
        <v>0.185</v>
      </c>
      <c r="K12" s="14" t="s">
        <v>78</v>
      </c>
      <c r="L12" s="61">
        <v>643.29401392973182</v>
      </c>
      <c r="M12" s="61">
        <v>560.17124522758661</v>
      </c>
      <c r="N12" s="61">
        <v>726.41678263187703</v>
      </c>
      <c r="O12" s="1">
        <f t="shared" si="0"/>
        <v>560.17100000000005</v>
      </c>
      <c r="P12" s="1">
        <f t="shared" si="1"/>
        <v>643.29399999999998</v>
      </c>
      <c r="Q12" s="1">
        <f t="shared" si="2"/>
        <v>726.41700000000003</v>
      </c>
      <c r="R12" s="14" t="str">
        <f t="shared" si="6"/>
        <v>2024Q2</v>
      </c>
      <c r="S12" s="46">
        <v>0.1742838085063298</v>
      </c>
      <c r="T12" s="46">
        <v>0.15452489982647385</v>
      </c>
      <c r="U12" s="46">
        <v>0.19404271718618574</v>
      </c>
      <c r="V12" s="1">
        <f t="shared" si="3"/>
        <v>0.155</v>
      </c>
      <c r="W12" s="1">
        <f t="shared" si="4"/>
        <v>0.17399999999999999</v>
      </c>
      <c r="X12" s="1">
        <f t="shared" si="5"/>
        <v>0.19400000000000001</v>
      </c>
    </row>
    <row r="13" spans="1:30" ht="15.5" thickTop="1" thickBot="1" x14ac:dyDescent="0.4">
      <c r="A13" s="5" t="str">
        <f t="shared" si="7"/>
        <v>2024Q2</v>
      </c>
      <c r="B13" s="2">
        <f t="shared" si="8"/>
        <v>560.17100000000005</v>
      </c>
      <c r="C13" s="3">
        <f t="shared" si="8"/>
        <v>643.29399999999998</v>
      </c>
      <c r="D13" s="2">
        <f t="shared" si="8"/>
        <v>726.41700000000003</v>
      </c>
      <c r="E13" s="2">
        <f t="shared" si="9"/>
        <v>0.155</v>
      </c>
      <c r="F13" s="3">
        <f t="shared" si="9"/>
        <v>0.17399999999999999</v>
      </c>
      <c r="G13" s="2">
        <f t="shared" si="9"/>
        <v>0.19400000000000001</v>
      </c>
      <c r="K13" s="14" t="s">
        <v>79</v>
      </c>
      <c r="L13" s="61">
        <v>642.83781379362676</v>
      </c>
      <c r="M13" s="61">
        <v>557.0668396137122</v>
      </c>
      <c r="N13" s="61">
        <v>728.60878797354133</v>
      </c>
      <c r="O13" s="1">
        <f t="shared" si="0"/>
        <v>557.06700000000001</v>
      </c>
      <c r="P13" s="1">
        <f t="shared" si="1"/>
        <v>642.83799999999997</v>
      </c>
      <c r="Q13" s="1">
        <f t="shared" si="2"/>
        <v>728.60900000000004</v>
      </c>
      <c r="R13" s="14" t="str">
        <f t="shared" si="6"/>
        <v>2024Q3</v>
      </c>
      <c r="S13" s="46">
        <v>0.17021588235838955</v>
      </c>
      <c r="T13" s="46">
        <v>0.14940996814477747</v>
      </c>
      <c r="U13" s="46">
        <v>0.19102179657200163</v>
      </c>
      <c r="V13" s="1">
        <f t="shared" si="3"/>
        <v>0.14899999999999999</v>
      </c>
      <c r="W13" s="1">
        <f t="shared" si="4"/>
        <v>0.17</v>
      </c>
      <c r="X13" s="1">
        <f t="shared" si="5"/>
        <v>0.191</v>
      </c>
    </row>
    <row r="14" spans="1:30" ht="15.5" thickTop="1" thickBot="1" x14ac:dyDescent="0.4">
      <c r="A14" s="5" t="str">
        <f t="shared" si="7"/>
        <v>2024Q3</v>
      </c>
      <c r="B14" s="2">
        <f t="shared" si="8"/>
        <v>557.06700000000001</v>
      </c>
      <c r="C14" s="3">
        <f t="shared" si="8"/>
        <v>642.83799999999997</v>
      </c>
      <c r="D14" s="2">
        <f t="shared" si="8"/>
        <v>728.60900000000004</v>
      </c>
      <c r="E14" s="2">
        <f t="shared" si="9"/>
        <v>0.14899999999999999</v>
      </c>
      <c r="F14" s="3">
        <f t="shared" si="9"/>
        <v>0.17</v>
      </c>
      <c r="G14" s="2">
        <f t="shared" si="9"/>
        <v>0.191</v>
      </c>
      <c r="K14" s="14" t="s">
        <v>84</v>
      </c>
      <c r="L14" s="61">
        <v>647.50648171755597</v>
      </c>
      <c r="M14" s="61">
        <v>559.29143237107814</v>
      </c>
      <c r="N14" s="61">
        <v>735.7215310640338</v>
      </c>
      <c r="O14" s="1">
        <f t="shared" si="0"/>
        <v>559.29100000000005</v>
      </c>
      <c r="P14" s="1">
        <f t="shared" si="1"/>
        <v>647.50599999999997</v>
      </c>
      <c r="Q14" s="1">
        <f t="shared" si="2"/>
        <v>735.72199999999998</v>
      </c>
      <c r="R14" s="14" t="str">
        <f t="shared" si="6"/>
        <v>2024Q4</v>
      </c>
      <c r="S14" s="46">
        <v>0.1755975032633727</v>
      </c>
      <c r="T14" s="46">
        <v>0.15395492879834921</v>
      </c>
      <c r="U14" s="46">
        <v>0.19724007772839619</v>
      </c>
      <c r="V14" s="1">
        <f t="shared" si="3"/>
        <v>0.154</v>
      </c>
      <c r="W14" s="1">
        <f t="shared" si="4"/>
        <v>0.17599999999999999</v>
      </c>
      <c r="X14" s="1">
        <f t="shared" si="5"/>
        <v>0.19700000000000001</v>
      </c>
    </row>
    <row r="15" spans="1:30" ht="15.5" thickTop="1" thickBot="1" x14ac:dyDescent="0.4">
      <c r="A15" s="5" t="str">
        <f t="shared" si="7"/>
        <v>2024Q4</v>
      </c>
      <c r="B15" s="2">
        <f t="shared" si="8"/>
        <v>559.29100000000005</v>
      </c>
      <c r="C15" s="3">
        <f t="shared" si="8"/>
        <v>647.50599999999997</v>
      </c>
      <c r="D15" s="2">
        <f t="shared" si="8"/>
        <v>735.72199999999998</v>
      </c>
      <c r="E15" s="2">
        <f t="shared" si="9"/>
        <v>0.154</v>
      </c>
      <c r="F15" s="3">
        <f t="shared" si="9"/>
        <v>0.17599999999999999</v>
      </c>
      <c r="G15" s="2">
        <f t="shared" si="9"/>
        <v>0.19700000000000001</v>
      </c>
      <c r="K15" s="14" t="s">
        <v>81</v>
      </c>
      <c r="L15" s="61">
        <v>632.23739021955453</v>
      </c>
      <c r="M15" s="61">
        <v>541.75985399685067</v>
      </c>
      <c r="N15" s="61">
        <v>722.71492644225839</v>
      </c>
      <c r="O15" s="1">
        <f t="shared" si="0"/>
        <v>541.76</v>
      </c>
      <c r="P15" s="1">
        <f t="shared" si="1"/>
        <v>632.23699999999997</v>
      </c>
      <c r="Q15" s="1">
        <f t="shared" si="2"/>
        <v>722.71500000000003</v>
      </c>
      <c r="R15" s="14" t="str">
        <f t="shared" si="6"/>
        <v>2025Q1</v>
      </c>
      <c r="S15" s="46">
        <v>0.17170286172570834</v>
      </c>
      <c r="T15" s="46">
        <v>0.14910528070696252</v>
      </c>
      <c r="U15" s="46">
        <v>0.19430044274445415</v>
      </c>
      <c r="V15" s="1">
        <f t="shared" si="3"/>
        <v>0.14899999999999999</v>
      </c>
      <c r="W15" s="1">
        <f t="shared" si="4"/>
        <v>0.17199999999999999</v>
      </c>
      <c r="X15" s="1">
        <f t="shared" si="5"/>
        <v>0.19400000000000001</v>
      </c>
    </row>
    <row r="16" spans="1:30" ht="15.5" thickTop="1" thickBot="1" x14ac:dyDescent="0.4">
      <c r="A16" s="5" t="str">
        <f t="shared" si="7"/>
        <v>2025Q1</v>
      </c>
      <c r="B16" s="2">
        <f t="shared" si="8"/>
        <v>541.76</v>
      </c>
      <c r="C16" s="3">
        <f t="shared" si="8"/>
        <v>632.23699999999997</v>
      </c>
      <c r="D16" s="2">
        <f t="shared" si="8"/>
        <v>722.71500000000003</v>
      </c>
      <c r="E16" s="2">
        <f t="shared" si="9"/>
        <v>0.14899999999999999</v>
      </c>
      <c r="F16" s="3">
        <f t="shared" si="9"/>
        <v>0.17199999999999999</v>
      </c>
      <c r="G16" s="2">
        <f t="shared" si="9"/>
        <v>0.19400000000000001</v>
      </c>
      <c r="K16" s="14" t="s">
        <v>82</v>
      </c>
      <c r="L16" s="61">
        <v>659.63523386855309</v>
      </c>
      <c r="M16" s="61">
        <v>567.05791170953478</v>
      </c>
      <c r="N16" s="61">
        <v>752.2125560275714</v>
      </c>
      <c r="O16" s="1">
        <f t="shared" si="0"/>
        <v>567.05799999999999</v>
      </c>
      <c r="P16" s="1">
        <f t="shared" si="1"/>
        <v>659.63499999999999</v>
      </c>
      <c r="Q16" s="1">
        <f t="shared" si="2"/>
        <v>752.21299999999997</v>
      </c>
      <c r="R16" s="14" t="str">
        <f t="shared" si="6"/>
        <v>2025Q2</v>
      </c>
      <c r="S16" s="46">
        <v>0.17990523872961287</v>
      </c>
      <c r="T16" s="46">
        <v>0.15653083133833881</v>
      </c>
      <c r="U16" s="46">
        <v>0.20327964612088692</v>
      </c>
      <c r="V16" s="1">
        <f t="shared" si="3"/>
        <v>0.157</v>
      </c>
      <c r="W16" s="1">
        <f t="shared" si="4"/>
        <v>0.18</v>
      </c>
      <c r="X16" s="1">
        <f t="shared" si="5"/>
        <v>0.20300000000000001</v>
      </c>
    </row>
    <row r="17" spans="1:24" ht="15.5" thickTop="1" thickBot="1" x14ac:dyDescent="0.4">
      <c r="A17" s="5" t="str">
        <f t="shared" si="7"/>
        <v>2025Q2</v>
      </c>
      <c r="B17" s="2">
        <f t="shared" si="8"/>
        <v>567.05799999999999</v>
      </c>
      <c r="C17" s="3">
        <f t="shared" si="8"/>
        <v>659.63499999999999</v>
      </c>
      <c r="D17" s="2">
        <f t="shared" si="8"/>
        <v>752.21299999999997</v>
      </c>
      <c r="E17" s="2">
        <f t="shared" si="9"/>
        <v>0.157</v>
      </c>
      <c r="F17" s="3">
        <f t="shared" si="9"/>
        <v>0.18</v>
      </c>
      <c r="G17" s="2">
        <f t="shared" si="9"/>
        <v>0.20300000000000001</v>
      </c>
      <c r="K17" s="14" t="s">
        <v>83</v>
      </c>
      <c r="L17" s="61">
        <v>659.28986030116459</v>
      </c>
      <c r="M17" s="61">
        <v>564.75942158486635</v>
      </c>
      <c r="N17" s="61">
        <v>753.82029901746284</v>
      </c>
      <c r="O17" s="1">
        <f t="shared" si="0"/>
        <v>564.75900000000001</v>
      </c>
      <c r="P17" s="1">
        <f t="shared" si="1"/>
        <v>659.29</v>
      </c>
      <c r="Q17" s="1">
        <f t="shared" si="2"/>
        <v>753.82</v>
      </c>
      <c r="R17" s="14" t="str">
        <f t="shared" si="6"/>
        <v>2025Q3</v>
      </c>
      <c r="S17" s="46">
        <v>0.1761259307772543</v>
      </c>
      <c r="T17" s="46">
        <v>0.15186888022951509</v>
      </c>
      <c r="U17" s="46">
        <v>0.20038298132499352</v>
      </c>
      <c r="V17" s="1">
        <f t="shared" si="3"/>
        <v>0.152</v>
      </c>
      <c r="W17" s="1">
        <f t="shared" si="4"/>
        <v>0.17599999999999999</v>
      </c>
      <c r="X17" s="1">
        <f t="shared" si="5"/>
        <v>0.2</v>
      </c>
    </row>
    <row r="18" spans="1:24" ht="15.5" thickTop="1" thickBot="1" x14ac:dyDescent="0.4">
      <c r="A18" s="5" t="str">
        <f t="shared" si="7"/>
        <v>2025Q3</v>
      </c>
      <c r="B18" s="2">
        <f t="shared" si="8"/>
        <v>564.75900000000001</v>
      </c>
      <c r="C18" s="3">
        <f t="shared" si="8"/>
        <v>659.29</v>
      </c>
      <c r="D18" s="2">
        <f t="shared" si="8"/>
        <v>753.82</v>
      </c>
      <c r="E18" s="2">
        <f t="shared" si="9"/>
        <v>0.152</v>
      </c>
      <c r="F18" s="3">
        <f t="shared" si="9"/>
        <v>0.17599999999999999</v>
      </c>
      <c r="G18" s="2">
        <f t="shared" si="9"/>
        <v>0.2</v>
      </c>
      <c r="K18" s="14" t="s">
        <v>80</v>
      </c>
      <c r="L18" s="61">
        <v>664.06659090353389</v>
      </c>
      <c r="M18" s="61">
        <v>567.71594531051767</v>
      </c>
      <c r="N18" s="61">
        <v>760.41723649655012</v>
      </c>
      <c r="O18" s="1">
        <f t="shared" si="0"/>
        <v>567.71600000000001</v>
      </c>
      <c r="P18" s="1">
        <f t="shared" si="1"/>
        <v>664.06700000000001</v>
      </c>
      <c r="Q18" s="1">
        <f t="shared" si="2"/>
        <v>760.41700000000003</v>
      </c>
      <c r="R18" s="14" t="str">
        <f t="shared" si="6"/>
        <v>2025Q4</v>
      </c>
      <c r="S18" s="46">
        <v>0.18122775964566951</v>
      </c>
      <c r="T18" s="46">
        <v>0.1562417103358944</v>
      </c>
      <c r="U18" s="46">
        <v>0.20621380895544461</v>
      </c>
      <c r="V18" s="1">
        <f t="shared" si="3"/>
        <v>0.156</v>
      </c>
      <c r="W18" s="1">
        <f t="shared" si="4"/>
        <v>0.18099999999999999</v>
      </c>
      <c r="X18" s="1">
        <f t="shared" si="5"/>
        <v>0.20599999999999999</v>
      </c>
    </row>
    <row r="19" spans="1:24" ht="15.5" thickTop="1" thickBot="1" x14ac:dyDescent="0.4">
      <c r="A19" s="5" t="str">
        <f t="shared" si="7"/>
        <v>2025Q4</v>
      </c>
      <c r="B19" s="2">
        <f t="shared" si="8"/>
        <v>567.71600000000001</v>
      </c>
      <c r="C19" s="3">
        <f t="shared" si="8"/>
        <v>664.06700000000001</v>
      </c>
      <c r="D19" s="2">
        <f t="shared" si="8"/>
        <v>760.41700000000003</v>
      </c>
      <c r="E19" s="2">
        <f t="shared" si="9"/>
        <v>0.156</v>
      </c>
      <c r="F19" s="3">
        <f t="shared" si="9"/>
        <v>0.18099999999999999</v>
      </c>
      <c r="G19" s="2">
        <f t="shared" si="9"/>
        <v>0.20599999999999999</v>
      </c>
      <c r="K19" s="14" t="s">
        <v>92</v>
      </c>
      <c r="L19" s="61">
        <v>648.90286712201851</v>
      </c>
      <c r="M19" s="61">
        <v>550.85300032153441</v>
      </c>
      <c r="N19" s="61">
        <v>746.9527339225026</v>
      </c>
      <c r="O19" s="1">
        <f t="shared" si="0"/>
        <v>550.85299999999995</v>
      </c>
      <c r="P19" s="1">
        <f t="shared" si="1"/>
        <v>648.90300000000002</v>
      </c>
      <c r="Q19" s="1">
        <f t="shared" si="2"/>
        <v>746.95299999999997</v>
      </c>
      <c r="R19" s="14" t="str">
        <f t="shared" si="6"/>
        <v>2026Q1</v>
      </c>
      <c r="S19" s="46">
        <v>0.17760435389606438</v>
      </c>
      <c r="T19" s="46">
        <v>0.15179448793147357</v>
      </c>
      <c r="U19" s="46">
        <v>0.20341421986065519</v>
      </c>
      <c r="V19" s="1">
        <f t="shared" si="3"/>
        <v>0.152</v>
      </c>
      <c r="W19" s="1">
        <f t="shared" si="4"/>
        <v>0.17799999999999999</v>
      </c>
      <c r="X19" s="1">
        <f t="shared" si="5"/>
        <v>0.20300000000000001</v>
      </c>
    </row>
    <row r="20" spans="1:24" ht="15.5" thickTop="1" thickBot="1" x14ac:dyDescent="0.4">
      <c r="A20" s="5" t="str">
        <f t="shared" si="7"/>
        <v>2026Q1</v>
      </c>
      <c r="B20" s="2">
        <f t="shared" si="8"/>
        <v>550.85299999999995</v>
      </c>
      <c r="C20" s="3">
        <f t="shared" si="8"/>
        <v>648.90300000000002</v>
      </c>
      <c r="D20" s="2">
        <f t="shared" si="8"/>
        <v>746.95299999999997</v>
      </c>
      <c r="E20" s="2">
        <f t="shared" si="9"/>
        <v>0.152</v>
      </c>
      <c r="F20" s="3">
        <f t="shared" si="9"/>
        <v>0.17799999999999999</v>
      </c>
      <c r="G20" s="2">
        <f t="shared" si="9"/>
        <v>0.20300000000000001</v>
      </c>
      <c r="K20" s="14" t="s">
        <v>93</v>
      </c>
      <c r="L20" s="61">
        <v>676.40345073487674</v>
      </c>
      <c r="M20" s="61">
        <v>576.76492802525536</v>
      </c>
      <c r="N20" s="61">
        <v>776.04197344449813</v>
      </c>
      <c r="O20" s="1">
        <f t="shared" si="0"/>
        <v>576.76499999999999</v>
      </c>
      <c r="P20" s="1">
        <f t="shared" si="1"/>
        <v>676.40300000000002</v>
      </c>
      <c r="Q20" s="1">
        <f t="shared" si="2"/>
        <v>776.04200000000003</v>
      </c>
      <c r="R20" s="14" t="str">
        <f t="shared" si="6"/>
        <v>2026Q2</v>
      </c>
      <c r="S20" s="46">
        <v>0.18554378970397725</v>
      </c>
      <c r="T20" s="46">
        <v>0.15904430877953826</v>
      </c>
      <c r="U20" s="46">
        <v>0.21204327062841624</v>
      </c>
      <c r="V20" s="1">
        <f t="shared" si="3"/>
        <v>0.159</v>
      </c>
      <c r="W20" s="1">
        <f t="shared" si="4"/>
        <v>0.186</v>
      </c>
      <c r="X20" s="1">
        <f t="shared" si="5"/>
        <v>0.21199999999999999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576.76499999999999</v>
      </c>
      <c r="C21" s="3">
        <f t="shared" si="10"/>
        <v>676.40300000000002</v>
      </c>
      <c r="D21" s="2">
        <f t="shared" si="10"/>
        <v>776.04200000000003</v>
      </c>
      <c r="E21" s="2">
        <f t="shared" ref="E21:G35" si="11">V20</f>
        <v>0.159</v>
      </c>
      <c r="F21" s="3">
        <f t="shared" si="11"/>
        <v>0.186</v>
      </c>
      <c r="G21" s="2">
        <f t="shared" si="11"/>
        <v>0.21199999999999999</v>
      </c>
      <c r="K21" s="14" t="s">
        <v>94</v>
      </c>
      <c r="L21" s="61">
        <v>676.15825491192334</v>
      </c>
      <c r="M21" s="61">
        <v>575.03246782245731</v>
      </c>
      <c r="N21" s="61">
        <v>777.28404200138937</v>
      </c>
      <c r="O21" s="1">
        <f t="shared" si="0"/>
        <v>575.03200000000004</v>
      </c>
      <c r="P21" s="1">
        <f t="shared" si="1"/>
        <v>676.15800000000002</v>
      </c>
      <c r="Q21" s="1">
        <f t="shared" si="2"/>
        <v>777.28399999999999</v>
      </c>
      <c r="R21" s="14" t="str">
        <f t="shared" si="6"/>
        <v>2026Q3</v>
      </c>
      <c r="S21" s="46">
        <v>0.18201938201033532</v>
      </c>
      <c r="T21" s="46">
        <v>0.15474510636468405</v>
      </c>
      <c r="U21" s="46">
        <v>0.20929365765598659</v>
      </c>
      <c r="V21" s="1">
        <f t="shared" si="3"/>
        <v>0.155</v>
      </c>
      <c r="W21" s="1">
        <f t="shared" si="4"/>
        <v>0.182</v>
      </c>
      <c r="X21" s="1">
        <f t="shared" si="5"/>
        <v>0.20899999999999999</v>
      </c>
    </row>
    <row r="22" spans="1:24" ht="15.5" thickTop="1" thickBot="1" x14ac:dyDescent="0.4">
      <c r="A22" s="5" t="str">
        <f t="shared" si="7"/>
        <v>2026Q3</v>
      </c>
      <c r="B22" s="2">
        <f t="shared" si="10"/>
        <v>575.03200000000004</v>
      </c>
      <c r="C22" s="3">
        <f t="shared" si="10"/>
        <v>676.15800000000002</v>
      </c>
      <c r="D22" s="2">
        <f t="shared" si="10"/>
        <v>777.28399999999999</v>
      </c>
      <c r="E22" s="2">
        <f t="shared" si="11"/>
        <v>0.155</v>
      </c>
      <c r="F22" s="3">
        <f t="shared" si="11"/>
        <v>0.182</v>
      </c>
      <c r="G22" s="2">
        <f t="shared" si="11"/>
        <v>0.20899999999999999</v>
      </c>
      <c r="K22" s="14" t="s">
        <v>95</v>
      </c>
      <c r="L22" s="61">
        <v>681.03266493818114</v>
      </c>
      <c r="M22" s="61">
        <v>578.51287587906813</v>
      </c>
      <c r="N22" s="61">
        <v>783.55245399729415</v>
      </c>
      <c r="O22" s="1">
        <f t="shared" si="0"/>
        <v>578.51300000000003</v>
      </c>
      <c r="P22" s="1">
        <f t="shared" si="1"/>
        <v>681.03300000000002</v>
      </c>
      <c r="Q22" s="1">
        <f t="shared" si="2"/>
        <v>783.55200000000002</v>
      </c>
      <c r="R22" s="14" t="str">
        <f t="shared" si="6"/>
        <v>2026Q4</v>
      </c>
      <c r="S22" s="46">
        <v>0.18687410565946846</v>
      </c>
      <c r="T22" s="46">
        <v>0.1589433983755095</v>
      </c>
      <c r="U22" s="46">
        <v>0.21480481294342743</v>
      </c>
      <c r="V22" s="1">
        <f t="shared" si="3"/>
        <v>0.159</v>
      </c>
      <c r="W22" s="1">
        <f t="shared" si="4"/>
        <v>0.187</v>
      </c>
      <c r="X22" s="1">
        <f t="shared" si="5"/>
        <v>0.215</v>
      </c>
    </row>
    <row r="23" spans="1:24" ht="15.5" thickTop="1" thickBot="1" x14ac:dyDescent="0.4">
      <c r="A23" s="5" t="str">
        <f t="shared" si="7"/>
        <v>2026Q4</v>
      </c>
      <c r="B23" s="2">
        <f t="shared" si="10"/>
        <v>578.51300000000003</v>
      </c>
      <c r="C23" s="3">
        <f t="shared" si="10"/>
        <v>681.03300000000002</v>
      </c>
      <c r="D23" s="2">
        <f t="shared" si="10"/>
        <v>783.55200000000002</v>
      </c>
      <c r="E23" s="2">
        <f t="shared" si="11"/>
        <v>0.159</v>
      </c>
      <c r="F23" s="3">
        <f t="shared" si="11"/>
        <v>0.187</v>
      </c>
      <c r="G23" s="2">
        <f t="shared" si="11"/>
        <v>0.215</v>
      </c>
      <c r="K23" s="14" t="s">
        <v>96</v>
      </c>
      <c r="L23" s="61">
        <v>665.96418456531887</v>
      </c>
      <c r="M23" s="61">
        <v>562.13641068408822</v>
      </c>
      <c r="N23" s="61">
        <v>769.79195844654953</v>
      </c>
      <c r="O23" s="1">
        <f t="shared" si="0"/>
        <v>562.13599999999997</v>
      </c>
      <c r="P23" s="1">
        <f t="shared" si="1"/>
        <v>665.96400000000006</v>
      </c>
      <c r="Q23" s="1">
        <f t="shared" si="2"/>
        <v>769.79200000000003</v>
      </c>
      <c r="R23" s="14" t="str">
        <f t="shared" si="6"/>
        <v>2027Q1</v>
      </c>
      <c r="S23" s="46">
        <v>0.18349024846781253</v>
      </c>
      <c r="T23" s="46">
        <v>0.15482639467525691</v>
      </c>
      <c r="U23" s="46">
        <v>0.21215410226036815</v>
      </c>
      <c r="V23" s="1">
        <f t="shared" si="3"/>
        <v>0.155</v>
      </c>
      <c r="W23" s="1">
        <f t="shared" si="4"/>
        <v>0.183</v>
      </c>
      <c r="X23" s="1">
        <f t="shared" si="5"/>
        <v>0.21199999999999999</v>
      </c>
    </row>
    <row r="24" spans="1:24" ht="15.5" thickTop="1" thickBot="1" x14ac:dyDescent="0.4">
      <c r="A24" s="5" t="str">
        <f t="shared" si="7"/>
        <v>2027Q1</v>
      </c>
      <c r="B24" s="2">
        <f t="shared" si="10"/>
        <v>562.13599999999997</v>
      </c>
      <c r="C24" s="3">
        <f t="shared" si="10"/>
        <v>665.96400000000006</v>
      </c>
      <c r="D24" s="2">
        <f t="shared" si="10"/>
        <v>769.79200000000003</v>
      </c>
      <c r="E24" s="2">
        <f t="shared" si="11"/>
        <v>0.155</v>
      </c>
      <c r="F24" s="3">
        <f t="shared" si="11"/>
        <v>0.183</v>
      </c>
      <c r="G24" s="2">
        <f t="shared" si="11"/>
        <v>0.21199999999999999</v>
      </c>
      <c r="K24" s="14" t="s">
        <v>97</v>
      </c>
      <c r="L24" s="61">
        <v>693.55763632308151</v>
      </c>
      <c r="M24" s="61">
        <v>588.50140379756851</v>
      </c>
      <c r="N24" s="61">
        <v>798.61386884859451</v>
      </c>
      <c r="O24" s="1">
        <f t="shared" si="0"/>
        <v>588.50099999999998</v>
      </c>
      <c r="P24" s="1">
        <f t="shared" si="1"/>
        <v>693.55799999999999</v>
      </c>
      <c r="Q24" s="1">
        <f t="shared" si="2"/>
        <v>798.61400000000003</v>
      </c>
      <c r="R24" s="14" t="str">
        <f t="shared" si="6"/>
        <v>2027Q2</v>
      </c>
      <c r="S24" s="46">
        <v>0.19119746129078699</v>
      </c>
      <c r="T24" s="46">
        <v>0.16190565002397247</v>
      </c>
      <c r="U24" s="46">
        <v>0.22048927255760151</v>
      </c>
      <c r="V24" s="1">
        <f t="shared" si="3"/>
        <v>0.16200000000000001</v>
      </c>
      <c r="W24" s="1">
        <f t="shared" si="4"/>
        <v>0.191</v>
      </c>
      <c r="X24" s="1">
        <f t="shared" si="5"/>
        <v>0.22</v>
      </c>
    </row>
    <row r="25" spans="1:24" ht="15.5" thickTop="1" thickBot="1" x14ac:dyDescent="0.4">
      <c r="A25" s="5" t="str">
        <f t="shared" si="7"/>
        <v>2027Q2</v>
      </c>
      <c r="B25" s="2">
        <f t="shared" si="10"/>
        <v>588.50099999999998</v>
      </c>
      <c r="C25" s="3">
        <f t="shared" si="10"/>
        <v>693.55799999999999</v>
      </c>
      <c r="D25" s="2">
        <f t="shared" si="10"/>
        <v>798.61400000000003</v>
      </c>
      <c r="E25" s="2">
        <f t="shared" si="11"/>
        <v>0.16200000000000001</v>
      </c>
      <c r="F25" s="3">
        <f t="shared" si="11"/>
        <v>0.191</v>
      </c>
      <c r="G25" s="2">
        <f t="shared" si="11"/>
        <v>0.22</v>
      </c>
      <c r="K25" s="14" t="s">
        <v>98</v>
      </c>
      <c r="L25" s="61">
        <v>693.40299261769678</v>
      </c>
      <c r="M25" s="61">
        <v>587.19198541422213</v>
      </c>
      <c r="N25" s="61">
        <v>799.61399982117143</v>
      </c>
      <c r="O25" s="1">
        <f t="shared" si="0"/>
        <v>587.19200000000001</v>
      </c>
      <c r="P25" s="1">
        <f t="shared" si="1"/>
        <v>693.40300000000002</v>
      </c>
      <c r="Q25" s="1">
        <f t="shared" si="2"/>
        <v>799.61400000000003</v>
      </c>
      <c r="R25" s="14" t="str">
        <f t="shared" si="6"/>
        <v>2027Q3</v>
      </c>
      <c r="S25" s="46">
        <v>0.18789817503054204</v>
      </c>
      <c r="T25" s="46">
        <v>0.15790915292873947</v>
      </c>
      <c r="U25" s="46">
        <v>0.21788719713234461</v>
      </c>
      <c r="V25" s="1">
        <f t="shared" si="3"/>
        <v>0.158</v>
      </c>
      <c r="W25" s="1">
        <f t="shared" si="4"/>
        <v>0.188</v>
      </c>
      <c r="X25" s="1">
        <f t="shared" si="5"/>
        <v>0.218</v>
      </c>
    </row>
    <row r="26" spans="1:24" ht="15.5" thickTop="1" thickBot="1" x14ac:dyDescent="0.4">
      <c r="A26" s="5" t="str">
        <f t="shared" si="7"/>
        <v>2027Q3</v>
      </c>
      <c r="B26" s="2">
        <f t="shared" si="10"/>
        <v>587.19200000000001</v>
      </c>
      <c r="C26" s="3">
        <f t="shared" si="10"/>
        <v>693.40300000000002</v>
      </c>
      <c r="D26" s="2">
        <f t="shared" si="10"/>
        <v>799.61400000000003</v>
      </c>
      <c r="E26" s="2">
        <f t="shared" si="11"/>
        <v>0.158</v>
      </c>
      <c r="F26" s="3">
        <f t="shared" si="11"/>
        <v>0.188</v>
      </c>
      <c r="G26" s="2">
        <f t="shared" si="11"/>
        <v>0.218</v>
      </c>
      <c r="K26" s="14" t="s">
        <v>99</v>
      </c>
      <c r="L26" s="61">
        <v>698.36569649331057</v>
      </c>
      <c r="M26" s="61">
        <v>591.06831831256056</v>
      </c>
      <c r="N26" s="61">
        <v>805.66307467406057</v>
      </c>
      <c r="O26" s="1">
        <f t="shared" si="0"/>
        <v>591.06799999999998</v>
      </c>
      <c r="P26" s="1">
        <f t="shared" si="1"/>
        <v>698.36599999999999</v>
      </c>
      <c r="Q26" s="1">
        <f t="shared" si="2"/>
        <v>805.66300000000001</v>
      </c>
      <c r="R26" s="14" t="str">
        <f t="shared" si="6"/>
        <v>2027Q4</v>
      </c>
      <c r="S26" s="46">
        <v>0.19253466162709335</v>
      </c>
      <c r="T26" s="46">
        <v>0.16194248158930816</v>
      </c>
      <c r="U26" s="46">
        <v>0.22312684166487853</v>
      </c>
      <c r="V26" s="1">
        <f t="shared" si="3"/>
        <v>0.16200000000000001</v>
      </c>
      <c r="W26" s="1">
        <f t="shared" si="4"/>
        <v>0.193</v>
      </c>
      <c r="X26" s="1">
        <f t="shared" si="5"/>
        <v>0.223</v>
      </c>
    </row>
    <row r="27" spans="1:24" ht="15.5" thickTop="1" thickBot="1" x14ac:dyDescent="0.4">
      <c r="A27" s="5" t="str">
        <f t="shared" si="7"/>
        <v>2027Q4</v>
      </c>
      <c r="B27" s="2">
        <f t="shared" si="10"/>
        <v>591.06799999999998</v>
      </c>
      <c r="C27" s="3">
        <f t="shared" si="10"/>
        <v>698.36599999999999</v>
      </c>
      <c r="D27" s="2">
        <f t="shared" si="10"/>
        <v>805.66300000000001</v>
      </c>
      <c r="E27" s="2">
        <f t="shared" si="11"/>
        <v>0.16200000000000001</v>
      </c>
      <c r="F27" s="3">
        <f t="shared" si="11"/>
        <v>0.193</v>
      </c>
      <c r="G27" s="2">
        <f t="shared" si="11"/>
        <v>0.223</v>
      </c>
      <c r="K27" s="14" t="s">
        <v>100</v>
      </c>
      <c r="L27" s="61">
        <v>683.38330802026701</v>
      </c>
      <c r="M27" s="61">
        <v>575.06317218752349</v>
      </c>
      <c r="N27" s="61">
        <v>791.70344385301053</v>
      </c>
      <c r="O27" s="1">
        <f t="shared" si="0"/>
        <v>575.06299999999999</v>
      </c>
      <c r="P27" s="1">
        <f t="shared" si="1"/>
        <v>683.38300000000004</v>
      </c>
      <c r="Q27" s="1">
        <f t="shared" si="2"/>
        <v>791.70299999999997</v>
      </c>
      <c r="R27" s="14" t="str">
        <f t="shared" si="6"/>
        <v>2028Q1</v>
      </c>
      <c r="S27" s="46">
        <v>0.18936236763668812</v>
      </c>
      <c r="T27" s="46">
        <v>0.1581043794354173</v>
      </c>
      <c r="U27" s="46">
        <v>0.22062035583795894</v>
      </c>
      <c r="V27" s="1">
        <f t="shared" si="3"/>
        <v>0.158</v>
      </c>
      <c r="W27" s="1">
        <f t="shared" si="4"/>
        <v>0.189</v>
      </c>
      <c r="X27" s="1">
        <f t="shared" si="5"/>
        <v>0.221</v>
      </c>
    </row>
    <row r="28" spans="1:24" ht="15.5" thickTop="1" thickBot="1" x14ac:dyDescent="0.4">
      <c r="A28" s="5" t="str">
        <f t="shared" si="7"/>
        <v>2028Q1</v>
      </c>
      <c r="B28" s="2">
        <f t="shared" si="10"/>
        <v>575.06299999999999</v>
      </c>
      <c r="C28" s="3">
        <f t="shared" si="10"/>
        <v>683.38300000000004</v>
      </c>
      <c r="D28" s="2">
        <f t="shared" si="10"/>
        <v>791.70299999999997</v>
      </c>
      <c r="E28" s="2">
        <f t="shared" si="11"/>
        <v>0.158</v>
      </c>
      <c r="F28" s="3">
        <f t="shared" si="11"/>
        <v>0.189</v>
      </c>
      <c r="G28" s="2">
        <f t="shared" si="11"/>
        <v>0.221</v>
      </c>
      <c r="K28" s="14" t="s">
        <v>101</v>
      </c>
      <c r="L28" s="61">
        <v>711.06070464246204</v>
      </c>
      <c r="M28" s="61">
        <v>601.77706369594296</v>
      </c>
      <c r="N28" s="61">
        <v>820.34434558898113</v>
      </c>
      <c r="O28" s="1">
        <f t="shared" si="0"/>
        <v>601.77700000000004</v>
      </c>
      <c r="P28" s="1">
        <f t="shared" si="1"/>
        <v>711.06100000000004</v>
      </c>
      <c r="Q28" s="1">
        <f t="shared" si="2"/>
        <v>820.34400000000005</v>
      </c>
      <c r="R28" s="14" t="str">
        <f t="shared" si="6"/>
        <v>2028Q2</v>
      </c>
      <c r="S28" s="46">
        <v>0.19686448701840722</v>
      </c>
      <c r="T28" s="46">
        <v>0.16502520855368963</v>
      </c>
      <c r="U28" s="46">
        <v>0.22870376548312482</v>
      </c>
      <c r="V28" s="1">
        <f t="shared" si="3"/>
        <v>0.16500000000000001</v>
      </c>
      <c r="W28" s="1">
        <f t="shared" si="4"/>
        <v>0.19700000000000001</v>
      </c>
      <c r="X28" s="1">
        <f t="shared" si="5"/>
        <v>0.22900000000000001</v>
      </c>
    </row>
    <row r="29" spans="1:24" ht="15.5" thickTop="1" thickBot="1" x14ac:dyDescent="0.4">
      <c r="A29" s="5" t="str">
        <f t="shared" si="7"/>
        <v>2028Q2</v>
      </c>
      <c r="B29" s="2">
        <f t="shared" si="10"/>
        <v>601.77700000000004</v>
      </c>
      <c r="C29" s="3">
        <f t="shared" si="10"/>
        <v>711.06100000000004</v>
      </c>
      <c r="D29" s="2">
        <f t="shared" si="10"/>
        <v>820.34400000000005</v>
      </c>
      <c r="E29" s="2">
        <f t="shared" si="11"/>
        <v>0.16500000000000001</v>
      </c>
      <c r="F29" s="3">
        <f t="shared" si="11"/>
        <v>0.19700000000000001</v>
      </c>
      <c r="G29" s="2">
        <f t="shared" si="11"/>
        <v>0.22900000000000001</v>
      </c>
      <c r="K29" s="14" t="s">
        <v>102</v>
      </c>
      <c r="L29" s="61">
        <v>710.98791231077689</v>
      </c>
      <c r="M29" s="61">
        <v>600.79603674086536</v>
      </c>
      <c r="N29" s="61">
        <v>821.17978788068842</v>
      </c>
      <c r="O29" s="1">
        <f t="shared" si="0"/>
        <v>600.79600000000005</v>
      </c>
      <c r="P29" s="1">
        <f t="shared" si="1"/>
        <v>710.98800000000006</v>
      </c>
      <c r="Q29" s="1">
        <f t="shared" si="2"/>
        <v>821.18</v>
      </c>
      <c r="R29" s="14" t="str">
        <f t="shared" si="6"/>
        <v>2028Q3</v>
      </c>
      <c r="S29" s="46">
        <v>0.19376402228949335</v>
      </c>
      <c r="T29" s="46">
        <v>0.16128666945890419</v>
      </c>
      <c r="U29" s="46">
        <v>0.22624137512008252</v>
      </c>
      <c r="V29" s="1">
        <f t="shared" si="3"/>
        <v>0.161</v>
      </c>
      <c r="W29" s="1">
        <f t="shared" si="4"/>
        <v>0.19400000000000001</v>
      </c>
      <c r="X29" s="1">
        <f t="shared" si="5"/>
        <v>0.22600000000000001</v>
      </c>
    </row>
    <row r="30" spans="1:24" ht="15.5" thickTop="1" thickBot="1" x14ac:dyDescent="0.4">
      <c r="A30" s="5" t="str">
        <f t="shared" si="7"/>
        <v>2028Q3</v>
      </c>
      <c r="B30" s="2">
        <f t="shared" si="10"/>
        <v>600.79600000000005</v>
      </c>
      <c r="C30" s="3">
        <f t="shared" si="10"/>
        <v>710.98800000000006</v>
      </c>
      <c r="D30" s="2">
        <f t="shared" si="10"/>
        <v>821.18</v>
      </c>
      <c r="E30" s="2">
        <f t="shared" si="11"/>
        <v>0.161</v>
      </c>
      <c r="F30" s="3">
        <f t="shared" si="11"/>
        <v>0.19400000000000001</v>
      </c>
      <c r="G30" s="2">
        <f t="shared" si="11"/>
        <v>0.22600000000000001</v>
      </c>
      <c r="K30" s="14" t="s">
        <v>103</v>
      </c>
      <c r="L30" s="61">
        <v>716.03042627866751</v>
      </c>
      <c r="M30" s="61">
        <v>604.98194008824987</v>
      </c>
      <c r="N30" s="61">
        <v>827.07891246908514</v>
      </c>
      <c r="O30" s="1">
        <f t="shared" si="0"/>
        <v>604.98199999999997</v>
      </c>
      <c r="P30" s="1">
        <f t="shared" si="1"/>
        <v>716.03</v>
      </c>
      <c r="Q30" s="1">
        <f t="shared" si="2"/>
        <v>827.07899999999995</v>
      </c>
      <c r="R30" s="14" t="str">
        <f t="shared" si="6"/>
        <v>2028Q4</v>
      </c>
      <c r="S30" s="46">
        <v>0.19820776746496907</v>
      </c>
      <c r="T30" s="46">
        <v>0.16516860880262424</v>
      </c>
      <c r="U30" s="46">
        <v>0.2312469261273139</v>
      </c>
      <c r="V30" s="1">
        <f t="shared" si="3"/>
        <v>0.16500000000000001</v>
      </c>
      <c r="W30" s="1">
        <f t="shared" si="4"/>
        <v>0.19800000000000001</v>
      </c>
      <c r="X30" s="1">
        <f t="shared" si="5"/>
        <v>0.23100000000000001</v>
      </c>
    </row>
    <row r="31" spans="1:24" ht="15.5" thickTop="1" thickBot="1" x14ac:dyDescent="0.4">
      <c r="A31" s="5" t="str">
        <f t="shared" si="7"/>
        <v>2028Q4</v>
      </c>
      <c r="B31" s="2">
        <f t="shared" si="10"/>
        <v>604.98199999999997</v>
      </c>
      <c r="C31" s="3">
        <f t="shared" si="10"/>
        <v>716.03</v>
      </c>
      <c r="D31" s="2">
        <f t="shared" si="10"/>
        <v>827.07899999999995</v>
      </c>
      <c r="E31" s="2">
        <f t="shared" si="11"/>
        <v>0.16500000000000001</v>
      </c>
      <c r="F31" s="3">
        <f t="shared" si="11"/>
        <v>0.19800000000000001</v>
      </c>
      <c r="G31" s="2">
        <f t="shared" si="11"/>
        <v>0.23100000000000001</v>
      </c>
      <c r="K31" s="14" t="s">
        <v>104</v>
      </c>
      <c r="L31" s="61">
        <v>701.12585752374639</v>
      </c>
      <c r="M31" s="61">
        <v>589.26903688493383</v>
      </c>
      <c r="N31" s="61">
        <v>812.98267816255895</v>
      </c>
      <c r="O31" s="1">
        <f t="shared" si="0"/>
        <v>589.26900000000001</v>
      </c>
      <c r="P31" s="1">
        <f t="shared" si="1"/>
        <v>701.12599999999998</v>
      </c>
      <c r="Q31" s="1">
        <f t="shared" si="2"/>
        <v>812.98299999999995</v>
      </c>
      <c r="R31" s="14" t="str">
        <f t="shared" si="6"/>
        <v>2029Q1</v>
      </c>
      <c r="S31" s="46">
        <v>0.19522232071967616</v>
      </c>
      <c r="T31" s="46">
        <v>0.16156980234430571</v>
      </c>
      <c r="U31" s="46">
        <v>0.22887483909504661</v>
      </c>
      <c r="V31" s="1">
        <f t="shared" si="3"/>
        <v>0.16200000000000001</v>
      </c>
      <c r="W31" s="1">
        <f t="shared" si="4"/>
        <v>0.19500000000000001</v>
      </c>
      <c r="X31" s="1">
        <f t="shared" si="5"/>
        <v>0.22900000000000001</v>
      </c>
    </row>
    <row r="32" spans="1:24" ht="15.5" thickTop="1" thickBot="1" x14ac:dyDescent="0.4">
      <c r="A32" s="5" t="str">
        <f t="shared" si="7"/>
        <v>2029Q1</v>
      </c>
      <c r="B32" s="2">
        <f t="shared" si="10"/>
        <v>589.26900000000001</v>
      </c>
      <c r="C32" s="3">
        <f t="shared" si="10"/>
        <v>701.12599999999998</v>
      </c>
      <c r="D32" s="2">
        <f t="shared" si="10"/>
        <v>812.98299999999995</v>
      </c>
      <c r="E32" s="2">
        <f t="shared" si="11"/>
        <v>0.16200000000000001</v>
      </c>
      <c r="F32" s="3">
        <f t="shared" si="11"/>
        <v>0.19500000000000001</v>
      </c>
      <c r="G32" s="2">
        <f t="shared" si="11"/>
        <v>0.22900000000000001</v>
      </c>
      <c r="K32" s="14" t="s">
        <v>105</v>
      </c>
      <c r="L32" s="61">
        <v>728.8791331276077</v>
      </c>
      <c r="M32" s="61">
        <v>616.25917330823313</v>
      </c>
      <c r="N32" s="61">
        <v>841.49909294698227</v>
      </c>
      <c r="O32" s="1">
        <f t="shared" si="0"/>
        <v>616.25900000000001</v>
      </c>
      <c r="P32" s="1">
        <f t="shared" si="1"/>
        <v>728.87900000000002</v>
      </c>
      <c r="Q32" s="1">
        <f t="shared" si="2"/>
        <v>841.49900000000002</v>
      </c>
      <c r="R32" s="14" t="str">
        <f t="shared" si="6"/>
        <v>2029Q2</v>
      </c>
      <c r="S32" s="46">
        <v>0.20254330678396285</v>
      </c>
      <c r="T32" s="46">
        <v>0.16834649877189331</v>
      </c>
      <c r="U32" s="46">
        <v>0.23674011479603238</v>
      </c>
      <c r="V32" s="1">
        <f t="shared" si="3"/>
        <v>0.16800000000000001</v>
      </c>
      <c r="W32" s="1">
        <f t="shared" si="4"/>
        <v>0.20300000000000001</v>
      </c>
      <c r="X32" s="1">
        <f t="shared" si="5"/>
        <v>0.23699999999999999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616.25900000000001</v>
      </c>
      <c r="C33" s="3">
        <f t="shared" si="10"/>
        <v>728.87900000000002</v>
      </c>
      <c r="D33" s="2">
        <f t="shared" si="10"/>
        <v>841.49900000000002</v>
      </c>
      <c r="E33" s="2">
        <f t="shared" si="11"/>
        <v>0.16800000000000001</v>
      </c>
      <c r="F33" s="3">
        <f t="shared" si="11"/>
        <v>0.20300000000000001</v>
      </c>
      <c r="G33" s="2">
        <f t="shared" si="11"/>
        <v>0.23699999999999999</v>
      </c>
      <c r="K33" s="14" t="s">
        <v>106</v>
      </c>
      <c r="L33" s="61">
        <v>728.8803274409222</v>
      </c>
      <c r="M33" s="61">
        <v>615.5395822962339</v>
      </c>
      <c r="N33" s="61">
        <v>842.2210725856105</v>
      </c>
      <c r="O33" s="1">
        <f t="shared" si="0"/>
        <v>615.54</v>
      </c>
      <c r="P33" s="1">
        <f t="shared" si="1"/>
        <v>728.88</v>
      </c>
      <c r="Q33" s="1">
        <f t="shared" si="2"/>
        <v>842.221</v>
      </c>
      <c r="R33" s="14" t="str">
        <f t="shared" si="6"/>
        <v>2029Q3</v>
      </c>
      <c r="S33" s="46">
        <v>0.19961843618095837</v>
      </c>
      <c r="T33" s="46">
        <v>0.16483046333329079</v>
      </c>
      <c r="U33" s="46">
        <v>0.23440640902862594</v>
      </c>
      <c r="V33" s="1">
        <f t="shared" si="3"/>
        <v>0.16500000000000001</v>
      </c>
      <c r="W33" s="1">
        <f t="shared" si="4"/>
        <v>0.2</v>
      </c>
      <c r="X33" s="1">
        <f t="shared" si="5"/>
        <v>0.23400000000000001</v>
      </c>
    </row>
    <row r="34" spans="1:24" ht="15.5" thickTop="1" thickBot="1" x14ac:dyDescent="0.4">
      <c r="A34" s="5" t="str">
        <f t="shared" si="7"/>
        <v>2029Q3</v>
      </c>
      <c r="B34" s="2">
        <f t="shared" si="10"/>
        <v>615.54</v>
      </c>
      <c r="C34" s="3">
        <f t="shared" si="10"/>
        <v>728.88</v>
      </c>
      <c r="D34" s="2">
        <f t="shared" si="10"/>
        <v>842.221</v>
      </c>
      <c r="E34" s="2">
        <f t="shared" si="11"/>
        <v>0.16500000000000001</v>
      </c>
      <c r="F34" s="3">
        <f t="shared" si="11"/>
        <v>0.2</v>
      </c>
      <c r="G34" s="2">
        <f t="shared" si="11"/>
        <v>0.23400000000000001</v>
      </c>
      <c r="K34" s="14" t="s">
        <v>107</v>
      </c>
      <c r="L34" s="61">
        <v>733.99498290989948</v>
      </c>
      <c r="M34" s="61">
        <v>619.97318052963544</v>
      </c>
      <c r="N34" s="61">
        <v>848.01678529016351</v>
      </c>
      <c r="O34" s="1">
        <f t="shared" si="0"/>
        <v>619.97299999999996</v>
      </c>
      <c r="P34" s="1">
        <f t="shared" si="1"/>
        <v>733.995</v>
      </c>
      <c r="Q34" s="1">
        <f t="shared" si="2"/>
        <v>848.01700000000005</v>
      </c>
      <c r="R34" s="14" t="str">
        <f t="shared" si="6"/>
        <v>2029Q4</v>
      </c>
      <c r="S34" s="46">
        <v>0.20389195702945243</v>
      </c>
      <c r="T34" s="46">
        <v>0.16857556287396253</v>
      </c>
      <c r="U34" s="46">
        <v>0.23920835118494232</v>
      </c>
      <c r="V34" s="1">
        <f t="shared" si="3"/>
        <v>0.16900000000000001</v>
      </c>
      <c r="W34" s="1">
        <f t="shared" si="4"/>
        <v>0.20399999999999999</v>
      </c>
      <c r="X34" s="1">
        <f t="shared" si="5"/>
        <v>0.23899999999999999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619.97299999999996</v>
      </c>
      <c r="C35" s="3">
        <f t="shared" si="10"/>
        <v>733.995</v>
      </c>
      <c r="D35" s="2">
        <f t="shared" si="10"/>
        <v>848.01700000000005</v>
      </c>
      <c r="E35" s="2">
        <f t="shared" si="11"/>
        <v>0.16900000000000001</v>
      </c>
      <c r="F35" s="3">
        <f t="shared" si="11"/>
        <v>0.20399999999999999</v>
      </c>
      <c r="G35" s="2">
        <f t="shared" si="11"/>
        <v>0.23899999999999999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663.22575000000006</v>
      </c>
      <c r="F38" s="1">
        <f>AVERAGE(F4:F35)</f>
        <v>0.18015625000000002</v>
      </c>
    </row>
    <row r="40" spans="1:24" ht="12.5" thickBot="1" x14ac:dyDescent="0.35"/>
    <row r="41" spans="1:24" ht="15.5" thickTop="1" thickBot="1" x14ac:dyDescent="0.4">
      <c r="A41" s="29" t="s">
        <v>52</v>
      </c>
      <c r="B41" s="30"/>
      <c r="C41" s="30"/>
      <c r="D41" s="30"/>
      <c r="E41" s="30"/>
      <c r="F41" s="30"/>
      <c r="G41" s="30"/>
      <c r="K41" s="29" t="s">
        <v>27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574.803</v>
      </c>
      <c r="D44" s="6"/>
      <c r="E44" s="6"/>
      <c r="F44" s="9">
        <f>ROUND(F4-((G4-F4)*(0.5/2)),3)</f>
        <v>0.152</v>
      </c>
      <c r="G44" s="6"/>
      <c r="K44" s="7" t="str">
        <f>A4</f>
        <v>2022Q1</v>
      </c>
      <c r="L44" s="6"/>
      <c r="M44" s="9">
        <f>ROUND(C4-((D4-C4)*(1/2)),3)</f>
        <v>564.54600000000005</v>
      </c>
      <c r="N44" s="6"/>
      <c r="O44" s="6"/>
      <c r="P44" s="9">
        <f>ROUND(F4-((G4-F4)*(1/2)),3)</f>
        <v>0.151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599.86199999999997</v>
      </c>
      <c r="D45" s="6"/>
      <c r="E45" s="6"/>
      <c r="F45" s="9">
        <f t="shared" ref="F45:F75" si="14">ROUND(F5-((G5-F5)*(0.5/2)),3)</f>
        <v>0.161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587.64599999999996</v>
      </c>
      <c r="N45" s="6"/>
      <c r="O45" s="6"/>
      <c r="P45" s="9">
        <f t="shared" ref="P45:P75" si="17">ROUND(F5-((G5-F5)*(1/2)),3)</f>
        <v>0.159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597.53899999999999</v>
      </c>
      <c r="D46" s="6"/>
      <c r="E46" s="6"/>
      <c r="F46" s="9">
        <f t="shared" si="14"/>
        <v>0.155</v>
      </c>
      <c r="G46" s="6"/>
      <c r="K46" s="7" t="str">
        <f t="shared" si="15"/>
        <v>2022Q3</v>
      </c>
      <c r="L46" s="6"/>
      <c r="M46" s="9">
        <f t="shared" si="16"/>
        <v>583.71500000000003</v>
      </c>
      <c r="N46" s="6"/>
      <c r="O46" s="6"/>
      <c r="P46" s="9">
        <f t="shared" si="17"/>
        <v>0.153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600.58500000000004</v>
      </c>
      <c r="D47" s="6"/>
      <c r="E47" s="6"/>
      <c r="F47" s="9">
        <f t="shared" si="14"/>
        <v>0.161</v>
      </c>
      <c r="G47" s="6"/>
      <c r="K47" s="7" t="str">
        <f t="shared" si="15"/>
        <v>2022Q4</v>
      </c>
      <c r="L47" s="6"/>
      <c r="M47" s="9">
        <f t="shared" si="16"/>
        <v>585.38800000000003</v>
      </c>
      <c r="N47" s="6"/>
      <c r="O47" s="6"/>
      <c r="P47" s="9">
        <f t="shared" si="17"/>
        <v>0.158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583.87300000000005</v>
      </c>
      <c r="D48" s="6"/>
      <c r="E48" s="6"/>
      <c r="F48" s="9">
        <f t="shared" si="14"/>
        <v>0.157</v>
      </c>
      <c r="G48" s="6"/>
      <c r="K48" s="7" t="str">
        <f t="shared" si="15"/>
        <v>2023Q1</v>
      </c>
      <c r="L48" s="6"/>
      <c r="M48" s="9">
        <f t="shared" si="16"/>
        <v>567.47799999999995</v>
      </c>
      <c r="N48" s="6"/>
      <c r="O48" s="6"/>
      <c r="P48" s="9">
        <f t="shared" si="17"/>
        <v>0.153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609.96699999999998</v>
      </c>
      <c r="D49" s="6"/>
      <c r="E49" s="6"/>
      <c r="F49" s="9">
        <f t="shared" si="14"/>
        <v>0.16500000000000001</v>
      </c>
      <c r="G49" s="6"/>
      <c r="K49" s="7" t="str">
        <f t="shared" si="15"/>
        <v>2023Q2</v>
      </c>
      <c r="L49" s="6"/>
      <c r="M49" s="9">
        <f t="shared" si="16"/>
        <v>592.51</v>
      </c>
      <c r="N49" s="6"/>
      <c r="O49" s="6"/>
      <c r="P49" s="9">
        <f t="shared" si="17"/>
        <v>0.16200000000000001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608.43499999999995</v>
      </c>
      <c r="D50" s="6"/>
      <c r="E50" s="6"/>
      <c r="F50" s="9">
        <f t="shared" si="14"/>
        <v>0.16</v>
      </c>
      <c r="G50" s="6"/>
      <c r="K50" s="7" t="str">
        <f t="shared" si="15"/>
        <v>2023Q3</v>
      </c>
      <c r="L50" s="6"/>
      <c r="M50" s="9">
        <f t="shared" si="16"/>
        <v>590.02300000000002</v>
      </c>
      <c r="N50" s="6"/>
      <c r="O50" s="6"/>
      <c r="P50" s="9">
        <f t="shared" si="17"/>
        <v>0.156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612.12</v>
      </c>
      <c r="D51" s="6"/>
      <c r="E51" s="6"/>
      <c r="F51" s="9">
        <f t="shared" si="14"/>
        <v>0.16600000000000001</v>
      </c>
      <c r="G51" s="6"/>
      <c r="K51" s="7" t="str">
        <f t="shared" si="15"/>
        <v>2023Q4</v>
      </c>
      <c r="L51" s="6"/>
      <c r="M51" s="9">
        <f t="shared" si="16"/>
        <v>592.846</v>
      </c>
      <c r="N51" s="6"/>
      <c r="O51" s="6"/>
      <c r="P51" s="9">
        <f t="shared" si="17"/>
        <v>0.161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595.94899999999996</v>
      </c>
      <c r="D52" s="6"/>
      <c r="E52" s="6"/>
      <c r="F52" s="9">
        <f t="shared" si="14"/>
        <v>0.161</v>
      </c>
      <c r="G52" s="6"/>
      <c r="K52" s="7" t="str">
        <f t="shared" si="15"/>
        <v>2024Q1</v>
      </c>
      <c r="L52" s="6"/>
      <c r="M52" s="9">
        <f t="shared" si="16"/>
        <v>575.88900000000001</v>
      </c>
      <c r="N52" s="6"/>
      <c r="O52" s="6"/>
      <c r="P52" s="9">
        <f t="shared" si="17"/>
        <v>0.157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622.51300000000003</v>
      </c>
      <c r="D53" s="6"/>
      <c r="E53" s="6"/>
      <c r="F53" s="9">
        <f t="shared" si="14"/>
        <v>0.16900000000000001</v>
      </c>
      <c r="G53" s="6"/>
      <c r="K53" s="7" t="str">
        <f t="shared" si="15"/>
        <v>2024Q2</v>
      </c>
      <c r="L53" s="6"/>
      <c r="M53" s="9">
        <f t="shared" si="16"/>
        <v>601.73299999999995</v>
      </c>
      <c r="N53" s="6"/>
      <c r="O53" s="6"/>
      <c r="P53" s="9">
        <f t="shared" si="17"/>
        <v>0.16400000000000001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621.39499999999998</v>
      </c>
      <c r="D54" s="6"/>
      <c r="E54" s="6"/>
      <c r="F54" s="9">
        <f t="shared" si="14"/>
        <v>0.16500000000000001</v>
      </c>
      <c r="G54" s="6"/>
      <c r="K54" s="7" t="str">
        <f t="shared" si="15"/>
        <v>2024Q3</v>
      </c>
      <c r="L54" s="6"/>
      <c r="M54" s="9">
        <f t="shared" si="16"/>
        <v>599.95299999999997</v>
      </c>
      <c r="N54" s="6"/>
      <c r="O54" s="6"/>
      <c r="P54" s="9">
        <f t="shared" si="17"/>
        <v>0.16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625.452</v>
      </c>
      <c r="D55" s="6"/>
      <c r="E55" s="6"/>
      <c r="F55" s="9">
        <f t="shared" si="14"/>
        <v>0.17100000000000001</v>
      </c>
      <c r="G55" s="6"/>
      <c r="K55" s="7" t="str">
        <f t="shared" si="15"/>
        <v>2024Q4</v>
      </c>
      <c r="L55" s="6"/>
      <c r="M55" s="9">
        <f t="shared" si="16"/>
        <v>603.39800000000002</v>
      </c>
      <c r="N55" s="6"/>
      <c r="O55" s="6"/>
      <c r="P55" s="9">
        <f t="shared" si="17"/>
        <v>0.16600000000000001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609.61800000000005</v>
      </c>
      <c r="D56" s="6"/>
      <c r="E56" s="6"/>
      <c r="F56" s="9">
        <f t="shared" si="14"/>
        <v>0.16700000000000001</v>
      </c>
      <c r="G56" s="6"/>
      <c r="K56" s="7" t="str">
        <f t="shared" si="15"/>
        <v>2025Q1</v>
      </c>
      <c r="L56" s="6"/>
      <c r="M56" s="9">
        <f t="shared" si="16"/>
        <v>586.99800000000005</v>
      </c>
      <c r="N56" s="6"/>
      <c r="O56" s="6"/>
      <c r="P56" s="9">
        <f t="shared" si="17"/>
        <v>0.161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636.49099999999999</v>
      </c>
      <c r="D57" s="6"/>
      <c r="E57" s="6"/>
      <c r="F57" s="9">
        <f t="shared" si="14"/>
        <v>0.17399999999999999</v>
      </c>
      <c r="G57" s="6"/>
      <c r="K57" s="7" t="str">
        <f t="shared" si="15"/>
        <v>2025Q2</v>
      </c>
      <c r="L57" s="6"/>
      <c r="M57" s="9">
        <f t="shared" si="16"/>
        <v>613.346</v>
      </c>
      <c r="N57" s="6"/>
      <c r="O57" s="6"/>
      <c r="P57" s="9">
        <f t="shared" si="17"/>
        <v>0.16900000000000001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635.65800000000002</v>
      </c>
      <c r="D58" s="6"/>
      <c r="E58" s="6"/>
      <c r="F58" s="9">
        <f t="shared" si="14"/>
        <v>0.17</v>
      </c>
      <c r="G58" s="6"/>
      <c r="K58" s="7" t="str">
        <f t="shared" si="15"/>
        <v>2025Q3</v>
      </c>
      <c r="L58" s="6"/>
      <c r="M58" s="9">
        <f t="shared" si="16"/>
        <v>612.02499999999998</v>
      </c>
      <c r="N58" s="6"/>
      <c r="O58" s="6"/>
      <c r="P58" s="9">
        <f t="shared" si="17"/>
        <v>0.16400000000000001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639.98</v>
      </c>
      <c r="D59" s="6"/>
      <c r="E59" s="6"/>
      <c r="F59" s="9">
        <f t="shared" si="14"/>
        <v>0.17499999999999999</v>
      </c>
      <c r="G59" s="6"/>
      <c r="K59" s="7" t="str">
        <f t="shared" si="15"/>
        <v>2025Q4</v>
      </c>
      <c r="L59" s="6"/>
      <c r="M59" s="9">
        <f t="shared" si="16"/>
        <v>615.89200000000005</v>
      </c>
      <c r="N59" s="6"/>
      <c r="O59" s="6"/>
      <c r="P59" s="9">
        <f t="shared" si="17"/>
        <v>0.16900000000000001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624.39099999999996</v>
      </c>
      <c r="D60" s="6"/>
      <c r="E60" s="6"/>
      <c r="F60" s="9">
        <f t="shared" si="14"/>
        <v>0.17199999999999999</v>
      </c>
      <c r="G60" s="6"/>
      <c r="K60" s="7" t="str">
        <f t="shared" si="15"/>
        <v>2026Q1</v>
      </c>
      <c r="L60" s="6"/>
      <c r="M60" s="9">
        <f t="shared" si="16"/>
        <v>599.87800000000004</v>
      </c>
      <c r="N60" s="6"/>
      <c r="O60" s="6"/>
      <c r="P60" s="9">
        <f t="shared" si="17"/>
        <v>0.16600000000000001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651.49300000000005</v>
      </c>
      <c r="D61" s="6"/>
      <c r="E61" s="6"/>
      <c r="F61" s="9">
        <f t="shared" si="14"/>
        <v>0.18</v>
      </c>
      <c r="G61" s="6"/>
      <c r="K61" s="7" t="str">
        <f t="shared" si="15"/>
        <v>2026Q2</v>
      </c>
      <c r="L61" s="6"/>
      <c r="M61" s="9">
        <f t="shared" si="16"/>
        <v>626.58399999999995</v>
      </c>
      <c r="N61" s="6"/>
      <c r="O61" s="6"/>
      <c r="P61" s="9">
        <f t="shared" si="17"/>
        <v>0.17299999999999999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650.87699999999995</v>
      </c>
      <c r="D62" s="6"/>
      <c r="E62" s="6"/>
      <c r="F62" s="9">
        <f t="shared" si="14"/>
        <v>0.17499999999999999</v>
      </c>
      <c r="G62" s="6"/>
      <c r="K62" s="7" t="str">
        <f t="shared" si="15"/>
        <v>2026Q3</v>
      </c>
      <c r="L62" s="6"/>
      <c r="M62" s="9">
        <f t="shared" si="16"/>
        <v>625.59500000000003</v>
      </c>
      <c r="N62" s="6"/>
      <c r="O62" s="6"/>
      <c r="P62" s="9">
        <f t="shared" si="17"/>
        <v>0.16900000000000001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655.40300000000002</v>
      </c>
      <c r="D63" s="6"/>
      <c r="E63" s="6"/>
      <c r="F63" s="9">
        <f t="shared" si="14"/>
        <v>0.18</v>
      </c>
      <c r="G63" s="6"/>
      <c r="K63" s="7" t="str">
        <f t="shared" si="15"/>
        <v>2026Q4</v>
      </c>
      <c r="L63" s="6"/>
      <c r="M63" s="9">
        <f t="shared" si="16"/>
        <v>629.774</v>
      </c>
      <c r="N63" s="6"/>
      <c r="O63" s="6"/>
      <c r="P63" s="9">
        <f t="shared" si="17"/>
        <v>0.17299999999999999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640.00699999999995</v>
      </c>
      <c r="D64" s="6"/>
      <c r="E64" s="6"/>
      <c r="F64" s="9">
        <f t="shared" si="14"/>
        <v>0.17599999999999999</v>
      </c>
      <c r="G64" s="6"/>
      <c r="K64" s="7" t="str">
        <f t="shared" si="15"/>
        <v>2027Q1</v>
      </c>
      <c r="L64" s="6"/>
      <c r="M64" s="9">
        <f t="shared" si="16"/>
        <v>614.04999999999995</v>
      </c>
      <c r="N64" s="6"/>
      <c r="O64" s="6"/>
      <c r="P64" s="9">
        <f t="shared" si="17"/>
        <v>0.16900000000000001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667.29399999999998</v>
      </c>
      <c r="D65" s="6"/>
      <c r="E65" s="6"/>
      <c r="F65" s="9">
        <f t="shared" si="14"/>
        <v>0.184</v>
      </c>
      <c r="G65" s="6"/>
      <c r="K65" s="7" t="str">
        <f t="shared" si="15"/>
        <v>2027Q2</v>
      </c>
      <c r="L65" s="6"/>
      <c r="M65" s="9">
        <f t="shared" si="16"/>
        <v>641.03</v>
      </c>
      <c r="N65" s="6"/>
      <c r="O65" s="6"/>
      <c r="P65" s="9">
        <f t="shared" si="17"/>
        <v>0.17699999999999999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666.85</v>
      </c>
      <c r="D66" s="6"/>
      <c r="E66" s="6"/>
      <c r="F66" s="9">
        <f t="shared" si="14"/>
        <v>0.18099999999999999</v>
      </c>
      <c r="G66" s="6"/>
      <c r="K66" s="7" t="str">
        <f t="shared" si="15"/>
        <v>2027Q3</v>
      </c>
      <c r="L66" s="6"/>
      <c r="M66" s="9">
        <f t="shared" si="16"/>
        <v>640.298</v>
      </c>
      <c r="N66" s="6"/>
      <c r="O66" s="6"/>
      <c r="P66" s="9">
        <f t="shared" si="17"/>
        <v>0.17299999999999999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671.54200000000003</v>
      </c>
      <c r="D67" s="6"/>
      <c r="E67" s="6"/>
      <c r="F67" s="9">
        <f t="shared" si="14"/>
        <v>0.186</v>
      </c>
      <c r="G67" s="6"/>
      <c r="K67" s="7" t="str">
        <f t="shared" si="15"/>
        <v>2027Q4</v>
      </c>
      <c r="L67" s="6"/>
      <c r="M67" s="9">
        <f t="shared" si="16"/>
        <v>644.71799999999996</v>
      </c>
      <c r="N67" s="6"/>
      <c r="O67" s="6"/>
      <c r="P67" s="9">
        <f t="shared" si="17"/>
        <v>0.17799999999999999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656.303</v>
      </c>
      <c r="D68" s="6"/>
      <c r="E68" s="6"/>
      <c r="F68" s="9">
        <f t="shared" si="14"/>
        <v>0.18099999999999999</v>
      </c>
      <c r="G68" s="6"/>
      <c r="K68" s="7" t="str">
        <f t="shared" si="15"/>
        <v>2028Q1</v>
      </c>
      <c r="L68" s="6"/>
      <c r="M68" s="9">
        <f t="shared" si="16"/>
        <v>629.22299999999996</v>
      </c>
      <c r="N68" s="6"/>
      <c r="O68" s="6"/>
      <c r="P68" s="9">
        <f t="shared" si="17"/>
        <v>0.17299999999999999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683.74</v>
      </c>
      <c r="D69" s="6"/>
      <c r="E69" s="6"/>
      <c r="F69" s="9">
        <f t="shared" si="14"/>
        <v>0.189</v>
      </c>
      <c r="G69" s="6"/>
      <c r="K69" s="7" t="str">
        <f t="shared" si="15"/>
        <v>2028Q2</v>
      </c>
      <c r="L69" s="6"/>
      <c r="M69" s="9">
        <f t="shared" si="16"/>
        <v>656.42</v>
      </c>
      <c r="N69" s="6"/>
      <c r="O69" s="6"/>
      <c r="P69" s="9">
        <f t="shared" si="17"/>
        <v>0.18099999999999999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683.44</v>
      </c>
      <c r="D70" s="6"/>
      <c r="E70" s="6"/>
      <c r="F70" s="9">
        <f t="shared" si="14"/>
        <v>0.186</v>
      </c>
      <c r="G70" s="6"/>
      <c r="K70" s="7" t="str">
        <f t="shared" si="15"/>
        <v>2028Q3</v>
      </c>
      <c r="L70" s="6"/>
      <c r="M70" s="9">
        <f t="shared" si="16"/>
        <v>655.89200000000005</v>
      </c>
      <c r="N70" s="6"/>
      <c r="O70" s="6"/>
      <c r="P70" s="9">
        <f t="shared" si="17"/>
        <v>0.17799999999999999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688.26800000000003</v>
      </c>
      <c r="D71" s="6"/>
      <c r="E71" s="6"/>
      <c r="F71" s="9">
        <f t="shared" si="14"/>
        <v>0.19</v>
      </c>
      <c r="G71" s="6"/>
      <c r="K71" s="7" t="str">
        <f t="shared" si="15"/>
        <v>2028Q4</v>
      </c>
      <c r="L71" s="6"/>
      <c r="M71" s="9">
        <f t="shared" si="16"/>
        <v>660.50599999999997</v>
      </c>
      <c r="N71" s="6"/>
      <c r="O71" s="6"/>
      <c r="P71" s="9">
        <f t="shared" si="17"/>
        <v>0.182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673.16200000000003</v>
      </c>
      <c r="D72" s="6"/>
      <c r="E72" s="6"/>
      <c r="F72" s="9">
        <f t="shared" si="14"/>
        <v>0.187</v>
      </c>
      <c r="G72" s="6"/>
      <c r="K72" s="7" t="str">
        <f t="shared" si="15"/>
        <v>2029Q1</v>
      </c>
      <c r="L72" s="6"/>
      <c r="M72" s="9">
        <f t="shared" si="16"/>
        <v>645.19799999999998</v>
      </c>
      <c r="N72" s="6"/>
      <c r="O72" s="6"/>
      <c r="P72" s="9">
        <f t="shared" si="17"/>
        <v>0.17799999999999999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700.72400000000005</v>
      </c>
      <c r="D73" s="6"/>
      <c r="E73" s="6"/>
      <c r="F73" s="9">
        <f t="shared" si="14"/>
        <v>0.19500000000000001</v>
      </c>
      <c r="G73" s="6"/>
      <c r="K73" s="7" t="str">
        <f t="shared" si="15"/>
        <v>2029Q2</v>
      </c>
      <c r="L73" s="6"/>
      <c r="M73" s="9">
        <f t="shared" si="16"/>
        <v>672.56899999999996</v>
      </c>
      <c r="N73" s="6"/>
      <c r="O73" s="6"/>
      <c r="P73" s="9">
        <f t="shared" si="17"/>
        <v>0.186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700.54499999999996</v>
      </c>
      <c r="D74" s="6"/>
      <c r="E74" s="6"/>
      <c r="F74" s="9">
        <f t="shared" si="14"/>
        <v>0.192</v>
      </c>
      <c r="G74" s="6"/>
      <c r="K74" s="7" t="str">
        <f t="shared" si="15"/>
        <v>2029Q3</v>
      </c>
      <c r="L74" s="6"/>
      <c r="M74" s="9">
        <f t="shared" si="16"/>
        <v>672.21</v>
      </c>
      <c r="N74" s="6"/>
      <c r="O74" s="6"/>
      <c r="P74" s="9">
        <f t="shared" si="17"/>
        <v>0.183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705.49</v>
      </c>
      <c r="D75" s="6"/>
      <c r="E75" s="6"/>
      <c r="F75" s="9">
        <f t="shared" si="14"/>
        <v>0.19500000000000001</v>
      </c>
      <c r="G75" s="6"/>
      <c r="K75" s="7" t="str">
        <f t="shared" si="15"/>
        <v>2029Q4</v>
      </c>
      <c r="L75" s="6"/>
      <c r="M75" s="9">
        <f t="shared" si="16"/>
        <v>676.98400000000004</v>
      </c>
      <c r="N75" s="6"/>
      <c r="O75" s="6"/>
      <c r="P75" s="9">
        <f t="shared" si="17"/>
        <v>0.187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76"/>
  <sheetViews>
    <sheetView topLeftCell="F1" zoomScale="85" zoomScaleNormal="85" workbookViewId="0">
      <selection activeCell="L3" sqref="L3:N34"/>
    </sheetView>
  </sheetViews>
  <sheetFormatPr defaultColWidth="9.1796875" defaultRowHeight="12" x14ac:dyDescent="0.3"/>
  <cols>
    <col min="1" max="1" width="7.1796875" style="1" bestFit="1" customWidth="1"/>
    <col min="2" max="2" width="11" style="1" bestFit="1" customWidth="1"/>
    <col min="3" max="3" width="18.81640625" style="1" customWidth="1"/>
    <col min="4" max="4" width="11.1796875" style="1" bestFit="1" customWidth="1"/>
    <col min="5" max="5" width="11" style="1" bestFit="1" customWidth="1"/>
    <col min="6" max="6" width="18.81640625" style="1" customWidth="1"/>
    <col min="7" max="7" width="11.1796875" style="1" bestFit="1" customWidth="1"/>
    <col min="8" max="12" width="9.1796875" style="1"/>
    <col min="13" max="13" width="19.453125" style="1" customWidth="1"/>
    <col min="14" max="15" width="9.1796875" style="1"/>
    <col min="16" max="16" width="18.81640625" style="1" customWidth="1"/>
    <col min="17" max="16384" width="9.1796875" style="1"/>
  </cols>
  <sheetData>
    <row r="1" spans="1:30" ht="13" thickTop="1" thickBot="1" x14ac:dyDescent="0.35">
      <c r="A1" s="32" t="s">
        <v>5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56">
        <v>12.507548809162497</v>
      </c>
      <c r="M3" s="56">
        <v>11.872347595848158</v>
      </c>
      <c r="N3" s="56">
        <v>13.142750022476836</v>
      </c>
      <c r="O3" s="1">
        <f t="shared" ref="O3:O14" si="0">ROUND(M3,3)</f>
        <v>11.872</v>
      </c>
      <c r="P3" s="1">
        <f t="shared" ref="P3:P14" si="1">ROUND(L3,3)</f>
        <v>12.507999999999999</v>
      </c>
      <c r="Q3" s="1">
        <f t="shared" ref="Q3:Q14" si="2">ROUND(N3,3)</f>
        <v>13.143000000000001</v>
      </c>
      <c r="R3" s="14" t="str">
        <f>K3</f>
        <v>2022Q1</v>
      </c>
      <c r="S3" s="39">
        <v>4.0142581791826289E-2</v>
      </c>
      <c r="T3" s="39">
        <v>3.8081753169107342E-2</v>
      </c>
      <c r="U3" s="39">
        <v>4.2203410414545235E-2</v>
      </c>
      <c r="V3" s="1">
        <f t="shared" ref="V3:V34" si="3">ROUND(T3,3)</f>
        <v>3.7999999999999999E-2</v>
      </c>
      <c r="W3" s="1">
        <f t="shared" ref="W3:W34" si="4">ROUND(S3,3)</f>
        <v>0.04</v>
      </c>
      <c r="X3" s="1">
        <f t="shared" ref="X3:X34" si="5">ROUND(U3,3)</f>
        <v>4.2000000000000003E-2</v>
      </c>
    </row>
    <row r="4" spans="1:30" ht="15.5" thickTop="1" thickBot="1" x14ac:dyDescent="0.4">
      <c r="A4" s="5" t="str">
        <f>K3</f>
        <v>2022Q1</v>
      </c>
      <c r="B4" s="2">
        <f>O3</f>
        <v>11.872</v>
      </c>
      <c r="C4" s="3">
        <f>P3</f>
        <v>12.507999999999999</v>
      </c>
      <c r="D4" s="2">
        <f>Q3</f>
        <v>13.143000000000001</v>
      </c>
      <c r="E4" s="2">
        <f>V3</f>
        <v>3.7999999999999999E-2</v>
      </c>
      <c r="F4" s="3">
        <f>W3</f>
        <v>0.04</v>
      </c>
      <c r="G4" s="2">
        <f>X3</f>
        <v>4.2000000000000003E-2</v>
      </c>
      <c r="K4" s="14" t="s">
        <v>70</v>
      </c>
      <c r="L4" s="56">
        <v>13.096451045540608</v>
      </c>
      <c r="M4" s="56">
        <v>12.316981871492786</v>
      </c>
      <c r="N4" s="56">
        <v>13.87592021958843</v>
      </c>
      <c r="O4" s="1">
        <f t="shared" si="0"/>
        <v>12.317</v>
      </c>
      <c r="P4" s="1">
        <f t="shared" si="1"/>
        <v>13.096</v>
      </c>
      <c r="Q4" s="1">
        <f t="shared" si="2"/>
        <v>13.875999999999999</v>
      </c>
      <c r="R4" s="14" t="str">
        <f t="shared" ref="R4:R34" si="6">K4</f>
        <v>2022Q2</v>
      </c>
      <c r="S4" s="39">
        <v>4.2279987923405024E-2</v>
      </c>
      <c r="T4" s="39">
        <v>3.947117297581041E-2</v>
      </c>
      <c r="U4" s="39">
        <v>4.5088802870999638E-2</v>
      </c>
      <c r="V4" s="1">
        <f t="shared" si="3"/>
        <v>3.9E-2</v>
      </c>
      <c r="W4" s="1">
        <f t="shared" si="4"/>
        <v>4.2000000000000003E-2</v>
      </c>
      <c r="X4" s="1">
        <f t="shared" si="5"/>
        <v>4.4999999999999998E-2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12.317</v>
      </c>
      <c r="C5" s="3">
        <f t="shared" si="8"/>
        <v>13.096</v>
      </c>
      <c r="D5" s="2">
        <f t="shared" si="8"/>
        <v>13.875999999999999</v>
      </c>
      <c r="E5" s="2">
        <f t="shared" ref="E5:G20" si="9">V4</f>
        <v>3.9E-2</v>
      </c>
      <c r="F5" s="3">
        <f t="shared" si="9"/>
        <v>4.2000000000000003E-2</v>
      </c>
      <c r="G5" s="2">
        <f t="shared" si="9"/>
        <v>4.4999999999999998E-2</v>
      </c>
      <c r="I5" s="1">
        <f>SUM(F5:F8)</f>
        <v>0.16900000000000001</v>
      </c>
      <c r="K5" s="14" t="s">
        <v>71</v>
      </c>
      <c r="L5" s="56">
        <v>12.69059885768074</v>
      </c>
      <c r="M5" s="56">
        <v>11.807707820856832</v>
      </c>
      <c r="N5" s="56">
        <v>13.573489894504648</v>
      </c>
      <c r="O5" s="1">
        <f t="shared" si="0"/>
        <v>11.808</v>
      </c>
      <c r="P5" s="1">
        <f t="shared" si="1"/>
        <v>12.691000000000001</v>
      </c>
      <c r="Q5" s="1">
        <f t="shared" si="2"/>
        <v>13.573</v>
      </c>
      <c r="R5" s="14" t="str">
        <f t="shared" si="6"/>
        <v>2022Q3</v>
      </c>
      <c r="S5" s="39">
        <v>4.1671713828141374E-2</v>
      </c>
      <c r="T5" s="39">
        <v>3.8189661704665256E-2</v>
      </c>
      <c r="U5" s="39">
        <v>4.5153765951617492E-2</v>
      </c>
      <c r="V5" s="1">
        <f t="shared" si="3"/>
        <v>3.7999999999999999E-2</v>
      </c>
      <c r="W5" s="1">
        <f t="shared" si="4"/>
        <v>4.2000000000000003E-2</v>
      </c>
      <c r="X5" s="1">
        <f t="shared" si="5"/>
        <v>4.4999999999999998E-2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11.808</v>
      </c>
      <c r="C6" s="3">
        <f t="shared" si="8"/>
        <v>12.691000000000001</v>
      </c>
      <c r="D6" s="2">
        <f t="shared" si="8"/>
        <v>13.573</v>
      </c>
      <c r="E6" s="2">
        <f t="shared" si="9"/>
        <v>3.7999999999999999E-2</v>
      </c>
      <c r="F6" s="3">
        <f t="shared" si="9"/>
        <v>4.2000000000000003E-2</v>
      </c>
      <c r="G6" s="2">
        <f t="shared" si="9"/>
        <v>4.4999999999999998E-2</v>
      </c>
      <c r="I6" s="1">
        <f>SUM(F9:F12)</f>
        <v>0.17399999999999999</v>
      </c>
      <c r="K6" s="14" t="s">
        <v>72</v>
      </c>
      <c r="L6" s="56">
        <v>13.089872168050871</v>
      </c>
      <c r="M6" s="56">
        <v>12.128454631154248</v>
      </c>
      <c r="N6" s="56">
        <v>14.051289704947493</v>
      </c>
      <c r="O6" s="1">
        <f t="shared" si="0"/>
        <v>12.128</v>
      </c>
      <c r="P6" s="1">
        <f t="shared" si="1"/>
        <v>13.09</v>
      </c>
      <c r="Q6" s="1">
        <f t="shared" si="2"/>
        <v>14.051</v>
      </c>
      <c r="R6" s="14" t="str">
        <f t="shared" si="6"/>
        <v>2022Q4</v>
      </c>
      <c r="S6" s="39">
        <v>4.2862573735120653E-2</v>
      </c>
      <c r="T6" s="39">
        <v>3.8890442846933264E-2</v>
      </c>
      <c r="U6" s="39">
        <v>4.6834704623308042E-2</v>
      </c>
      <c r="V6" s="1">
        <f t="shared" si="3"/>
        <v>3.9E-2</v>
      </c>
      <c r="W6" s="1">
        <f t="shared" si="4"/>
        <v>4.2999999999999997E-2</v>
      </c>
      <c r="X6" s="1">
        <f t="shared" si="5"/>
        <v>4.7E-2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12.128</v>
      </c>
      <c r="C7" s="3">
        <f t="shared" si="8"/>
        <v>13.09</v>
      </c>
      <c r="D7" s="2">
        <f t="shared" si="8"/>
        <v>14.051</v>
      </c>
      <c r="E7" s="2">
        <f t="shared" si="9"/>
        <v>3.9E-2</v>
      </c>
      <c r="F7" s="3">
        <f t="shared" si="9"/>
        <v>4.2999999999999997E-2</v>
      </c>
      <c r="G7" s="2">
        <f t="shared" si="9"/>
        <v>4.7E-2</v>
      </c>
      <c r="I7" s="1">
        <f>SUM(F13:F16)</f>
        <v>0.18099999999999999</v>
      </c>
      <c r="K7" s="14" t="s">
        <v>73</v>
      </c>
      <c r="L7" s="56">
        <v>12.373887074294309</v>
      </c>
      <c r="M7" s="56">
        <v>11.350987110879561</v>
      </c>
      <c r="N7" s="56">
        <v>13.396787037709057</v>
      </c>
      <c r="O7" s="1">
        <f t="shared" si="0"/>
        <v>11.351000000000001</v>
      </c>
      <c r="P7" s="1">
        <f t="shared" si="1"/>
        <v>12.374000000000001</v>
      </c>
      <c r="Q7" s="1">
        <f t="shared" si="2"/>
        <v>13.397</v>
      </c>
      <c r="R7" s="14" t="str">
        <f t="shared" si="6"/>
        <v>2023Q1</v>
      </c>
      <c r="S7" s="39">
        <v>4.1780103759038421E-2</v>
      </c>
      <c r="T7" s="39">
        <v>3.7307771794499303E-2</v>
      </c>
      <c r="U7" s="39">
        <v>4.625243572357754E-2</v>
      </c>
      <c r="V7" s="1">
        <f t="shared" si="3"/>
        <v>3.6999999999999998E-2</v>
      </c>
      <c r="W7" s="1">
        <f t="shared" si="4"/>
        <v>4.2000000000000003E-2</v>
      </c>
      <c r="X7" s="1">
        <f t="shared" si="5"/>
        <v>4.5999999999999999E-2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11.351000000000001</v>
      </c>
      <c r="C8" s="3">
        <f t="shared" si="8"/>
        <v>12.374000000000001</v>
      </c>
      <c r="D8" s="2">
        <f t="shared" si="8"/>
        <v>13.397</v>
      </c>
      <c r="E8" s="2">
        <f t="shared" si="9"/>
        <v>3.6999999999999998E-2</v>
      </c>
      <c r="F8" s="3">
        <f t="shared" si="9"/>
        <v>4.2000000000000003E-2</v>
      </c>
      <c r="G8" s="2">
        <f t="shared" si="9"/>
        <v>4.5999999999999999E-2</v>
      </c>
      <c r="I8" s="1">
        <f>SUM(F17:F20)</f>
        <v>0.189</v>
      </c>
      <c r="K8" s="14" t="s">
        <v>74</v>
      </c>
      <c r="L8" s="56">
        <v>12.973377542652061</v>
      </c>
      <c r="M8" s="56">
        <v>11.901418466193386</v>
      </c>
      <c r="N8" s="56">
        <v>14.045336619110737</v>
      </c>
      <c r="O8" s="1">
        <f t="shared" si="0"/>
        <v>11.901</v>
      </c>
      <c r="P8" s="1">
        <f t="shared" si="1"/>
        <v>12.973000000000001</v>
      </c>
      <c r="Q8" s="1">
        <f t="shared" si="2"/>
        <v>14.045</v>
      </c>
      <c r="R8" s="14" t="str">
        <f t="shared" si="6"/>
        <v>2023Q2</v>
      </c>
      <c r="S8" s="39">
        <v>4.386751743951315E-2</v>
      </c>
      <c r="T8" s="39">
        <v>3.9002826617077942E-2</v>
      </c>
      <c r="U8" s="39">
        <v>4.8732208261948358E-2</v>
      </c>
      <c r="V8" s="1">
        <f t="shared" si="3"/>
        <v>3.9E-2</v>
      </c>
      <c r="W8" s="1">
        <f t="shared" si="4"/>
        <v>4.3999999999999997E-2</v>
      </c>
      <c r="X8" s="1">
        <f t="shared" si="5"/>
        <v>4.9000000000000002E-2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11.901</v>
      </c>
      <c r="C9" s="3">
        <f t="shared" si="8"/>
        <v>12.973000000000001</v>
      </c>
      <c r="D9" s="2">
        <f t="shared" si="8"/>
        <v>14.045</v>
      </c>
      <c r="E9" s="2">
        <f t="shared" si="9"/>
        <v>3.9E-2</v>
      </c>
      <c r="F9" s="3">
        <f t="shared" si="9"/>
        <v>4.3999999999999997E-2</v>
      </c>
      <c r="G9" s="2">
        <f t="shared" si="9"/>
        <v>4.9000000000000002E-2</v>
      </c>
      <c r="I9" s="1">
        <f>SUM(F21:F24)</f>
        <v>0.19400000000000001</v>
      </c>
      <c r="K9" s="14" t="s">
        <v>75</v>
      </c>
      <c r="L9" s="56">
        <v>12.577243415673564</v>
      </c>
      <c r="M9" s="56">
        <v>11.465636411451323</v>
      </c>
      <c r="N9" s="56">
        <v>13.688850419895806</v>
      </c>
      <c r="O9" s="1">
        <f t="shared" si="0"/>
        <v>11.465999999999999</v>
      </c>
      <c r="P9" s="1">
        <f t="shared" si="1"/>
        <v>12.577</v>
      </c>
      <c r="Q9" s="1">
        <f t="shared" si="2"/>
        <v>13.689</v>
      </c>
      <c r="R9" s="14" t="str">
        <f t="shared" si="6"/>
        <v>2023Q3</v>
      </c>
      <c r="S9" s="39">
        <v>4.3308297944670171E-2</v>
      </c>
      <c r="T9" s="39">
        <v>3.8028310734953594E-2</v>
      </c>
      <c r="U9" s="39">
        <v>4.8588285154386748E-2</v>
      </c>
      <c r="V9" s="1">
        <f t="shared" si="3"/>
        <v>3.7999999999999999E-2</v>
      </c>
      <c r="W9" s="1">
        <f t="shared" si="4"/>
        <v>4.2999999999999997E-2</v>
      </c>
      <c r="X9" s="1">
        <f t="shared" si="5"/>
        <v>4.9000000000000002E-2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11.465999999999999</v>
      </c>
      <c r="C10" s="3">
        <f t="shared" si="8"/>
        <v>12.577</v>
      </c>
      <c r="D10" s="2">
        <f t="shared" si="8"/>
        <v>13.689</v>
      </c>
      <c r="E10" s="2">
        <f t="shared" si="9"/>
        <v>3.7999999999999999E-2</v>
      </c>
      <c r="F10" s="3">
        <f t="shared" si="9"/>
        <v>4.2999999999999997E-2</v>
      </c>
      <c r="G10" s="2">
        <f t="shared" si="9"/>
        <v>4.9000000000000002E-2</v>
      </c>
      <c r="I10" s="1">
        <f>SUM(F25:F28)</f>
        <v>0.20100000000000001</v>
      </c>
      <c r="K10" s="14" t="s">
        <v>76</v>
      </c>
      <c r="L10" s="56">
        <v>12.98543612896909</v>
      </c>
      <c r="M10" s="56">
        <v>11.841496030561714</v>
      </c>
      <c r="N10" s="56">
        <v>14.129376227376465</v>
      </c>
      <c r="O10" s="1">
        <f t="shared" si="0"/>
        <v>11.840999999999999</v>
      </c>
      <c r="P10" s="1">
        <f t="shared" si="1"/>
        <v>12.984999999999999</v>
      </c>
      <c r="Q10" s="1">
        <f t="shared" si="2"/>
        <v>14.129</v>
      </c>
      <c r="R10" s="14" t="str">
        <f t="shared" si="6"/>
        <v>2023Q4</v>
      </c>
      <c r="S10" s="39">
        <v>4.4451023507977742E-2</v>
      </c>
      <c r="T10" s="39">
        <v>3.8833934824748575E-2</v>
      </c>
      <c r="U10" s="39">
        <v>5.0068112191206909E-2</v>
      </c>
      <c r="V10" s="1">
        <f t="shared" si="3"/>
        <v>3.9E-2</v>
      </c>
      <c r="W10" s="1">
        <f t="shared" si="4"/>
        <v>4.3999999999999997E-2</v>
      </c>
      <c r="X10" s="1">
        <f t="shared" si="5"/>
        <v>0.05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11.840999999999999</v>
      </c>
      <c r="C11" s="3">
        <f t="shared" si="8"/>
        <v>12.984999999999999</v>
      </c>
      <c r="D11" s="2">
        <f t="shared" si="8"/>
        <v>14.129</v>
      </c>
      <c r="E11" s="2">
        <f t="shared" si="9"/>
        <v>3.9E-2</v>
      </c>
      <c r="F11" s="3">
        <f t="shared" si="9"/>
        <v>4.3999999999999997E-2</v>
      </c>
      <c r="G11" s="2">
        <f t="shared" si="9"/>
        <v>0.05</v>
      </c>
      <c r="I11" s="1">
        <f>SUM(F29:F32)</f>
        <v>0.20699999999999999</v>
      </c>
      <c r="K11" s="14" t="s">
        <v>77</v>
      </c>
      <c r="L11" s="56">
        <v>12.277637416170283</v>
      </c>
      <c r="M11" s="56">
        <v>11.107153186402112</v>
      </c>
      <c r="N11" s="56">
        <v>13.448121645938453</v>
      </c>
      <c r="O11" s="1">
        <f t="shared" si="0"/>
        <v>11.106999999999999</v>
      </c>
      <c r="P11" s="1">
        <f t="shared" si="1"/>
        <v>12.278</v>
      </c>
      <c r="Q11" s="1">
        <f t="shared" si="2"/>
        <v>13.448</v>
      </c>
      <c r="R11" s="14" t="str">
        <f t="shared" si="6"/>
        <v>2024Q1</v>
      </c>
      <c r="S11" s="39">
        <v>4.341578488269314E-2</v>
      </c>
      <c r="T11" s="39">
        <v>3.7436297460316043E-2</v>
      </c>
      <c r="U11" s="39">
        <v>4.9395272305070237E-2</v>
      </c>
      <c r="V11" s="1">
        <f t="shared" si="3"/>
        <v>3.6999999999999998E-2</v>
      </c>
      <c r="W11" s="1">
        <f t="shared" si="4"/>
        <v>4.2999999999999997E-2</v>
      </c>
      <c r="X11" s="1">
        <f t="shared" si="5"/>
        <v>4.9000000000000002E-2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11.106999999999999</v>
      </c>
      <c r="C12" s="3">
        <f t="shared" si="8"/>
        <v>12.278</v>
      </c>
      <c r="D12" s="2">
        <f t="shared" si="8"/>
        <v>13.448</v>
      </c>
      <c r="E12" s="2">
        <f t="shared" si="9"/>
        <v>3.6999999999999998E-2</v>
      </c>
      <c r="F12" s="3">
        <f t="shared" si="9"/>
        <v>4.2999999999999997E-2</v>
      </c>
      <c r="G12" s="2">
        <f t="shared" si="9"/>
        <v>4.9000000000000002E-2</v>
      </c>
      <c r="K12" s="14" t="s">
        <v>78</v>
      </c>
      <c r="L12" s="56">
        <v>12.884641485353793</v>
      </c>
      <c r="M12" s="56">
        <v>11.692255248007006</v>
      </c>
      <c r="N12" s="56">
        <v>14.07702772270058</v>
      </c>
      <c r="O12" s="1">
        <f t="shared" si="0"/>
        <v>11.692</v>
      </c>
      <c r="P12" s="1">
        <f t="shared" si="1"/>
        <v>12.885</v>
      </c>
      <c r="Q12" s="1">
        <f t="shared" si="2"/>
        <v>14.077</v>
      </c>
      <c r="R12" s="14" t="str">
        <f t="shared" si="6"/>
        <v>2024Q2</v>
      </c>
      <c r="S12" s="39">
        <v>4.5456853265237067E-2</v>
      </c>
      <c r="T12" s="39">
        <v>3.9176941672168404E-2</v>
      </c>
      <c r="U12" s="39">
        <v>5.173676485830573E-2</v>
      </c>
      <c r="V12" s="1">
        <f t="shared" si="3"/>
        <v>3.9E-2</v>
      </c>
      <c r="W12" s="1">
        <f t="shared" si="4"/>
        <v>4.4999999999999998E-2</v>
      </c>
      <c r="X12" s="1">
        <f t="shared" si="5"/>
        <v>5.1999999999999998E-2</v>
      </c>
    </row>
    <row r="13" spans="1:30" ht="15.5" thickTop="1" thickBot="1" x14ac:dyDescent="0.4">
      <c r="A13" s="5" t="str">
        <f t="shared" si="7"/>
        <v>2024Q2</v>
      </c>
      <c r="B13" s="2">
        <f t="shared" si="8"/>
        <v>11.692</v>
      </c>
      <c r="C13" s="3">
        <f t="shared" si="8"/>
        <v>12.885</v>
      </c>
      <c r="D13" s="2">
        <f t="shared" si="8"/>
        <v>14.077</v>
      </c>
      <c r="E13" s="2">
        <f t="shared" si="9"/>
        <v>3.9E-2</v>
      </c>
      <c r="F13" s="3">
        <f t="shared" si="9"/>
        <v>4.4999999999999998E-2</v>
      </c>
      <c r="G13" s="2">
        <f t="shared" si="9"/>
        <v>5.1999999999999998E-2</v>
      </c>
      <c r="K13" s="14" t="s">
        <v>79</v>
      </c>
      <c r="L13" s="56">
        <v>12.495403470058848</v>
      </c>
      <c r="M13" s="56">
        <v>11.284874706223205</v>
      </c>
      <c r="N13" s="56">
        <v>13.705932233894492</v>
      </c>
      <c r="O13" s="1">
        <f t="shared" si="0"/>
        <v>11.285</v>
      </c>
      <c r="P13" s="1">
        <f t="shared" si="1"/>
        <v>12.494999999999999</v>
      </c>
      <c r="Q13" s="1">
        <f t="shared" si="2"/>
        <v>13.706</v>
      </c>
      <c r="R13" s="14" t="str">
        <f t="shared" si="6"/>
        <v>2024Q3</v>
      </c>
      <c r="S13" s="39">
        <v>4.4943109637673374E-2</v>
      </c>
      <c r="T13" s="39">
        <v>3.8337822982320163E-2</v>
      </c>
      <c r="U13" s="39">
        <v>5.1548396293026585E-2</v>
      </c>
      <c r="V13" s="1">
        <f t="shared" si="3"/>
        <v>3.7999999999999999E-2</v>
      </c>
      <c r="W13" s="1">
        <f t="shared" si="4"/>
        <v>4.4999999999999998E-2</v>
      </c>
      <c r="X13" s="1">
        <f t="shared" si="5"/>
        <v>5.1999999999999998E-2</v>
      </c>
    </row>
    <row r="14" spans="1:30" ht="15.5" thickTop="1" thickBot="1" x14ac:dyDescent="0.4">
      <c r="A14" s="5" t="str">
        <f t="shared" si="7"/>
        <v>2024Q3</v>
      </c>
      <c r="B14" s="2">
        <f t="shared" si="8"/>
        <v>11.285</v>
      </c>
      <c r="C14" s="3">
        <f t="shared" si="8"/>
        <v>12.494999999999999</v>
      </c>
      <c r="D14" s="2">
        <f t="shared" si="8"/>
        <v>13.706</v>
      </c>
      <c r="E14" s="2">
        <f t="shared" si="9"/>
        <v>3.7999999999999999E-2</v>
      </c>
      <c r="F14" s="3">
        <f t="shared" si="9"/>
        <v>4.4999999999999998E-2</v>
      </c>
      <c r="G14" s="2">
        <f t="shared" si="9"/>
        <v>5.1999999999999998E-2</v>
      </c>
      <c r="K14" s="14" t="s">
        <v>84</v>
      </c>
      <c r="L14" s="56">
        <v>12.909925552914311</v>
      </c>
      <c r="M14" s="56">
        <v>11.684322124445501</v>
      </c>
      <c r="N14" s="56">
        <v>14.135528981383121</v>
      </c>
      <c r="O14" s="1">
        <f t="shared" si="0"/>
        <v>11.683999999999999</v>
      </c>
      <c r="P14" s="1">
        <f t="shared" si="1"/>
        <v>12.91</v>
      </c>
      <c r="Q14" s="1">
        <f t="shared" si="2"/>
        <v>14.135999999999999</v>
      </c>
      <c r="R14" s="14" t="str">
        <f t="shared" si="6"/>
        <v>2024Q4</v>
      </c>
      <c r="S14" s="39">
        <v>4.6041212453968056E-2</v>
      </c>
      <c r="T14" s="39">
        <v>3.9162107419840532E-2</v>
      </c>
      <c r="U14" s="39">
        <v>5.2920317488095579E-2</v>
      </c>
      <c r="V14" s="1">
        <f t="shared" si="3"/>
        <v>3.9E-2</v>
      </c>
      <c r="W14" s="1">
        <f t="shared" si="4"/>
        <v>4.5999999999999999E-2</v>
      </c>
      <c r="X14" s="1">
        <f t="shared" si="5"/>
        <v>5.2999999999999999E-2</v>
      </c>
    </row>
    <row r="15" spans="1:30" ht="15.5" thickTop="1" thickBot="1" x14ac:dyDescent="0.4">
      <c r="A15" s="5" t="str">
        <f t="shared" si="7"/>
        <v>2024Q4</v>
      </c>
      <c r="B15" s="2">
        <f t="shared" si="8"/>
        <v>11.683999999999999</v>
      </c>
      <c r="C15" s="3">
        <f t="shared" si="8"/>
        <v>12.91</v>
      </c>
      <c r="D15" s="2">
        <f t="shared" si="8"/>
        <v>14.135999999999999</v>
      </c>
      <c r="E15" s="2">
        <f t="shared" si="9"/>
        <v>3.9E-2</v>
      </c>
      <c r="F15" s="3">
        <f t="shared" si="9"/>
        <v>4.5999999999999999E-2</v>
      </c>
      <c r="G15" s="2">
        <f t="shared" si="9"/>
        <v>5.2999999999999999E-2</v>
      </c>
      <c r="K15" s="14" t="s">
        <v>81</v>
      </c>
      <c r="L15" s="56">
        <v>12.20793604403571</v>
      </c>
      <c r="M15" s="56">
        <v>10.969776309658833</v>
      </c>
      <c r="N15" s="56">
        <v>13.446095778412587</v>
      </c>
      <c r="O15" s="1">
        <f t="shared" ref="O15:O34" si="10">ROUND(M15,3)</f>
        <v>10.97</v>
      </c>
      <c r="P15" s="1">
        <f t="shared" ref="P15:P34" si="11">ROUND(L15,3)</f>
        <v>12.208</v>
      </c>
      <c r="Q15" s="1">
        <f t="shared" ref="Q15:Q34" si="12">ROUND(N15,3)</f>
        <v>13.446</v>
      </c>
      <c r="R15" s="14" t="str">
        <f t="shared" si="6"/>
        <v>2025Q1</v>
      </c>
      <c r="S15" s="39">
        <v>4.5049759459834762E-2</v>
      </c>
      <c r="T15" s="39">
        <v>3.7873065843036138E-2</v>
      </c>
      <c r="U15" s="39">
        <v>5.2226453076633386E-2</v>
      </c>
      <c r="V15" s="1">
        <f t="shared" si="3"/>
        <v>3.7999999999999999E-2</v>
      </c>
      <c r="W15" s="1">
        <f t="shared" si="4"/>
        <v>4.4999999999999998E-2</v>
      </c>
      <c r="X15" s="1">
        <f t="shared" si="5"/>
        <v>5.1999999999999998E-2</v>
      </c>
    </row>
    <row r="16" spans="1:30" ht="15.5" thickTop="1" thickBot="1" x14ac:dyDescent="0.4">
      <c r="A16" s="5" t="str">
        <f t="shared" si="7"/>
        <v>2025Q1</v>
      </c>
      <c r="B16" s="2">
        <f t="shared" si="8"/>
        <v>10.97</v>
      </c>
      <c r="C16" s="3">
        <f t="shared" si="8"/>
        <v>12.208</v>
      </c>
      <c r="D16" s="2">
        <f t="shared" si="8"/>
        <v>13.446</v>
      </c>
      <c r="E16" s="2">
        <f t="shared" si="9"/>
        <v>3.7999999999999999E-2</v>
      </c>
      <c r="F16" s="3">
        <f t="shared" si="9"/>
        <v>4.4999999999999998E-2</v>
      </c>
      <c r="G16" s="2">
        <f t="shared" si="9"/>
        <v>5.1999999999999998E-2</v>
      </c>
      <c r="K16" s="14" t="s">
        <v>82</v>
      </c>
      <c r="L16" s="56">
        <v>12.820271900195305</v>
      </c>
      <c r="M16" s="56">
        <v>11.571632859482893</v>
      </c>
      <c r="N16" s="56">
        <v>14.068910940907717</v>
      </c>
      <c r="O16" s="1">
        <f t="shared" si="10"/>
        <v>11.571999999999999</v>
      </c>
      <c r="P16" s="1">
        <f t="shared" si="11"/>
        <v>12.82</v>
      </c>
      <c r="Q16" s="1">
        <f t="shared" si="12"/>
        <v>14.069000000000001</v>
      </c>
      <c r="R16" s="14" t="str">
        <f t="shared" si="6"/>
        <v>2025Q2</v>
      </c>
      <c r="S16" s="39">
        <v>4.7047863622924319E-2</v>
      </c>
      <c r="T16" s="39">
        <v>3.961778105044704E-2</v>
      </c>
      <c r="U16" s="39">
        <v>5.4477946195401597E-2</v>
      </c>
      <c r="V16" s="1">
        <f t="shared" si="3"/>
        <v>0.04</v>
      </c>
      <c r="W16" s="1">
        <f t="shared" si="4"/>
        <v>4.7E-2</v>
      </c>
      <c r="X16" s="1">
        <f t="shared" si="5"/>
        <v>5.3999999999999999E-2</v>
      </c>
    </row>
    <row r="17" spans="1:24" ht="15.5" thickTop="1" thickBot="1" x14ac:dyDescent="0.4">
      <c r="A17" s="5" t="str">
        <f t="shared" si="7"/>
        <v>2025Q2</v>
      </c>
      <c r="B17" s="2">
        <f t="shared" si="8"/>
        <v>11.571999999999999</v>
      </c>
      <c r="C17" s="3">
        <f t="shared" si="8"/>
        <v>12.82</v>
      </c>
      <c r="D17" s="2">
        <f t="shared" si="8"/>
        <v>14.069000000000001</v>
      </c>
      <c r="E17" s="2">
        <f t="shared" si="9"/>
        <v>0.04</v>
      </c>
      <c r="F17" s="3">
        <f t="shared" si="9"/>
        <v>4.7E-2</v>
      </c>
      <c r="G17" s="2">
        <f t="shared" si="9"/>
        <v>5.3999999999999999E-2</v>
      </c>
      <c r="K17" s="14" t="s">
        <v>83</v>
      </c>
      <c r="L17" s="56">
        <v>12.435927490418232</v>
      </c>
      <c r="M17" s="56">
        <v>11.178528575455575</v>
      </c>
      <c r="N17" s="56">
        <v>13.693326405380889</v>
      </c>
      <c r="O17" s="1">
        <f t="shared" si="10"/>
        <v>11.179</v>
      </c>
      <c r="P17" s="1">
        <f t="shared" si="11"/>
        <v>12.436</v>
      </c>
      <c r="Q17" s="1">
        <f t="shared" si="12"/>
        <v>13.693</v>
      </c>
      <c r="R17" s="14" t="str">
        <f t="shared" si="6"/>
        <v>2025Q3</v>
      </c>
      <c r="S17" s="39">
        <v>4.6576278212674974E-2</v>
      </c>
      <c r="T17" s="39">
        <v>3.8870457978206208E-2</v>
      </c>
      <c r="U17" s="39">
        <v>5.428209844714374E-2</v>
      </c>
      <c r="V17" s="1">
        <f t="shared" si="3"/>
        <v>3.9E-2</v>
      </c>
      <c r="W17" s="1">
        <f t="shared" si="4"/>
        <v>4.7E-2</v>
      </c>
      <c r="X17" s="1">
        <f t="shared" si="5"/>
        <v>5.3999999999999999E-2</v>
      </c>
    </row>
    <row r="18" spans="1:24" ht="15.5" thickTop="1" thickBot="1" x14ac:dyDescent="0.4">
      <c r="A18" s="5" t="str">
        <f t="shared" si="7"/>
        <v>2025Q3</v>
      </c>
      <c r="B18" s="2">
        <f t="shared" si="8"/>
        <v>11.179</v>
      </c>
      <c r="C18" s="3">
        <f t="shared" si="8"/>
        <v>12.436</v>
      </c>
      <c r="D18" s="2">
        <f t="shared" si="8"/>
        <v>13.693</v>
      </c>
      <c r="E18" s="2">
        <f t="shared" si="9"/>
        <v>3.9E-2</v>
      </c>
      <c r="F18" s="3">
        <f t="shared" si="9"/>
        <v>4.7E-2</v>
      </c>
      <c r="G18" s="2">
        <f t="shared" si="9"/>
        <v>5.3999999999999999E-2</v>
      </c>
      <c r="K18" s="14" t="s">
        <v>80</v>
      </c>
      <c r="L18" s="56">
        <v>12.854941008335139</v>
      </c>
      <c r="M18" s="56">
        <v>11.590209959431682</v>
      </c>
      <c r="N18" s="56">
        <v>14.119672057238596</v>
      </c>
      <c r="O18" s="1">
        <f t="shared" si="10"/>
        <v>11.59</v>
      </c>
      <c r="P18" s="1">
        <f t="shared" si="11"/>
        <v>12.855</v>
      </c>
      <c r="Q18" s="1">
        <f t="shared" si="12"/>
        <v>14.12</v>
      </c>
      <c r="R18" s="14" t="str">
        <f t="shared" si="6"/>
        <v>2025Q4</v>
      </c>
      <c r="S18" s="39">
        <v>4.7633013693319307E-2</v>
      </c>
      <c r="T18" s="39">
        <v>3.9690126225635489E-2</v>
      </c>
      <c r="U18" s="39">
        <v>5.5575901161003124E-2</v>
      </c>
      <c r="V18" s="1">
        <f t="shared" si="3"/>
        <v>0.04</v>
      </c>
      <c r="W18" s="1">
        <f t="shared" si="4"/>
        <v>4.8000000000000001E-2</v>
      </c>
      <c r="X18" s="1">
        <f t="shared" si="5"/>
        <v>5.6000000000000001E-2</v>
      </c>
    </row>
    <row r="19" spans="1:24" ht="15.5" thickTop="1" thickBot="1" x14ac:dyDescent="0.4">
      <c r="A19" s="5" t="str">
        <f t="shared" si="7"/>
        <v>2025Q4</v>
      </c>
      <c r="B19" s="2">
        <f t="shared" si="8"/>
        <v>11.59</v>
      </c>
      <c r="C19" s="3">
        <f t="shared" si="8"/>
        <v>12.855</v>
      </c>
      <c r="D19" s="2">
        <f t="shared" si="8"/>
        <v>14.12</v>
      </c>
      <c r="E19" s="2">
        <f t="shared" si="9"/>
        <v>0.04</v>
      </c>
      <c r="F19" s="3">
        <f t="shared" si="9"/>
        <v>4.8000000000000001E-2</v>
      </c>
      <c r="G19" s="2">
        <f t="shared" si="9"/>
        <v>5.6000000000000001E-2</v>
      </c>
      <c r="K19" s="14" t="s">
        <v>92</v>
      </c>
      <c r="L19" s="56">
        <v>12.157073815576521</v>
      </c>
      <c r="M19" s="56">
        <v>10.886199088543906</v>
      </c>
      <c r="N19" s="56">
        <v>13.427948542609135</v>
      </c>
      <c r="O19" s="1">
        <f t="shared" si="10"/>
        <v>10.885999999999999</v>
      </c>
      <c r="P19" s="1">
        <f t="shared" si="11"/>
        <v>12.157</v>
      </c>
      <c r="Q19" s="1">
        <f t="shared" si="12"/>
        <v>13.428000000000001</v>
      </c>
      <c r="R19" s="14" t="str">
        <f t="shared" si="6"/>
        <v>2026Q1</v>
      </c>
      <c r="S19" s="39">
        <v>4.6682151989990567E-2</v>
      </c>
      <c r="T19" s="39">
        <v>3.8481295404542197E-2</v>
      </c>
      <c r="U19" s="39">
        <v>5.4883008575438937E-2</v>
      </c>
      <c r="V19" s="1">
        <f t="shared" si="3"/>
        <v>3.7999999999999999E-2</v>
      </c>
      <c r="W19" s="1">
        <f t="shared" si="4"/>
        <v>4.7E-2</v>
      </c>
      <c r="X19" s="1">
        <f t="shared" si="5"/>
        <v>5.5E-2</v>
      </c>
    </row>
    <row r="20" spans="1:24" ht="15.5" thickTop="1" thickBot="1" x14ac:dyDescent="0.4">
      <c r="A20" s="5" t="str">
        <f t="shared" si="7"/>
        <v>2026Q1</v>
      </c>
      <c r="B20" s="2">
        <f t="shared" si="8"/>
        <v>10.885999999999999</v>
      </c>
      <c r="C20" s="3">
        <f t="shared" si="8"/>
        <v>12.157</v>
      </c>
      <c r="D20" s="2">
        <f t="shared" si="8"/>
        <v>13.428000000000001</v>
      </c>
      <c r="E20" s="2">
        <f t="shared" si="9"/>
        <v>3.7999999999999999E-2</v>
      </c>
      <c r="F20" s="3">
        <f t="shared" si="9"/>
        <v>4.7E-2</v>
      </c>
      <c r="G20" s="2">
        <f t="shared" si="9"/>
        <v>5.5E-2</v>
      </c>
      <c r="K20" s="14" t="s">
        <v>93</v>
      </c>
      <c r="L20" s="56">
        <v>12.773193204161862</v>
      </c>
      <c r="M20" s="56">
        <v>11.497166068351437</v>
      </c>
      <c r="N20" s="56">
        <v>14.049220339972287</v>
      </c>
      <c r="O20" s="1">
        <f t="shared" si="10"/>
        <v>11.497</v>
      </c>
      <c r="P20" s="1">
        <f t="shared" si="11"/>
        <v>12.773</v>
      </c>
      <c r="Q20" s="1">
        <f t="shared" si="12"/>
        <v>14.048999999999999</v>
      </c>
      <c r="R20" s="14" t="str">
        <f t="shared" si="6"/>
        <v>2026Q2</v>
      </c>
      <c r="S20" s="39">
        <v>4.8640426348639583E-2</v>
      </c>
      <c r="T20" s="39">
        <v>4.0215930254967627E-2</v>
      </c>
      <c r="U20" s="39">
        <v>5.7064922442311539E-2</v>
      </c>
      <c r="V20" s="1">
        <f t="shared" si="3"/>
        <v>0.04</v>
      </c>
      <c r="W20" s="1">
        <f t="shared" si="4"/>
        <v>4.9000000000000002E-2</v>
      </c>
      <c r="X20" s="1">
        <f t="shared" si="5"/>
        <v>5.7000000000000002E-2</v>
      </c>
    </row>
    <row r="21" spans="1:24" ht="15.5" thickTop="1" thickBot="1" x14ac:dyDescent="0.4">
      <c r="A21" s="5" t="str">
        <f t="shared" si="7"/>
        <v>2026Q2</v>
      </c>
      <c r="B21" s="2">
        <f t="shared" ref="B21:D35" si="13">O20</f>
        <v>11.497</v>
      </c>
      <c r="C21" s="3">
        <f t="shared" si="13"/>
        <v>12.773</v>
      </c>
      <c r="D21" s="2">
        <f t="shared" si="13"/>
        <v>14.048999999999999</v>
      </c>
      <c r="E21" s="2">
        <f t="shared" ref="E21:G35" si="14">V20</f>
        <v>0.04</v>
      </c>
      <c r="F21" s="3">
        <f t="shared" si="14"/>
        <v>4.9000000000000002E-2</v>
      </c>
      <c r="G21" s="2">
        <f t="shared" si="14"/>
        <v>5.7000000000000002E-2</v>
      </c>
      <c r="K21" s="14" t="s">
        <v>94</v>
      </c>
      <c r="L21" s="56">
        <v>12.392321385326383</v>
      </c>
      <c r="M21" s="56">
        <v>11.111970010412</v>
      </c>
      <c r="N21" s="56">
        <v>13.672672760240767</v>
      </c>
      <c r="O21" s="1">
        <f t="shared" si="10"/>
        <v>11.112</v>
      </c>
      <c r="P21" s="1">
        <f t="shared" si="11"/>
        <v>12.391999999999999</v>
      </c>
      <c r="Q21" s="1">
        <f t="shared" si="12"/>
        <v>13.673</v>
      </c>
      <c r="R21" s="14" t="str">
        <f t="shared" si="6"/>
        <v>2026Q3</v>
      </c>
      <c r="S21" s="39">
        <v>4.8207923541833696E-2</v>
      </c>
      <c r="T21" s="39">
        <v>3.9540276077159708E-2</v>
      </c>
      <c r="U21" s="39">
        <v>5.6875571006507683E-2</v>
      </c>
      <c r="V21" s="1">
        <f t="shared" si="3"/>
        <v>0.04</v>
      </c>
      <c r="W21" s="1">
        <f t="shared" si="4"/>
        <v>4.8000000000000001E-2</v>
      </c>
      <c r="X21" s="1">
        <f t="shared" si="5"/>
        <v>5.7000000000000002E-2</v>
      </c>
    </row>
    <row r="22" spans="1:24" ht="15.5" thickTop="1" thickBot="1" x14ac:dyDescent="0.4">
      <c r="A22" s="5" t="str">
        <f t="shared" si="7"/>
        <v>2026Q3</v>
      </c>
      <c r="B22" s="2">
        <f t="shared" si="13"/>
        <v>11.112</v>
      </c>
      <c r="C22" s="3">
        <f t="shared" si="13"/>
        <v>12.391999999999999</v>
      </c>
      <c r="D22" s="2">
        <f t="shared" si="13"/>
        <v>13.673</v>
      </c>
      <c r="E22" s="2">
        <f t="shared" si="14"/>
        <v>0.04</v>
      </c>
      <c r="F22" s="3">
        <f t="shared" si="14"/>
        <v>4.8000000000000001E-2</v>
      </c>
      <c r="G22" s="2">
        <f t="shared" si="14"/>
        <v>5.7000000000000002E-2</v>
      </c>
      <c r="K22" s="14" t="s">
        <v>95</v>
      </c>
      <c r="L22" s="56">
        <v>12.814522106758607</v>
      </c>
      <c r="M22" s="56">
        <v>11.530539344468156</v>
      </c>
      <c r="N22" s="56">
        <v>14.098504869049059</v>
      </c>
      <c r="O22" s="1">
        <f t="shared" si="10"/>
        <v>11.531000000000001</v>
      </c>
      <c r="P22" s="1">
        <f t="shared" si="11"/>
        <v>12.815</v>
      </c>
      <c r="Q22" s="1">
        <f t="shared" si="12"/>
        <v>14.099</v>
      </c>
      <c r="R22" s="14" t="str">
        <f t="shared" si="6"/>
        <v>2026Q4</v>
      </c>
      <c r="S22" s="39">
        <v>4.9226309602656039E-2</v>
      </c>
      <c r="T22" s="39">
        <v>4.0346321497095494E-2</v>
      </c>
      <c r="U22" s="39">
        <v>5.8106297708216584E-2</v>
      </c>
      <c r="V22" s="1">
        <f t="shared" si="3"/>
        <v>0.04</v>
      </c>
      <c r="W22" s="1">
        <f t="shared" si="4"/>
        <v>4.9000000000000002E-2</v>
      </c>
      <c r="X22" s="1">
        <f t="shared" si="5"/>
        <v>5.8000000000000003E-2</v>
      </c>
    </row>
    <row r="23" spans="1:24" ht="15.5" thickTop="1" thickBot="1" x14ac:dyDescent="0.4">
      <c r="A23" s="5" t="str">
        <f t="shared" si="7"/>
        <v>2026Q4</v>
      </c>
      <c r="B23" s="2">
        <f t="shared" si="13"/>
        <v>11.531000000000001</v>
      </c>
      <c r="C23" s="3">
        <f t="shared" si="13"/>
        <v>12.815</v>
      </c>
      <c r="D23" s="2">
        <f t="shared" si="13"/>
        <v>14.099</v>
      </c>
      <c r="E23" s="2">
        <f t="shared" si="14"/>
        <v>0.04</v>
      </c>
      <c r="F23" s="3">
        <f t="shared" si="14"/>
        <v>4.9000000000000002E-2</v>
      </c>
      <c r="G23" s="2">
        <f t="shared" si="14"/>
        <v>5.8000000000000003E-2</v>
      </c>
      <c r="K23" s="14" t="s">
        <v>96</v>
      </c>
      <c r="L23" s="56">
        <v>12.119580184041551</v>
      </c>
      <c r="M23" s="56">
        <v>10.832546334367786</v>
      </c>
      <c r="N23" s="56">
        <v>13.406614033715316</v>
      </c>
      <c r="O23" s="1">
        <f t="shared" si="10"/>
        <v>10.833</v>
      </c>
      <c r="P23" s="1">
        <f t="shared" si="11"/>
        <v>12.12</v>
      </c>
      <c r="Q23" s="1">
        <f t="shared" si="12"/>
        <v>13.407</v>
      </c>
      <c r="R23" s="14" t="str">
        <f t="shared" si="6"/>
        <v>2027Q1</v>
      </c>
      <c r="S23" s="39">
        <v>4.8313077889939646E-2</v>
      </c>
      <c r="T23" s="39">
        <v>3.9202540802144838E-2</v>
      </c>
      <c r="U23" s="39">
        <v>5.7423614977734454E-2</v>
      </c>
      <c r="V23" s="1">
        <f t="shared" si="3"/>
        <v>3.9E-2</v>
      </c>
      <c r="W23" s="1">
        <f t="shared" si="4"/>
        <v>4.8000000000000001E-2</v>
      </c>
      <c r="X23" s="1">
        <f t="shared" si="5"/>
        <v>5.7000000000000002E-2</v>
      </c>
    </row>
    <row r="24" spans="1:24" ht="15.5" thickTop="1" thickBot="1" x14ac:dyDescent="0.4">
      <c r="A24" s="5" t="str">
        <f t="shared" si="7"/>
        <v>2027Q1</v>
      </c>
      <c r="B24" s="2">
        <f t="shared" si="13"/>
        <v>10.833</v>
      </c>
      <c r="C24" s="3">
        <f t="shared" si="13"/>
        <v>12.12</v>
      </c>
      <c r="D24" s="2">
        <f t="shared" si="13"/>
        <v>13.407</v>
      </c>
      <c r="E24" s="2">
        <f t="shared" si="14"/>
        <v>3.9E-2</v>
      </c>
      <c r="F24" s="3">
        <f t="shared" si="14"/>
        <v>4.8000000000000001E-2</v>
      </c>
      <c r="G24" s="2">
        <f t="shared" si="14"/>
        <v>5.7000000000000002E-2</v>
      </c>
      <c r="K24" s="14" t="s">
        <v>97</v>
      </c>
      <c r="L24" s="56">
        <v>12.738384435634519</v>
      </c>
      <c r="M24" s="56">
        <v>11.448785987260484</v>
      </c>
      <c r="N24" s="56">
        <v>14.027982884008553</v>
      </c>
      <c r="O24" s="1">
        <f t="shared" si="10"/>
        <v>11.449</v>
      </c>
      <c r="P24" s="1">
        <f t="shared" si="11"/>
        <v>12.738</v>
      </c>
      <c r="Q24" s="1">
        <f t="shared" si="12"/>
        <v>14.028</v>
      </c>
      <c r="R24" s="14" t="str">
        <f t="shared" si="6"/>
        <v>2027Q2</v>
      </c>
      <c r="S24" s="39">
        <v>5.0234428190804786E-2</v>
      </c>
      <c r="T24" s="39">
        <v>4.0921229824339662E-2</v>
      </c>
      <c r="U24" s="39">
        <v>5.954762655726991E-2</v>
      </c>
      <c r="V24" s="1">
        <f t="shared" si="3"/>
        <v>4.1000000000000002E-2</v>
      </c>
      <c r="W24" s="1">
        <f t="shared" si="4"/>
        <v>0.05</v>
      </c>
      <c r="X24" s="1">
        <f t="shared" si="5"/>
        <v>0.06</v>
      </c>
    </row>
    <row r="25" spans="1:24" ht="15.5" thickTop="1" thickBot="1" x14ac:dyDescent="0.4">
      <c r="A25" s="5" t="str">
        <f t="shared" si="7"/>
        <v>2027Q2</v>
      </c>
      <c r="B25" s="2">
        <f t="shared" si="13"/>
        <v>11.449</v>
      </c>
      <c r="C25" s="3">
        <f t="shared" si="13"/>
        <v>12.738</v>
      </c>
      <c r="D25" s="2">
        <f t="shared" si="13"/>
        <v>14.028</v>
      </c>
      <c r="E25" s="2">
        <f t="shared" si="14"/>
        <v>4.1000000000000002E-2</v>
      </c>
      <c r="F25" s="3">
        <f t="shared" si="14"/>
        <v>0.05</v>
      </c>
      <c r="G25" s="2">
        <f t="shared" si="14"/>
        <v>0.06</v>
      </c>
      <c r="K25" s="14" t="s">
        <v>98</v>
      </c>
      <c r="L25" s="56">
        <v>12.35997683010835</v>
      </c>
      <c r="M25" s="56">
        <v>11.068221944881744</v>
      </c>
      <c r="N25" s="56">
        <v>13.651731715334956</v>
      </c>
      <c r="O25" s="1">
        <f t="shared" si="10"/>
        <v>11.068</v>
      </c>
      <c r="P25" s="1">
        <f t="shared" si="11"/>
        <v>12.36</v>
      </c>
      <c r="Q25" s="1">
        <f t="shared" si="12"/>
        <v>13.651999999999999</v>
      </c>
      <c r="R25" s="14" t="str">
        <f t="shared" si="6"/>
        <v>2027Q3</v>
      </c>
      <c r="S25" s="39">
        <v>4.9838156752145438E-2</v>
      </c>
      <c r="T25" s="39">
        <v>4.0305298009637766E-2</v>
      </c>
      <c r="U25" s="39">
        <v>5.9371015494653109E-2</v>
      </c>
      <c r="V25" s="1">
        <f t="shared" si="3"/>
        <v>0.04</v>
      </c>
      <c r="W25" s="1">
        <f t="shared" si="4"/>
        <v>0.05</v>
      </c>
      <c r="X25" s="1">
        <f t="shared" si="5"/>
        <v>5.8999999999999997E-2</v>
      </c>
    </row>
    <row r="26" spans="1:24" ht="15.5" thickTop="1" thickBot="1" x14ac:dyDescent="0.4">
      <c r="A26" s="5" t="str">
        <f t="shared" si="7"/>
        <v>2027Q3</v>
      </c>
      <c r="B26" s="2">
        <f t="shared" si="13"/>
        <v>11.068</v>
      </c>
      <c r="C26" s="3">
        <f t="shared" si="13"/>
        <v>12.36</v>
      </c>
      <c r="D26" s="2">
        <f t="shared" si="13"/>
        <v>13.651999999999999</v>
      </c>
      <c r="E26" s="2">
        <f t="shared" si="14"/>
        <v>0.04</v>
      </c>
      <c r="F26" s="3">
        <f t="shared" si="14"/>
        <v>0.05</v>
      </c>
      <c r="G26" s="2">
        <f t="shared" si="14"/>
        <v>5.8999999999999997E-2</v>
      </c>
      <c r="K26" s="14" t="s">
        <v>99</v>
      </c>
      <c r="L26" s="56">
        <v>12.784439248772992</v>
      </c>
      <c r="M26" s="56">
        <v>11.490870595966653</v>
      </c>
      <c r="N26" s="56">
        <v>14.078007901579332</v>
      </c>
      <c r="O26" s="1">
        <f t="shared" si="10"/>
        <v>11.491</v>
      </c>
      <c r="P26" s="1">
        <f t="shared" si="11"/>
        <v>12.784000000000001</v>
      </c>
      <c r="Q26" s="1">
        <f t="shared" si="12"/>
        <v>14.077999999999999</v>
      </c>
      <c r="R26" s="14" t="str">
        <f t="shared" si="6"/>
        <v>2027Q4</v>
      </c>
      <c r="S26" s="39">
        <v>5.0820991139707651E-2</v>
      </c>
      <c r="T26" s="39">
        <v>4.1093884866321227E-2</v>
      </c>
      <c r="U26" s="39">
        <v>6.0548097413094075E-2</v>
      </c>
      <c r="V26" s="1">
        <f t="shared" si="3"/>
        <v>4.1000000000000002E-2</v>
      </c>
      <c r="W26" s="1">
        <f t="shared" si="4"/>
        <v>5.0999999999999997E-2</v>
      </c>
      <c r="X26" s="1">
        <f t="shared" si="5"/>
        <v>6.0999999999999999E-2</v>
      </c>
    </row>
    <row r="27" spans="1:24" ht="15.5" thickTop="1" thickBot="1" x14ac:dyDescent="0.4">
      <c r="A27" s="5" t="str">
        <f t="shared" si="7"/>
        <v>2027Q4</v>
      </c>
      <c r="B27" s="2">
        <f t="shared" si="13"/>
        <v>11.491</v>
      </c>
      <c r="C27" s="3">
        <f t="shared" si="13"/>
        <v>12.784000000000001</v>
      </c>
      <c r="D27" s="2">
        <f t="shared" si="13"/>
        <v>14.077999999999999</v>
      </c>
      <c r="E27" s="2">
        <f t="shared" si="14"/>
        <v>4.1000000000000002E-2</v>
      </c>
      <c r="F27" s="3">
        <f t="shared" si="14"/>
        <v>5.0999999999999997E-2</v>
      </c>
      <c r="G27" s="2">
        <f t="shared" si="14"/>
        <v>6.0999999999999999E-2</v>
      </c>
      <c r="K27" s="14" t="s">
        <v>100</v>
      </c>
      <c r="L27" s="56">
        <v>12.091573150560171</v>
      </c>
      <c r="M27" s="56">
        <v>10.79647857230754</v>
      </c>
      <c r="N27" s="56">
        <v>13.386667728812801</v>
      </c>
      <c r="O27" s="1">
        <f t="shared" si="10"/>
        <v>10.795999999999999</v>
      </c>
      <c r="P27" s="1">
        <f t="shared" si="11"/>
        <v>12.092000000000001</v>
      </c>
      <c r="Q27" s="1">
        <f t="shared" si="12"/>
        <v>13.387</v>
      </c>
      <c r="R27" s="14" t="str">
        <f t="shared" si="6"/>
        <v>2028Q1</v>
      </c>
      <c r="S27" s="39">
        <v>4.9942644156336362E-2</v>
      </c>
      <c r="T27" s="39">
        <v>4.0005407797603247E-2</v>
      </c>
      <c r="U27" s="39">
        <v>5.9879880515069477E-2</v>
      </c>
      <c r="V27" s="1">
        <f t="shared" si="3"/>
        <v>0.04</v>
      </c>
      <c r="W27" s="1">
        <f t="shared" si="4"/>
        <v>0.05</v>
      </c>
      <c r="X27" s="1">
        <f t="shared" si="5"/>
        <v>0.06</v>
      </c>
    </row>
    <row r="28" spans="1:24" ht="15.5" thickTop="1" thickBot="1" x14ac:dyDescent="0.4">
      <c r="A28" s="5" t="str">
        <f t="shared" si="7"/>
        <v>2028Q1</v>
      </c>
      <c r="B28" s="2">
        <f t="shared" si="13"/>
        <v>10.795999999999999</v>
      </c>
      <c r="C28" s="3">
        <f t="shared" si="13"/>
        <v>12.092000000000001</v>
      </c>
      <c r="D28" s="2">
        <f t="shared" si="13"/>
        <v>13.387</v>
      </c>
      <c r="E28" s="2">
        <f t="shared" si="14"/>
        <v>0.04</v>
      </c>
      <c r="F28" s="3">
        <f t="shared" si="14"/>
        <v>0.05</v>
      </c>
      <c r="G28" s="2">
        <f t="shared" si="14"/>
        <v>0.06</v>
      </c>
      <c r="K28" s="14" t="s">
        <v>101</v>
      </c>
      <c r="L28" s="56">
        <v>12.712282629480038</v>
      </c>
      <c r="M28" s="56">
        <v>11.415904023249952</v>
      </c>
      <c r="N28" s="56">
        <v>14.008661235710123</v>
      </c>
      <c r="O28" s="1">
        <f t="shared" si="10"/>
        <v>11.416</v>
      </c>
      <c r="P28" s="1">
        <f t="shared" si="11"/>
        <v>12.712</v>
      </c>
      <c r="Q28" s="1">
        <f t="shared" si="12"/>
        <v>14.009</v>
      </c>
      <c r="R28" s="14" t="str">
        <f t="shared" si="6"/>
        <v>2028Q2</v>
      </c>
      <c r="S28" s="39">
        <v>5.1829764160006293E-2</v>
      </c>
      <c r="T28" s="39">
        <v>4.1705682915932817E-2</v>
      </c>
      <c r="U28" s="39">
        <v>6.195384540407977E-2</v>
      </c>
      <c r="V28" s="1">
        <f t="shared" si="3"/>
        <v>4.2000000000000003E-2</v>
      </c>
      <c r="W28" s="1">
        <f t="shared" si="4"/>
        <v>5.1999999999999998E-2</v>
      </c>
      <c r="X28" s="1">
        <f t="shared" si="5"/>
        <v>6.2E-2</v>
      </c>
    </row>
    <row r="29" spans="1:24" ht="15.5" thickTop="1" thickBot="1" x14ac:dyDescent="0.4">
      <c r="A29" s="5" t="str">
        <f t="shared" si="7"/>
        <v>2028Q2</v>
      </c>
      <c r="B29" s="2">
        <f t="shared" si="13"/>
        <v>11.416</v>
      </c>
      <c r="C29" s="3">
        <f t="shared" si="13"/>
        <v>12.712</v>
      </c>
      <c r="D29" s="2">
        <f t="shared" si="13"/>
        <v>14.009</v>
      </c>
      <c r="E29" s="2">
        <f t="shared" si="14"/>
        <v>4.2000000000000003E-2</v>
      </c>
      <c r="F29" s="3">
        <f t="shared" si="14"/>
        <v>5.1999999999999998E-2</v>
      </c>
      <c r="G29" s="2">
        <f t="shared" si="14"/>
        <v>6.2E-2</v>
      </c>
      <c r="K29" s="14" t="s">
        <v>102</v>
      </c>
      <c r="L29" s="56">
        <v>12.335623674265957</v>
      </c>
      <c r="M29" s="56">
        <v>11.038164403962595</v>
      </c>
      <c r="N29" s="56">
        <v>13.633082944569319</v>
      </c>
      <c r="O29" s="1">
        <f t="shared" si="10"/>
        <v>11.038</v>
      </c>
      <c r="P29" s="1">
        <f t="shared" si="11"/>
        <v>12.336</v>
      </c>
      <c r="Q29" s="1">
        <f t="shared" si="12"/>
        <v>13.632999999999999</v>
      </c>
      <c r="R29" s="14" t="str">
        <f t="shared" si="6"/>
        <v>2028Q3</v>
      </c>
      <c r="S29" s="39">
        <v>5.1467080863438604E-2</v>
      </c>
      <c r="T29" s="39">
        <v>4.1141301448698639E-2</v>
      </c>
      <c r="U29" s="39">
        <v>6.1792860278178569E-2</v>
      </c>
      <c r="V29" s="1">
        <f t="shared" si="3"/>
        <v>4.1000000000000002E-2</v>
      </c>
      <c r="W29" s="1">
        <f t="shared" si="4"/>
        <v>5.0999999999999997E-2</v>
      </c>
      <c r="X29" s="1">
        <f t="shared" si="5"/>
        <v>6.2E-2</v>
      </c>
    </row>
    <row r="30" spans="1:24" ht="15.5" thickTop="1" thickBot="1" x14ac:dyDescent="0.4">
      <c r="A30" s="5" t="str">
        <f t="shared" si="7"/>
        <v>2028Q3</v>
      </c>
      <c r="B30" s="2">
        <f t="shared" si="13"/>
        <v>11.038</v>
      </c>
      <c r="C30" s="3">
        <f t="shared" si="13"/>
        <v>12.336</v>
      </c>
      <c r="D30" s="2">
        <f t="shared" si="13"/>
        <v>13.632999999999999</v>
      </c>
      <c r="E30" s="2">
        <f t="shared" si="14"/>
        <v>4.1000000000000002E-2</v>
      </c>
      <c r="F30" s="3">
        <f t="shared" si="14"/>
        <v>5.0999999999999997E-2</v>
      </c>
      <c r="G30" s="2">
        <f t="shared" si="14"/>
        <v>6.2E-2</v>
      </c>
      <c r="K30" s="14" t="s">
        <v>103</v>
      </c>
      <c r="L30" s="56">
        <v>12.761691034173458</v>
      </c>
      <c r="M30" s="56">
        <v>11.463322123065348</v>
      </c>
      <c r="N30" s="56">
        <v>14.060059945281568</v>
      </c>
      <c r="O30" s="1">
        <f t="shared" si="10"/>
        <v>11.462999999999999</v>
      </c>
      <c r="P30" s="1">
        <f t="shared" si="11"/>
        <v>12.762</v>
      </c>
      <c r="Q30" s="1">
        <f t="shared" si="12"/>
        <v>14.06</v>
      </c>
      <c r="R30" s="14" t="str">
        <f t="shared" si="6"/>
        <v>2028Q4</v>
      </c>
      <c r="S30" s="39">
        <v>5.2416957217281866E-2</v>
      </c>
      <c r="T30" s="39">
        <v>4.1910912785217171E-2</v>
      </c>
      <c r="U30" s="39">
        <v>6.2923001649346555E-2</v>
      </c>
      <c r="V30" s="1">
        <f t="shared" si="3"/>
        <v>4.2000000000000003E-2</v>
      </c>
      <c r="W30" s="1">
        <f t="shared" si="4"/>
        <v>5.1999999999999998E-2</v>
      </c>
      <c r="X30" s="1">
        <f t="shared" si="5"/>
        <v>6.3E-2</v>
      </c>
    </row>
    <row r="31" spans="1:24" ht="15.5" thickTop="1" thickBot="1" x14ac:dyDescent="0.4">
      <c r="A31" s="5" t="str">
        <f t="shared" si="7"/>
        <v>2028Q4</v>
      </c>
      <c r="B31" s="2">
        <f t="shared" si="13"/>
        <v>11.462999999999999</v>
      </c>
      <c r="C31" s="3">
        <f t="shared" si="13"/>
        <v>12.762</v>
      </c>
      <c r="D31" s="2">
        <f t="shared" si="13"/>
        <v>14.06</v>
      </c>
      <c r="E31" s="2">
        <f t="shared" si="14"/>
        <v>4.2000000000000003E-2</v>
      </c>
      <c r="F31" s="3">
        <f t="shared" si="14"/>
        <v>5.1999999999999998E-2</v>
      </c>
      <c r="G31" s="2">
        <f t="shared" si="14"/>
        <v>6.3E-2</v>
      </c>
      <c r="K31" s="14" t="s">
        <v>104</v>
      </c>
      <c r="L31" s="56">
        <v>12.070297978555388</v>
      </c>
      <c r="M31" s="56">
        <v>10.771163290912774</v>
      </c>
      <c r="N31" s="56">
        <v>13.369432666198001</v>
      </c>
      <c r="O31" s="1">
        <f t="shared" si="10"/>
        <v>10.771000000000001</v>
      </c>
      <c r="P31" s="1">
        <f t="shared" si="11"/>
        <v>12.07</v>
      </c>
      <c r="Q31" s="1">
        <f t="shared" si="12"/>
        <v>13.369</v>
      </c>
      <c r="R31" s="14" t="str">
        <f t="shared" si="6"/>
        <v>2029Q1</v>
      </c>
      <c r="S31" s="39">
        <v>5.1570949979992849E-2</v>
      </c>
      <c r="T31" s="39">
        <v>4.0870736022040867E-2</v>
      </c>
      <c r="U31" s="39">
        <v>6.2271163937944823E-2</v>
      </c>
      <c r="V31" s="1">
        <f t="shared" si="3"/>
        <v>4.1000000000000002E-2</v>
      </c>
      <c r="W31" s="1">
        <f t="shared" si="4"/>
        <v>5.1999999999999998E-2</v>
      </c>
      <c r="X31" s="1">
        <f t="shared" si="5"/>
        <v>6.2E-2</v>
      </c>
    </row>
    <row r="32" spans="1:24" ht="15.5" thickTop="1" thickBot="1" x14ac:dyDescent="0.4">
      <c r="A32" s="5" t="str">
        <f t="shared" si="7"/>
        <v>2029Q1</v>
      </c>
      <c r="B32" s="2">
        <f t="shared" si="13"/>
        <v>10.771000000000001</v>
      </c>
      <c r="C32" s="3">
        <f t="shared" si="13"/>
        <v>12.07</v>
      </c>
      <c r="D32" s="2">
        <f t="shared" si="13"/>
        <v>13.369</v>
      </c>
      <c r="E32" s="2">
        <f t="shared" si="14"/>
        <v>4.1000000000000002E-2</v>
      </c>
      <c r="F32" s="3">
        <f t="shared" si="14"/>
        <v>5.1999999999999998E-2</v>
      </c>
      <c r="G32" s="2">
        <f t="shared" si="14"/>
        <v>6.2E-2</v>
      </c>
      <c r="K32" s="14" t="s">
        <v>105</v>
      </c>
      <c r="L32" s="56">
        <v>12.692359441228936</v>
      </c>
      <c r="M32" s="56">
        <v>11.392580022484312</v>
      </c>
      <c r="N32" s="56">
        <v>13.99213885997356</v>
      </c>
      <c r="O32" s="1">
        <f t="shared" si="10"/>
        <v>11.393000000000001</v>
      </c>
      <c r="P32" s="1">
        <f t="shared" si="11"/>
        <v>12.692</v>
      </c>
      <c r="Q32" s="1">
        <f t="shared" si="12"/>
        <v>13.992000000000001</v>
      </c>
      <c r="R32" s="14" t="str">
        <f t="shared" si="6"/>
        <v>2029Q2</v>
      </c>
      <c r="S32" s="39">
        <v>5.3426336926236349E-2</v>
      </c>
      <c r="T32" s="39">
        <v>4.2551757758980513E-2</v>
      </c>
      <c r="U32" s="39">
        <v>6.4300916093492186E-2</v>
      </c>
      <c r="V32" s="1">
        <f t="shared" si="3"/>
        <v>4.2999999999999997E-2</v>
      </c>
      <c r="W32" s="1">
        <f t="shared" si="4"/>
        <v>5.2999999999999999E-2</v>
      </c>
      <c r="X32" s="1">
        <f t="shared" si="5"/>
        <v>6.4000000000000001E-2</v>
      </c>
    </row>
    <row r="33" spans="1:24" ht="15.5" thickTop="1" thickBot="1" x14ac:dyDescent="0.4">
      <c r="A33" s="5" t="str">
        <f t="shared" si="7"/>
        <v>2029Q2</v>
      </c>
      <c r="B33" s="2">
        <f t="shared" si="13"/>
        <v>11.393000000000001</v>
      </c>
      <c r="C33" s="3">
        <f t="shared" si="13"/>
        <v>12.692</v>
      </c>
      <c r="D33" s="2">
        <f t="shared" si="13"/>
        <v>13.992000000000001</v>
      </c>
      <c r="E33" s="2">
        <f t="shared" si="14"/>
        <v>4.2999999999999997E-2</v>
      </c>
      <c r="F33" s="3">
        <f t="shared" si="14"/>
        <v>5.2999999999999999E-2</v>
      </c>
      <c r="G33" s="2">
        <f t="shared" si="14"/>
        <v>6.4000000000000001E-2</v>
      </c>
      <c r="K33" s="14" t="s">
        <v>106</v>
      </c>
      <c r="L33" s="56">
        <v>12.316941359888238</v>
      </c>
      <c r="M33" s="56">
        <v>11.016619075262591</v>
      </c>
      <c r="N33" s="56">
        <v>13.617263644513885</v>
      </c>
      <c r="O33" s="1">
        <f t="shared" si="10"/>
        <v>11.016999999999999</v>
      </c>
      <c r="P33" s="1">
        <f t="shared" si="11"/>
        <v>12.317</v>
      </c>
      <c r="Q33" s="1">
        <f t="shared" si="12"/>
        <v>13.617000000000001</v>
      </c>
      <c r="R33" s="14" t="str">
        <f t="shared" si="6"/>
        <v>2029Q3</v>
      </c>
      <c r="S33" s="39">
        <v>5.3094791379825E-2</v>
      </c>
      <c r="T33" s="39">
        <v>4.2032817769731293E-2</v>
      </c>
      <c r="U33" s="39">
        <v>6.4156764989918708E-2</v>
      </c>
      <c r="V33" s="1">
        <f t="shared" si="3"/>
        <v>4.2000000000000003E-2</v>
      </c>
      <c r="W33" s="1">
        <f t="shared" si="4"/>
        <v>5.2999999999999999E-2</v>
      </c>
      <c r="X33" s="1">
        <f t="shared" si="5"/>
        <v>6.4000000000000001E-2</v>
      </c>
    </row>
    <row r="34" spans="1:24" ht="15.5" thickTop="1" thickBot="1" x14ac:dyDescent="0.4">
      <c r="A34" s="5" t="str">
        <f t="shared" si="7"/>
        <v>2029Q3</v>
      </c>
      <c r="B34" s="2">
        <f t="shared" si="13"/>
        <v>11.016999999999999</v>
      </c>
      <c r="C34" s="3">
        <f t="shared" si="13"/>
        <v>12.317</v>
      </c>
      <c r="D34" s="2">
        <f t="shared" si="13"/>
        <v>13.617000000000001</v>
      </c>
      <c r="E34" s="2">
        <f t="shared" si="14"/>
        <v>4.2000000000000003E-2</v>
      </c>
      <c r="F34" s="3">
        <f t="shared" si="14"/>
        <v>5.2999999999999999E-2</v>
      </c>
      <c r="G34" s="2">
        <f t="shared" si="14"/>
        <v>6.4000000000000001E-2</v>
      </c>
      <c r="K34" s="14" t="s">
        <v>107</v>
      </c>
      <c r="L34" s="56">
        <v>12.74414761511564</v>
      </c>
      <c r="M34" s="56">
        <v>11.443368202424251</v>
      </c>
      <c r="N34" s="56">
        <v>14.044927027807029</v>
      </c>
      <c r="O34" s="1">
        <f t="shared" si="10"/>
        <v>11.443</v>
      </c>
      <c r="P34" s="1">
        <f t="shared" si="11"/>
        <v>12.744</v>
      </c>
      <c r="Q34" s="1">
        <f t="shared" si="12"/>
        <v>14.045</v>
      </c>
      <c r="R34" s="14" t="str">
        <f t="shared" si="6"/>
        <v>2029Q4</v>
      </c>
      <c r="S34" s="39">
        <v>5.401411412290931E-2</v>
      </c>
      <c r="T34" s="39">
        <v>4.278310542823785E-2</v>
      </c>
      <c r="U34" s="39">
        <v>6.5245122817580756E-2</v>
      </c>
      <c r="V34" s="1">
        <f t="shared" si="3"/>
        <v>4.2999999999999997E-2</v>
      </c>
      <c r="W34" s="1">
        <f t="shared" si="4"/>
        <v>5.3999999999999999E-2</v>
      </c>
      <c r="X34" s="1">
        <f t="shared" si="5"/>
        <v>6.5000000000000002E-2</v>
      </c>
    </row>
    <row r="35" spans="1:24" ht="13" thickTop="1" thickBot="1" x14ac:dyDescent="0.35">
      <c r="A35" s="5" t="str">
        <f t="shared" si="7"/>
        <v>2029Q4</v>
      </c>
      <c r="B35" s="2">
        <f t="shared" si="13"/>
        <v>11.443</v>
      </c>
      <c r="C35" s="3">
        <f t="shared" si="13"/>
        <v>12.744</v>
      </c>
      <c r="D35" s="2">
        <f t="shared" si="13"/>
        <v>14.045</v>
      </c>
      <c r="E35" s="2">
        <f t="shared" si="14"/>
        <v>4.2999999999999997E-2</v>
      </c>
      <c r="F35" s="3">
        <f t="shared" si="14"/>
        <v>5.3999999999999999E-2</v>
      </c>
      <c r="G35" s="2">
        <f t="shared" si="14"/>
        <v>6.5000000000000002E-2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12.595156249999999</v>
      </c>
      <c r="F38" s="1">
        <f>AVERAGE(F4:F35)</f>
        <v>4.7343750000000011E-2</v>
      </c>
    </row>
    <row r="40" spans="1:24" ht="12.5" thickBot="1" x14ac:dyDescent="0.35"/>
    <row r="41" spans="1:24" ht="15.5" thickTop="1" thickBot="1" x14ac:dyDescent="0.4">
      <c r="A41" s="29" t="s">
        <v>53</v>
      </c>
      <c r="B41" s="30"/>
      <c r="C41" s="30"/>
      <c r="D41" s="30"/>
      <c r="E41" s="30"/>
      <c r="F41" s="30"/>
      <c r="G41" s="30"/>
      <c r="K41" s="29" t="s">
        <v>28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12.349</v>
      </c>
      <c r="D44" s="6"/>
      <c r="E44" s="6"/>
      <c r="F44" s="9">
        <f>ROUND(F4-((G4-F4)*(0.5/2)),3)</f>
        <v>0.04</v>
      </c>
      <c r="G44" s="6"/>
      <c r="K44" s="7" t="str">
        <f>A4</f>
        <v>2022Q1</v>
      </c>
      <c r="L44" s="6"/>
      <c r="M44" s="9">
        <f>ROUND(C4-((D4-C4)*(1/2)),3)</f>
        <v>12.191000000000001</v>
      </c>
      <c r="N44" s="6"/>
      <c r="O44" s="6"/>
      <c r="P44" s="9">
        <f>ROUND(F4-((G4-F4)*(1/2)),3)</f>
        <v>3.9E-2</v>
      </c>
      <c r="Q44" s="6"/>
    </row>
    <row r="45" spans="1:24" ht="15.5" thickTop="1" thickBot="1" x14ac:dyDescent="0.4">
      <c r="A45" s="7" t="str">
        <f t="shared" ref="A45:A75" si="15">A5</f>
        <v>2022Q2</v>
      </c>
      <c r="B45" s="6"/>
      <c r="C45" s="9">
        <f t="shared" ref="C45:C75" si="16">ROUND(C5-((D5-C5)*(0.5/2)),3)</f>
        <v>12.901</v>
      </c>
      <c r="D45" s="6"/>
      <c r="E45" s="6"/>
      <c r="F45" s="9">
        <f t="shared" ref="F45:F75" si="17">ROUND(F5-((G5-F5)*(0.5/2)),3)</f>
        <v>4.1000000000000002E-2</v>
      </c>
      <c r="G45" s="6"/>
      <c r="K45" s="7" t="str">
        <f t="shared" ref="K45:K75" si="18">A5</f>
        <v>2022Q2</v>
      </c>
      <c r="L45" s="6"/>
      <c r="M45" s="9">
        <f t="shared" ref="M45:M75" si="19">ROUND(C5-((D5-C5)*(1/2)),3)</f>
        <v>12.706</v>
      </c>
      <c r="N45" s="6"/>
      <c r="O45" s="6"/>
      <c r="P45" s="9">
        <f t="shared" ref="P45:P75" si="20">ROUND(F5-((G5-F5)*(1/2)),3)</f>
        <v>4.1000000000000002E-2</v>
      </c>
      <c r="Q45" s="6"/>
    </row>
    <row r="46" spans="1:24" ht="15.5" thickTop="1" thickBot="1" x14ac:dyDescent="0.4">
      <c r="A46" s="7" t="str">
        <f t="shared" si="15"/>
        <v>2022Q3</v>
      </c>
      <c r="B46" s="6"/>
      <c r="C46" s="9">
        <f t="shared" si="16"/>
        <v>12.471</v>
      </c>
      <c r="D46" s="6"/>
      <c r="E46" s="6"/>
      <c r="F46" s="9">
        <f t="shared" si="17"/>
        <v>4.1000000000000002E-2</v>
      </c>
      <c r="G46" s="6"/>
      <c r="K46" s="7" t="str">
        <f t="shared" si="18"/>
        <v>2022Q3</v>
      </c>
      <c r="L46" s="6"/>
      <c r="M46" s="9">
        <f t="shared" si="19"/>
        <v>12.25</v>
      </c>
      <c r="N46" s="6"/>
      <c r="O46" s="6"/>
      <c r="P46" s="9">
        <f t="shared" si="20"/>
        <v>4.1000000000000002E-2</v>
      </c>
      <c r="Q46" s="6"/>
    </row>
    <row r="47" spans="1:24" ht="15.5" thickTop="1" thickBot="1" x14ac:dyDescent="0.4">
      <c r="A47" s="7" t="str">
        <f t="shared" si="15"/>
        <v>2022Q4</v>
      </c>
      <c r="B47" s="6"/>
      <c r="C47" s="9">
        <f t="shared" si="16"/>
        <v>12.85</v>
      </c>
      <c r="D47" s="6"/>
      <c r="E47" s="6"/>
      <c r="F47" s="9">
        <f t="shared" si="17"/>
        <v>4.2000000000000003E-2</v>
      </c>
      <c r="G47" s="6"/>
      <c r="K47" s="7" t="str">
        <f t="shared" si="18"/>
        <v>2022Q4</v>
      </c>
      <c r="L47" s="6"/>
      <c r="M47" s="9">
        <f t="shared" si="19"/>
        <v>12.61</v>
      </c>
      <c r="N47" s="6"/>
      <c r="O47" s="6"/>
      <c r="P47" s="9">
        <f t="shared" si="20"/>
        <v>4.1000000000000002E-2</v>
      </c>
      <c r="Q47" s="6"/>
    </row>
    <row r="48" spans="1:24" ht="15.5" thickTop="1" thickBot="1" x14ac:dyDescent="0.4">
      <c r="A48" s="7" t="str">
        <f t="shared" si="15"/>
        <v>2023Q1</v>
      </c>
      <c r="B48" s="6"/>
      <c r="C48" s="9">
        <f t="shared" si="16"/>
        <v>12.118</v>
      </c>
      <c r="D48" s="6"/>
      <c r="E48" s="6"/>
      <c r="F48" s="9">
        <f t="shared" si="17"/>
        <v>4.1000000000000002E-2</v>
      </c>
      <c r="G48" s="6"/>
      <c r="K48" s="7" t="str">
        <f t="shared" si="18"/>
        <v>2023Q1</v>
      </c>
      <c r="L48" s="6"/>
      <c r="M48" s="9">
        <f t="shared" si="19"/>
        <v>11.863</v>
      </c>
      <c r="N48" s="6"/>
      <c r="O48" s="6"/>
      <c r="P48" s="9">
        <f t="shared" si="20"/>
        <v>0.04</v>
      </c>
      <c r="Q48" s="6"/>
    </row>
    <row r="49" spans="1:17" ht="15.5" thickTop="1" thickBot="1" x14ac:dyDescent="0.4">
      <c r="A49" s="7" t="str">
        <f t="shared" si="15"/>
        <v>2023Q2</v>
      </c>
      <c r="B49" s="6"/>
      <c r="C49" s="9">
        <f t="shared" si="16"/>
        <v>12.705</v>
      </c>
      <c r="D49" s="6"/>
      <c r="E49" s="6"/>
      <c r="F49" s="9">
        <f t="shared" si="17"/>
        <v>4.2999999999999997E-2</v>
      </c>
      <c r="G49" s="6"/>
      <c r="K49" s="7" t="str">
        <f t="shared" si="18"/>
        <v>2023Q2</v>
      </c>
      <c r="L49" s="6"/>
      <c r="M49" s="9">
        <f t="shared" si="19"/>
        <v>12.436999999999999</v>
      </c>
      <c r="N49" s="6"/>
      <c r="O49" s="6"/>
      <c r="P49" s="9">
        <f t="shared" si="20"/>
        <v>4.2000000000000003E-2</v>
      </c>
      <c r="Q49" s="6"/>
    </row>
    <row r="50" spans="1:17" ht="15.5" thickTop="1" thickBot="1" x14ac:dyDescent="0.4">
      <c r="A50" s="7" t="str">
        <f t="shared" si="15"/>
        <v>2023Q3</v>
      </c>
      <c r="B50" s="6"/>
      <c r="C50" s="9">
        <f t="shared" si="16"/>
        <v>12.298999999999999</v>
      </c>
      <c r="D50" s="6"/>
      <c r="E50" s="6"/>
      <c r="F50" s="9">
        <f t="shared" si="17"/>
        <v>4.2000000000000003E-2</v>
      </c>
      <c r="G50" s="6"/>
      <c r="K50" s="7" t="str">
        <f t="shared" si="18"/>
        <v>2023Q3</v>
      </c>
      <c r="L50" s="6"/>
      <c r="M50" s="9">
        <f t="shared" si="19"/>
        <v>12.021000000000001</v>
      </c>
      <c r="N50" s="6"/>
      <c r="O50" s="6"/>
      <c r="P50" s="9">
        <f t="shared" si="20"/>
        <v>0.04</v>
      </c>
      <c r="Q50" s="6"/>
    </row>
    <row r="51" spans="1:17" ht="15.5" thickTop="1" thickBot="1" x14ac:dyDescent="0.4">
      <c r="A51" s="7" t="str">
        <f t="shared" si="15"/>
        <v>2023Q4</v>
      </c>
      <c r="B51" s="6"/>
      <c r="C51" s="9">
        <f t="shared" si="16"/>
        <v>12.699</v>
      </c>
      <c r="D51" s="6"/>
      <c r="E51" s="6"/>
      <c r="F51" s="9">
        <f t="shared" si="17"/>
        <v>4.2999999999999997E-2</v>
      </c>
      <c r="G51" s="6"/>
      <c r="K51" s="7" t="str">
        <f t="shared" si="18"/>
        <v>2023Q4</v>
      </c>
      <c r="L51" s="6"/>
      <c r="M51" s="9">
        <f t="shared" si="19"/>
        <v>12.413</v>
      </c>
      <c r="N51" s="6"/>
      <c r="O51" s="6"/>
      <c r="P51" s="9">
        <f t="shared" si="20"/>
        <v>4.1000000000000002E-2</v>
      </c>
      <c r="Q51" s="6"/>
    </row>
    <row r="52" spans="1:17" ht="15.5" thickTop="1" thickBot="1" x14ac:dyDescent="0.4">
      <c r="A52" s="7" t="str">
        <f t="shared" si="15"/>
        <v>2024Q1</v>
      </c>
      <c r="B52" s="6"/>
      <c r="C52" s="9">
        <f t="shared" si="16"/>
        <v>11.986000000000001</v>
      </c>
      <c r="D52" s="6"/>
      <c r="E52" s="6"/>
      <c r="F52" s="9">
        <f t="shared" si="17"/>
        <v>4.2000000000000003E-2</v>
      </c>
      <c r="G52" s="6"/>
      <c r="K52" s="7" t="str">
        <f t="shared" si="18"/>
        <v>2024Q1</v>
      </c>
      <c r="L52" s="6"/>
      <c r="M52" s="9">
        <f t="shared" si="19"/>
        <v>11.693</v>
      </c>
      <c r="N52" s="6"/>
      <c r="O52" s="6"/>
      <c r="P52" s="9">
        <f t="shared" si="20"/>
        <v>0.04</v>
      </c>
      <c r="Q52" s="6"/>
    </row>
    <row r="53" spans="1:17" ht="15.5" thickTop="1" thickBot="1" x14ac:dyDescent="0.4">
      <c r="A53" s="7" t="str">
        <f t="shared" si="15"/>
        <v>2024Q2</v>
      </c>
      <c r="B53" s="6"/>
      <c r="C53" s="9">
        <f t="shared" si="16"/>
        <v>12.587</v>
      </c>
      <c r="D53" s="6"/>
      <c r="E53" s="6"/>
      <c r="F53" s="9">
        <f t="shared" si="17"/>
        <v>4.2999999999999997E-2</v>
      </c>
      <c r="G53" s="6"/>
      <c r="K53" s="7" t="str">
        <f t="shared" si="18"/>
        <v>2024Q2</v>
      </c>
      <c r="L53" s="6"/>
      <c r="M53" s="9">
        <f t="shared" si="19"/>
        <v>12.289</v>
      </c>
      <c r="N53" s="6"/>
      <c r="O53" s="6"/>
      <c r="P53" s="9">
        <f t="shared" si="20"/>
        <v>4.2000000000000003E-2</v>
      </c>
      <c r="Q53" s="6"/>
    </row>
    <row r="54" spans="1:17" ht="15.5" thickTop="1" thickBot="1" x14ac:dyDescent="0.4">
      <c r="A54" s="7" t="str">
        <f t="shared" si="15"/>
        <v>2024Q3</v>
      </c>
      <c r="B54" s="6"/>
      <c r="C54" s="9">
        <f t="shared" si="16"/>
        <v>12.192</v>
      </c>
      <c r="D54" s="6"/>
      <c r="E54" s="6"/>
      <c r="F54" s="9">
        <f t="shared" si="17"/>
        <v>4.2999999999999997E-2</v>
      </c>
      <c r="G54" s="6"/>
      <c r="K54" s="7" t="str">
        <f t="shared" si="18"/>
        <v>2024Q3</v>
      </c>
      <c r="L54" s="6"/>
      <c r="M54" s="9">
        <f t="shared" si="19"/>
        <v>11.89</v>
      </c>
      <c r="N54" s="6"/>
      <c r="O54" s="6"/>
      <c r="P54" s="9">
        <f t="shared" si="20"/>
        <v>4.2000000000000003E-2</v>
      </c>
      <c r="Q54" s="6"/>
    </row>
    <row r="55" spans="1:17" ht="15.5" thickTop="1" thickBot="1" x14ac:dyDescent="0.4">
      <c r="A55" s="7" t="str">
        <f t="shared" si="15"/>
        <v>2024Q4</v>
      </c>
      <c r="B55" s="6"/>
      <c r="C55" s="9">
        <f t="shared" si="16"/>
        <v>12.603999999999999</v>
      </c>
      <c r="D55" s="6"/>
      <c r="E55" s="6"/>
      <c r="F55" s="9">
        <f t="shared" si="17"/>
        <v>4.3999999999999997E-2</v>
      </c>
      <c r="G55" s="6"/>
      <c r="K55" s="7" t="str">
        <f t="shared" si="18"/>
        <v>2024Q4</v>
      </c>
      <c r="L55" s="6"/>
      <c r="M55" s="9">
        <f t="shared" si="19"/>
        <v>12.297000000000001</v>
      </c>
      <c r="N55" s="6"/>
      <c r="O55" s="6"/>
      <c r="P55" s="9">
        <f t="shared" si="20"/>
        <v>4.2999999999999997E-2</v>
      </c>
      <c r="Q55" s="6"/>
    </row>
    <row r="56" spans="1:17" ht="15.5" thickTop="1" thickBot="1" x14ac:dyDescent="0.4">
      <c r="A56" s="7" t="str">
        <f t="shared" si="15"/>
        <v>2025Q1</v>
      </c>
      <c r="B56" s="6"/>
      <c r="C56" s="9">
        <f t="shared" si="16"/>
        <v>11.898999999999999</v>
      </c>
      <c r="D56" s="6"/>
      <c r="E56" s="6"/>
      <c r="F56" s="9">
        <f t="shared" si="17"/>
        <v>4.2999999999999997E-2</v>
      </c>
      <c r="G56" s="6"/>
      <c r="K56" s="7" t="str">
        <f t="shared" si="18"/>
        <v>2025Q1</v>
      </c>
      <c r="L56" s="6"/>
      <c r="M56" s="9">
        <f t="shared" si="19"/>
        <v>11.589</v>
      </c>
      <c r="N56" s="6"/>
      <c r="O56" s="6"/>
      <c r="P56" s="9">
        <f t="shared" si="20"/>
        <v>4.2000000000000003E-2</v>
      </c>
      <c r="Q56" s="6"/>
    </row>
    <row r="57" spans="1:17" ht="15.5" thickTop="1" thickBot="1" x14ac:dyDescent="0.4">
      <c r="A57" s="7" t="str">
        <f t="shared" si="15"/>
        <v>2025Q2</v>
      </c>
      <c r="B57" s="6"/>
      <c r="C57" s="9">
        <f t="shared" si="16"/>
        <v>12.507999999999999</v>
      </c>
      <c r="D57" s="6"/>
      <c r="E57" s="6"/>
      <c r="F57" s="9">
        <f t="shared" si="17"/>
        <v>4.4999999999999998E-2</v>
      </c>
      <c r="G57" s="6"/>
      <c r="K57" s="7" t="str">
        <f t="shared" si="18"/>
        <v>2025Q2</v>
      </c>
      <c r="L57" s="6"/>
      <c r="M57" s="9">
        <f t="shared" si="19"/>
        <v>12.196</v>
      </c>
      <c r="N57" s="6"/>
      <c r="O57" s="6"/>
      <c r="P57" s="9">
        <f t="shared" si="20"/>
        <v>4.3999999999999997E-2</v>
      </c>
      <c r="Q57" s="6"/>
    </row>
    <row r="58" spans="1:17" ht="15.5" thickTop="1" thickBot="1" x14ac:dyDescent="0.4">
      <c r="A58" s="7" t="str">
        <f t="shared" si="15"/>
        <v>2025Q3</v>
      </c>
      <c r="B58" s="6"/>
      <c r="C58" s="9">
        <f t="shared" si="16"/>
        <v>12.122</v>
      </c>
      <c r="D58" s="6"/>
      <c r="E58" s="6"/>
      <c r="F58" s="9">
        <f t="shared" si="17"/>
        <v>4.4999999999999998E-2</v>
      </c>
      <c r="G58" s="6"/>
      <c r="K58" s="7" t="str">
        <f t="shared" si="18"/>
        <v>2025Q3</v>
      </c>
      <c r="L58" s="6"/>
      <c r="M58" s="9">
        <f t="shared" si="19"/>
        <v>11.808</v>
      </c>
      <c r="N58" s="6"/>
      <c r="O58" s="6"/>
      <c r="P58" s="9">
        <f t="shared" si="20"/>
        <v>4.3999999999999997E-2</v>
      </c>
      <c r="Q58" s="6"/>
    </row>
    <row r="59" spans="1:17" ht="15.5" thickTop="1" thickBot="1" x14ac:dyDescent="0.4">
      <c r="A59" s="7" t="str">
        <f t="shared" si="15"/>
        <v>2025Q4</v>
      </c>
      <c r="B59" s="6"/>
      <c r="C59" s="9">
        <f t="shared" si="16"/>
        <v>12.539</v>
      </c>
      <c r="D59" s="6"/>
      <c r="E59" s="6"/>
      <c r="F59" s="9">
        <f t="shared" si="17"/>
        <v>4.5999999999999999E-2</v>
      </c>
      <c r="G59" s="6"/>
      <c r="K59" s="7" t="str">
        <f t="shared" si="18"/>
        <v>2025Q4</v>
      </c>
      <c r="L59" s="6"/>
      <c r="M59" s="9">
        <f t="shared" si="19"/>
        <v>12.223000000000001</v>
      </c>
      <c r="N59" s="6"/>
      <c r="O59" s="6"/>
      <c r="P59" s="9">
        <f t="shared" si="20"/>
        <v>4.3999999999999997E-2</v>
      </c>
      <c r="Q59" s="6"/>
    </row>
    <row r="60" spans="1:17" ht="15.5" thickTop="1" thickBot="1" x14ac:dyDescent="0.4">
      <c r="A60" s="7" t="str">
        <f t="shared" si="15"/>
        <v>2026Q1</v>
      </c>
      <c r="B60" s="6"/>
      <c r="C60" s="9">
        <f t="shared" si="16"/>
        <v>11.839</v>
      </c>
      <c r="D60" s="6"/>
      <c r="E60" s="6"/>
      <c r="F60" s="9">
        <f t="shared" si="17"/>
        <v>4.4999999999999998E-2</v>
      </c>
      <c r="G60" s="6"/>
      <c r="K60" s="7" t="str">
        <f t="shared" si="18"/>
        <v>2026Q1</v>
      </c>
      <c r="L60" s="6"/>
      <c r="M60" s="9">
        <f t="shared" si="19"/>
        <v>11.522</v>
      </c>
      <c r="N60" s="6"/>
      <c r="O60" s="6"/>
      <c r="P60" s="9">
        <f t="shared" si="20"/>
        <v>4.2999999999999997E-2</v>
      </c>
      <c r="Q60" s="6"/>
    </row>
    <row r="61" spans="1:17" ht="15.5" thickTop="1" thickBot="1" x14ac:dyDescent="0.4">
      <c r="A61" s="7" t="str">
        <f t="shared" si="15"/>
        <v>2026Q2</v>
      </c>
      <c r="B61" s="6"/>
      <c r="C61" s="9">
        <f t="shared" si="16"/>
        <v>12.454000000000001</v>
      </c>
      <c r="D61" s="6"/>
      <c r="E61" s="6"/>
      <c r="F61" s="9">
        <f t="shared" si="17"/>
        <v>4.7E-2</v>
      </c>
      <c r="G61" s="6"/>
      <c r="K61" s="7" t="str">
        <f t="shared" si="18"/>
        <v>2026Q2</v>
      </c>
      <c r="L61" s="6"/>
      <c r="M61" s="9">
        <f t="shared" si="19"/>
        <v>12.135</v>
      </c>
      <c r="N61" s="6"/>
      <c r="O61" s="6"/>
      <c r="P61" s="9">
        <f t="shared" si="20"/>
        <v>4.4999999999999998E-2</v>
      </c>
      <c r="Q61" s="6"/>
    </row>
    <row r="62" spans="1:17" ht="15.5" thickTop="1" thickBot="1" x14ac:dyDescent="0.4">
      <c r="A62" s="7" t="str">
        <f t="shared" si="15"/>
        <v>2026Q3</v>
      </c>
      <c r="B62" s="6"/>
      <c r="C62" s="9">
        <f t="shared" si="16"/>
        <v>12.071999999999999</v>
      </c>
      <c r="D62" s="6"/>
      <c r="E62" s="6"/>
      <c r="F62" s="9">
        <f t="shared" si="17"/>
        <v>4.5999999999999999E-2</v>
      </c>
      <c r="G62" s="6"/>
      <c r="K62" s="7" t="str">
        <f t="shared" si="18"/>
        <v>2026Q3</v>
      </c>
      <c r="L62" s="6"/>
      <c r="M62" s="9">
        <f t="shared" si="19"/>
        <v>11.752000000000001</v>
      </c>
      <c r="N62" s="6"/>
      <c r="O62" s="6"/>
      <c r="P62" s="9">
        <f t="shared" si="20"/>
        <v>4.3999999999999997E-2</v>
      </c>
      <c r="Q62" s="6"/>
    </row>
    <row r="63" spans="1:17" ht="15.5" thickTop="1" thickBot="1" x14ac:dyDescent="0.4">
      <c r="A63" s="7" t="str">
        <f t="shared" si="15"/>
        <v>2026Q4</v>
      </c>
      <c r="B63" s="6"/>
      <c r="C63" s="9">
        <f t="shared" si="16"/>
        <v>12.494</v>
      </c>
      <c r="D63" s="6"/>
      <c r="E63" s="6"/>
      <c r="F63" s="9">
        <f t="shared" si="17"/>
        <v>4.7E-2</v>
      </c>
      <c r="G63" s="6"/>
      <c r="K63" s="7" t="str">
        <f t="shared" si="18"/>
        <v>2026Q4</v>
      </c>
      <c r="L63" s="6"/>
      <c r="M63" s="9">
        <f t="shared" si="19"/>
        <v>12.173</v>
      </c>
      <c r="N63" s="6"/>
      <c r="O63" s="6"/>
      <c r="P63" s="9">
        <f t="shared" si="20"/>
        <v>4.4999999999999998E-2</v>
      </c>
      <c r="Q63" s="6"/>
    </row>
    <row r="64" spans="1:17" ht="15.5" thickTop="1" thickBot="1" x14ac:dyDescent="0.4">
      <c r="A64" s="7" t="str">
        <f t="shared" si="15"/>
        <v>2027Q1</v>
      </c>
      <c r="B64" s="6"/>
      <c r="C64" s="9">
        <f t="shared" si="16"/>
        <v>11.798</v>
      </c>
      <c r="D64" s="6"/>
      <c r="E64" s="6"/>
      <c r="F64" s="9">
        <f t="shared" si="17"/>
        <v>4.5999999999999999E-2</v>
      </c>
      <c r="G64" s="6"/>
      <c r="K64" s="7" t="str">
        <f t="shared" si="18"/>
        <v>2027Q1</v>
      </c>
      <c r="L64" s="6"/>
      <c r="M64" s="9">
        <f t="shared" si="19"/>
        <v>11.477</v>
      </c>
      <c r="N64" s="6"/>
      <c r="O64" s="6"/>
      <c r="P64" s="9">
        <f t="shared" si="20"/>
        <v>4.3999999999999997E-2</v>
      </c>
      <c r="Q64" s="6"/>
    </row>
    <row r="65" spans="1:17" ht="15.5" thickTop="1" thickBot="1" x14ac:dyDescent="0.4">
      <c r="A65" s="7" t="str">
        <f t="shared" si="15"/>
        <v>2027Q2</v>
      </c>
      <c r="B65" s="6"/>
      <c r="C65" s="9">
        <f t="shared" si="16"/>
        <v>12.416</v>
      </c>
      <c r="D65" s="6"/>
      <c r="E65" s="6"/>
      <c r="F65" s="9">
        <f t="shared" si="17"/>
        <v>4.8000000000000001E-2</v>
      </c>
      <c r="G65" s="6"/>
      <c r="K65" s="7" t="str">
        <f t="shared" si="18"/>
        <v>2027Q2</v>
      </c>
      <c r="L65" s="6"/>
      <c r="M65" s="9">
        <f t="shared" si="19"/>
        <v>12.093</v>
      </c>
      <c r="N65" s="6"/>
      <c r="O65" s="6"/>
      <c r="P65" s="9">
        <f t="shared" si="20"/>
        <v>4.4999999999999998E-2</v>
      </c>
      <c r="Q65" s="6"/>
    </row>
    <row r="66" spans="1:17" ht="15.5" thickTop="1" thickBot="1" x14ac:dyDescent="0.4">
      <c r="A66" s="7" t="str">
        <f t="shared" si="15"/>
        <v>2027Q3</v>
      </c>
      <c r="B66" s="6"/>
      <c r="C66" s="9">
        <f t="shared" si="16"/>
        <v>12.037000000000001</v>
      </c>
      <c r="D66" s="6"/>
      <c r="E66" s="6"/>
      <c r="F66" s="9">
        <f t="shared" si="17"/>
        <v>4.8000000000000001E-2</v>
      </c>
      <c r="G66" s="6"/>
      <c r="K66" s="7" t="str">
        <f t="shared" si="18"/>
        <v>2027Q3</v>
      </c>
      <c r="L66" s="6"/>
      <c r="M66" s="9">
        <f t="shared" si="19"/>
        <v>11.714</v>
      </c>
      <c r="N66" s="6"/>
      <c r="O66" s="6"/>
      <c r="P66" s="9">
        <f t="shared" si="20"/>
        <v>4.5999999999999999E-2</v>
      </c>
      <c r="Q66" s="6"/>
    </row>
    <row r="67" spans="1:17" ht="15.5" thickTop="1" thickBot="1" x14ac:dyDescent="0.4">
      <c r="A67" s="7" t="str">
        <f t="shared" si="15"/>
        <v>2027Q4</v>
      </c>
      <c r="B67" s="6"/>
      <c r="C67" s="9">
        <f t="shared" si="16"/>
        <v>12.461</v>
      </c>
      <c r="D67" s="6"/>
      <c r="E67" s="6"/>
      <c r="F67" s="9">
        <f t="shared" si="17"/>
        <v>4.9000000000000002E-2</v>
      </c>
      <c r="G67" s="6"/>
      <c r="K67" s="7" t="str">
        <f t="shared" si="18"/>
        <v>2027Q4</v>
      </c>
      <c r="L67" s="6"/>
      <c r="M67" s="9">
        <f t="shared" si="19"/>
        <v>12.137</v>
      </c>
      <c r="N67" s="6"/>
      <c r="O67" s="6"/>
      <c r="P67" s="9">
        <f t="shared" si="20"/>
        <v>4.5999999999999999E-2</v>
      </c>
      <c r="Q67" s="6"/>
    </row>
    <row r="68" spans="1:17" ht="15.5" thickTop="1" thickBot="1" x14ac:dyDescent="0.4">
      <c r="A68" s="7" t="str">
        <f t="shared" si="15"/>
        <v>2028Q1</v>
      </c>
      <c r="B68" s="6"/>
      <c r="C68" s="9">
        <f t="shared" si="16"/>
        <v>11.768000000000001</v>
      </c>
      <c r="D68" s="6"/>
      <c r="E68" s="6"/>
      <c r="F68" s="9">
        <f t="shared" si="17"/>
        <v>4.8000000000000001E-2</v>
      </c>
      <c r="G68" s="6"/>
      <c r="K68" s="7" t="str">
        <f t="shared" si="18"/>
        <v>2028Q1</v>
      </c>
      <c r="L68" s="6"/>
      <c r="M68" s="9">
        <f t="shared" si="19"/>
        <v>11.445</v>
      </c>
      <c r="N68" s="6"/>
      <c r="O68" s="6"/>
      <c r="P68" s="9">
        <f t="shared" si="20"/>
        <v>4.4999999999999998E-2</v>
      </c>
      <c r="Q68" s="6"/>
    </row>
    <row r="69" spans="1:17" ht="15.5" thickTop="1" thickBot="1" x14ac:dyDescent="0.4">
      <c r="A69" s="7" t="str">
        <f t="shared" si="15"/>
        <v>2028Q2</v>
      </c>
      <c r="B69" s="6"/>
      <c r="C69" s="9">
        <f t="shared" si="16"/>
        <v>12.388</v>
      </c>
      <c r="D69" s="6"/>
      <c r="E69" s="6"/>
      <c r="F69" s="9">
        <f t="shared" si="17"/>
        <v>0.05</v>
      </c>
      <c r="G69" s="6"/>
      <c r="K69" s="7" t="str">
        <f t="shared" si="18"/>
        <v>2028Q2</v>
      </c>
      <c r="L69" s="6"/>
      <c r="M69" s="9">
        <f t="shared" si="19"/>
        <v>12.064</v>
      </c>
      <c r="N69" s="6"/>
      <c r="O69" s="6"/>
      <c r="P69" s="9">
        <f t="shared" si="20"/>
        <v>4.7E-2</v>
      </c>
      <c r="Q69" s="6"/>
    </row>
    <row r="70" spans="1:17" ht="15.5" thickTop="1" thickBot="1" x14ac:dyDescent="0.4">
      <c r="A70" s="7" t="str">
        <f t="shared" si="15"/>
        <v>2028Q3</v>
      </c>
      <c r="B70" s="6"/>
      <c r="C70" s="9">
        <f t="shared" si="16"/>
        <v>12.012</v>
      </c>
      <c r="D70" s="6"/>
      <c r="E70" s="6"/>
      <c r="F70" s="9">
        <f t="shared" si="17"/>
        <v>4.8000000000000001E-2</v>
      </c>
      <c r="G70" s="6"/>
      <c r="K70" s="7" t="str">
        <f t="shared" si="18"/>
        <v>2028Q3</v>
      </c>
      <c r="L70" s="6"/>
      <c r="M70" s="9">
        <f t="shared" si="19"/>
        <v>11.688000000000001</v>
      </c>
      <c r="N70" s="6"/>
      <c r="O70" s="6"/>
      <c r="P70" s="9">
        <f t="shared" si="20"/>
        <v>4.5999999999999999E-2</v>
      </c>
      <c r="Q70" s="6"/>
    </row>
    <row r="71" spans="1:17" ht="15.5" thickTop="1" thickBot="1" x14ac:dyDescent="0.4">
      <c r="A71" s="7" t="str">
        <f t="shared" si="15"/>
        <v>2028Q4</v>
      </c>
      <c r="B71" s="6"/>
      <c r="C71" s="9">
        <f t="shared" si="16"/>
        <v>12.438000000000001</v>
      </c>
      <c r="D71" s="6"/>
      <c r="E71" s="6"/>
      <c r="F71" s="9">
        <f t="shared" si="17"/>
        <v>4.9000000000000002E-2</v>
      </c>
      <c r="G71" s="6"/>
      <c r="K71" s="7" t="str">
        <f t="shared" si="18"/>
        <v>2028Q4</v>
      </c>
      <c r="L71" s="6"/>
      <c r="M71" s="9">
        <f t="shared" si="19"/>
        <v>12.113</v>
      </c>
      <c r="N71" s="6"/>
      <c r="O71" s="6"/>
      <c r="P71" s="9">
        <f t="shared" si="20"/>
        <v>4.7E-2</v>
      </c>
      <c r="Q71" s="6"/>
    </row>
    <row r="72" spans="1:17" ht="15.5" thickTop="1" thickBot="1" x14ac:dyDescent="0.4">
      <c r="A72" s="7" t="str">
        <f t="shared" si="15"/>
        <v>2029Q1</v>
      </c>
      <c r="B72" s="6"/>
      <c r="C72" s="9">
        <f t="shared" si="16"/>
        <v>11.744999999999999</v>
      </c>
      <c r="D72" s="6"/>
      <c r="E72" s="6"/>
      <c r="F72" s="9">
        <f t="shared" si="17"/>
        <v>0.05</v>
      </c>
      <c r="G72" s="6"/>
      <c r="K72" s="7" t="str">
        <f t="shared" si="18"/>
        <v>2029Q1</v>
      </c>
      <c r="L72" s="6"/>
      <c r="M72" s="9">
        <f t="shared" si="19"/>
        <v>11.420999999999999</v>
      </c>
      <c r="N72" s="6"/>
      <c r="O72" s="6"/>
      <c r="P72" s="9">
        <f t="shared" si="20"/>
        <v>4.7E-2</v>
      </c>
      <c r="Q72" s="6"/>
    </row>
    <row r="73" spans="1:17" ht="15.5" thickTop="1" thickBot="1" x14ac:dyDescent="0.4">
      <c r="A73" s="7" t="str">
        <f t="shared" si="15"/>
        <v>2029Q2</v>
      </c>
      <c r="B73" s="6"/>
      <c r="C73" s="9">
        <f t="shared" si="16"/>
        <v>12.367000000000001</v>
      </c>
      <c r="D73" s="6"/>
      <c r="E73" s="6"/>
      <c r="F73" s="9">
        <f t="shared" si="17"/>
        <v>0.05</v>
      </c>
      <c r="G73" s="6"/>
      <c r="K73" s="7" t="str">
        <f t="shared" si="18"/>
        <v>2029Q2</v>
      </c>
      <c r="L73" s="6"/>
      <c r="M73" s="9">
        <f t="shared" si="19"/>
        <v>12.042</v>
      </c>
      <c r="N73" s="6"/>
      <c r="O73" s="6"/>
      <c r="P73" s="9">
        <f t="shared" si="20"/>
        <v>4.8000000000000001E-2</v>
      </c>
      <c r="Q73" s="6"/>
    </row>
    <row r="74" spans="1:17" ht="15.5" thickTop="1" thickBot="1" x14ac:dyDescent="0.4">
      <c r="A74" s="7" t="str">
        <f t="shared" si="15"/>
        <v>2029Q3</v>
      </c>
      <c r="B74" s="6"/>
      <c r="C74" s="9">
        <f t="shared" si="16"/>
        <v>11.992000000000001</v>
      </c>
      <c r="D74" s="6"/>
      <c r="E74" s="6"/>
      <c r="F74" s="9">
        <f t="shared" si="17"/>
        <v>0.05</v>
      </c>
      <c r="G74" s="6"/>
      <c r="K74" s="7" t="str">
        <f t="shared" si="18"/>
        <v>2029Q3</v>
      </c>
      <c r="L74" s="6"/>
      <c r="M74" s="9">
        <f t="shared" si="19"/>
        <v>11.667</v>
      </c>
      <c r="N74" s="6"/>
      <c r="O74" s="6"/>
      <c r="P74" s="9">
        <f t="shared" si="20"/>
        <v>4.8000000000000001E-2</v>
      </c>
      <c r="Q74" s="6"/>
    </row>
    <row r="75" spans="1:17" ht="15.5" thickTop="1" thickBot="1" x14ac:dyDescent="0.4">
      <c r="A75" s="7" t="str">
        <f t="shared" si="15"/>
        <v>2029Q4</v>
      </c>
      <c r="B75" s="6"/>
      <c r="C75" s="9">
        <f t="shared" si="16"/>
        <v>12.419</v>
      </c>
      <c r="D75" s="6"/>
      <c r="E75" s="6"/>
      <c r="F75" s="9">
        <f t="shared" si="17"/>
        <v>5.0999999999999997E-2</v>
      </c>
      <c r="G75" s="6"/>
      <c r="K75" s="7" t="str">
        <f t="shared" si="18"/>
        <v>2029Q4</v>
      </c>
      <c r="L75" s="6"/>
      <c r="M75" s="9">
        <f t="shared" si="19"/>
        <v>12.093999999999999</v>
      </c>
      <c r="N75" s="6"/>
      <c r="O75" s="6"/>
      <c r="P75" s="9">
        <f t="shared" si="20"/>
        <v>4.9000000000000002E-2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6"/>
  <sheetViews>
    <sheetView zoomScale="85" zoomScaleNormal="85" workbookViewId="0">
      <selection activeCell="L3" sqref="L3:N34"/>
    </sheetView>
  </sheetViews>
  <sheetFormatPr defaultColWidth="9.1796875" defaultRowHeight="12" x14ac:dyDescent="0.3"/>
  <cols>
    <col min="1" max="1" width="6.453125" style="1" bestFit="1" customWidth="1"/>
    <col min="2" max="2" width="11" style="1" bestFit="1" customWidth="1"/>
    <col min="3" max="3" width="12.81640625" style="1" bestFit="1" customWidth="1"/>
    <col min="4" max="4" width="11.1796875" style="1" bestFit="1" customWidth="1"/>
    <col min="5" max="5" width="11" style="1" bestFit="1" customWidth="1"/>
    <col min="6" max="6" width="12.81640625" style="1" bestFit="1" customWidth="1"/>
    <col min="7" max="7" width="11.1796875" style="1" bestFit="1" customWidth="1"/>
    <col min="8" max="12" width="9.1796875" style="1"/>
    <col min="13" max="13" width="19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6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57">
        <v>87.597231643043955</v>
      </c>
      <c r="M3" s="57">
        <v>75.816727082347711</v>
      </c>
      <c r="N3" s="57">
        <v>99.377736203740199</v>
      </c>
      <c r="O3" s="1">
        <f t="shared" ref="O3" si="0">ROUND(M3,3)</f>
        <v>75.816999999999993</v>
      </c>
      <c r="P3" s="1">
        <f t="shared" ref="P3" si="1">ROUND(L3,3)</f>
        <v>87.596999999999994</v>
      </c>
      <c r="Q3" s="1">
        <f t="shared" ref="Q3" si="2">ROUND(N3,3)</f>
        <v>99.378</v>
      </c>
      <c r="R3" s="14" t="str">
        <f>K3</f>
        <v>2022Q1</v>
      </c>
      <c r="S3" s="40">
        <v>3.2715933912703471E-2</v>
      </c>
      <c r="T3" s="40">
        <v>3.0171056298343508E-2</v>
      </c>
      <c r="U3" s="40">
        <v>3.5260811527063438E-2</v>
      </c>
      <c r="V3" s="1">
        <f t="shared" ref="V3:V34" si="3">ROUND(T3,3)</f>
        <v>0.03</v>
      </c>
      <c r="W3" s="1">
        <f t="shared" ref="W3:W34" si="4">ROUND(S3,3)</f>
        <v>3.3000000000000002E-2</v>
      </c>
      <c r="X3" s="1">
        <f t="shared" ref="X3:X34" si="5">ROUND(U3,3)</f>
        <v>3.5000000000000003E-2</v>
      </c>
    </row>
    <row r="4" spans="1:30" ht="15.5" thickTop="1" thickBot="1" x14ac:dyDescent="0.4">
      <c r="A4" s="5" t="str">
        <f>K3</f>
        <v>2022Q1</v>
      </c>
      <c r="B4" s="2">
        <f>O3</f>
        <v>75.816999999999993</v>
      </c>
      <c r="C4" s="3">
        <f>P3</f>
        <v>87.596999999999994</v>
      </c>
      <c r="D4" s="2">
        <f>Q3</f>
        <v>99.378</v>
      </c>
      <c r="E4" s="2">
        <f>V3</f>
        <v>0.03</v>
      </c>
      <c r="F4" s="3">
        <f>W3</f>
        <v>3.3000000000000002E-2</v>
      </c>
      <c r="G4" s="2">
        <f>X3</f>
        <v>3.5000000000000003E-2</v>
      </c>
      <c r="K4" s="14" t="s">
        <v>70</v>
      </c>
      <c r="L4" s="57">
        <v>100.89713261290622</v>
      </c>
      <c r="M4" s="57">
        <v>86.435594016536598</v>
      </c>
      <c r="N4" s="57">
        <v>115.35867120927584</v>
      </c>
      <c r="O4" s="1">
        <f t="shared" ref="O4:O15" si="6">ROUND(M4,3)</f>
        <v>86.436000000000007</v>
      </c>
      <c r="P4" s="1">
        <f t="shared" ref="P4:P15" si="7">ROUND(L4,3)</f>
        <v>100.89700000000001</v>
      </c>
      <c r="Q4" s="1">
        <f t="shared" ref="Q4:Q15" si="8">ROUND(N4,3)</f>
        <v>115.35899999999999</v>
      </c>
      <c r="R4" s="14" t="str">
        <f t="shared" ref="R4:R34" si="9">K4</f>
        <v>2022Q2</v>
      </c>
      <c r="S4" s="40">
        <v>3.3577179707889211E-2</v>
      </c>
      <c r="T4" s="40">
        <v>3.0232902581727766E-2</v>
      </c>
      <c r="U4" s="40">
        <v>3.692145683405066E-2</v>
      </c>
      <c r="V4" s="1">
        <f t="shared" si="3"/>
        <v>0.03</v>
      </c>
      <c r="W4" s="1">
        <f t="shared" si="4"/>
        <v>3.4000000000000002E-2</v>
      </c>
      <c r="X4" s="1">
        <f t="shared" si="5"/>
        <v>3.6999999999999998E-2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10">K4</f>
        <v>2022Q2</v>
      </c>
      <c r="B5" s="2">
        <f t="shared" ref="B5:D20" si="11">O4</f>
        <v>86.436000000000007</v>
      </c>
      <c r="C5" s="3">
        <f t="shared" si="11"/>
        <v>100.89700000000001</v>
      </c>
      <c r="D5" s="2">
        <f t="shared" si="11"/>
        <v>115.35899999999999</v>
      </c>
      <c r="E5" s="2">
        <f t="shared" ref="E5:G20" si="12">V4</f>
        <v>0.03</v>
      </c>
      <c r="F5" s="3">
        <f t="shared" si="12"/>
        <v>3.4000000000000002E-2</v>
      </c>
      <c r="G5" s="2">
        <f t="shared" si="12"/>
        <v>3.6999999999999998E-2</v>
      </c>
      <c r="I5" s="1">
        <f>SUM(F5:F8)</f>
        <v>0.13400000000000001</v>
      </c>
      <c r="K5" s="14" t="s">
        <v>71</v>
      </c>
      <c r="L5" s="57">
        <v>92.838390814845525</v>
      </c>
      <c r="M5" s="57">
        <v>77.976049563565752</v>
      </c>
      <c r="N5" s="57">
        <v>107.7007320661253</v>
      </c>
      <c r="O5" s="1">
        <f t="shared" si="6"/>
        <v>77.975999999999999</v>
      </c>
      <c r="P5" s="1">
        <f t="shared" si="7"/>
        <v>92.837999999999994</v>
      </c>
      <c r="Q5" s="1">
        <f t="shared" si="8"/>
        <v>107.70099999999999</v>
      </c>
      <c r="R5" s="14" t="str">
        <f t="shared" si="9"/>
        <v>2022Q3</v>
      </c>
      <c r="S5" s="40">
        <v>3.3210822929328851E-2</v>
      </c>
      <c r="T5" s="40">
        <v>2.9231944045465572E-2</v>
      </c>
      <c r="U5" s="40">
        <v>3.718970181319213E-2</v>
      </c>
      <c r="V5" s="1">
        <f t="shared" si="3"/>
        <v>2.9000000000000001E-2</v>
      </c>
      <c r="W5" s="1">
        <f t="shared" si="4"/>
        <v>3.3000000000000002E-2</v>
      </c>
      <c r="X5" s="1">
        <f t="shared" si="5"/>
        <v>3.6999999999999998E-2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10"/>
        <v>2022Q3</v>
      </c>
      <c r="B6" s="2">
        <f t="shared" si="11"/>
        <v>77.975999999999999</v>
      </c>
      <c r="C6" s="3">
        <f t="shared" si="11"/>
        <v>92.837999999999994</v>
      </c>
      <c r="D6" s="2">
        <f t="shared" si="11"/>
        <v>107.70099999999999</v>
      </c>
      <c r="E6" s="2">
        <f t="shared" si="12"/>
        <v>2.9000000000000001E-2</v>
      </c>
      <c r="F6" s="3">
        <f t="shared" si="12"/>
        <v>3.3000000000000002E-2</v>
      </c>
      <c r="G6" s="2">
        <f t="shared" si="12"/>
        <v>3.6999999999999998E-2</v>
      </c>
      <c r="I6" s="1">
        <f>SUM(F9:F12)</f>
        <v>0.13700000000000001</v>
      </c>
      <c r="K6" s="14" t="s">
        <v>72</v>
      </c>
      <c r="L6" s="57">
        <v>92.742778236461646</v>
      </c>
      <c r="M6" s="57">
        <v>77.814530980255498</v>
      </c>
      <c r="N6" s="57">
        <v>107.67102549266779</v>
      </c>
      <c r="O6" s="1">
        <f t="shared" si="6"/>
        <v>77.814999999999998</v>
      </c>
      <c r="P6" s="1">
        <f t="shared" si="7"/>
        <v>92.742999999999995</v>
      </c>
      <c r="Q6" s="1">
        <f t="shared" si="8"/>
        <v>107.67100000000001</v>
      </c>
      <c r="R6" s="14" t="str">
        <f t="shared" si="9"/>
        <v>2022Q4</v>
      </c>
      <c r="S6" s="40">
        <v>3.3342380267889465E-2</v>
      </c>
      <c r="T6" s="40">
        <v>2.8817281738733425E-2</v>
      </c>
      <c r="U6" s="40">
        <v>3.7867478797045509E-2</v>
      </c>
      <c r="V6" s="1">
        <f t="shared" si="3"/>
        <v>2.9000000000000001E-2</v>
      </c>
      <c r="W6" s="1">
        <f t="shared" si="4"/>
        <v>3.3000000000000002E-2</v>
      </c>
      <c r="X6" s="1">
        <f t="shared" si="5"/>
        <v>3.7999999999999999E-2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10"/>
        <v>2022Q4</v>
      </c>
      <c r="B7" s="2">
        <f t="shared" si="11"/>
        <v>77.814999999999998</v>
      </c>
      <c r="C7" s="3">
        <f t="shared" si="11"/>
        <v>92.742999999999995</v>
      </c>
      <c r="D7" s="2">
        <f t="shared" si="11"/>
        <v>107.67100000000001</v>
      </c>
      <c r="E7" s="2">
        <f t="shared" si="12"/>
        <v>2.9000000000000001E-2</v>
      </c>
      <c r="F7" s="3">
        <f t="shared" si="12"/>
        <v>3.3000000000000002E-2</v>
      </c>
      <c r="G7" s="2">
        <f t="shared" si="12"/>
        <v>3.7999999999999999E-2</v>
      </c>
      <c r="I7" s="1">
        <f>SUM(F13:F16)</f>
        <v>0.14000000000000001</v>
      </c>
      <c r="K7" s="14" t="s">
        <v>73</v>
      </c>
      <c r="L7" s="57">
        <v>94.743022922033276</v>
      </c>
      <c r="M7" s="57">
        <v>79.803794268754615</v>
      </c>
      <c r="N7" s="57">
        <v>109.68225157531194</v>
      </c>
      <c r="O7" s="1">
        <f t="shared" si="6"/>
        <v>79.804000000000002</v>
      </c>
      <c r="P7" s="1">
        <f t="shared" si="7"/>
        <v>94.742999999999995</v>
      </c>
      <c r="Q7" s="1">
        <f t="shared" si="8"/>
        <v>109.682</v>
      </c>
      <c r="R7" s="14" t="str">
        <f t="shared" si="9"/>
        <v>2023Q1</v>
      </c>
      <c r="S7" s="40">
        <v>3.3627447113879362E-2</v>
      </c>
      <c r="T7" s="40">
        <v>2.8615314592328484E-2</v>
      </c>
      <c r="U7" s="40">
        <v>3.8639579635430243E-2</v>
      </c>
      <c r="V7" s="1">
        <f t="shared" si="3"/>
        <v>2.9000000000000001E-2</v>
      </c>
      <c r="W7" s="1">
        <f t="shared" si="4"/>
        <v>3.4000000000000002E-2</v>
      </c>
      <c r="X7" s="1">
        <f t="shared" si="5"/>
        <v>3.9E-2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10"/>
        <v>2023Q1</v>
      </c>
      <c r="B8" s="2">
        <f t="shared" si="11"/>
        <v>79.804000000000002</v>
      </c>
      <c r="C8" s="3">
        <f t="shared" si="11"/>
        <v>94.742999999999995</v>
      </c>
      <c r="D8" s="2">
        <f t="shared" si="11"/>
        <v>109.682</v>
      </c>
      <c r="E8" s="2">
        <f t="shared" si="12"/>
        <v>2.9000000000000001E-2</v>
      </c>
      <c r="F8" s="3">
        <f t="shared" si="12"/>
        <v>3.4000000000000002E-2</v>
      </c>
      <c r="G8" s="2">
        <f t="shared" si="12"/>
        <v>3.9E-2</v>
      </c>
      <c r="I8" s="1">
        <f>SUM(F17:F20)</f>
        <v>0.14399999999999999</v>
      </c>
      <c r="K8" s="14" t="s">
        <v>74</v>
      </c>
      <c r="L8" s="57">
        <v>105.25631640727451</v>
      </c>
      <c r="M8" s="57">
        <v>90.3152540748615</v>
      </c>
      <c r="N8" s="57">
        <v>120.19737873968752</v>
      </c>
      <c r="O8" s="1">
        <f t="shared" si="6"/>
        <v>90.314999999999998</v>
      </c>
      <c r="P8" s="1">
        <f t="shared" si="7"/>
        <v>105.256</v>
      </c>
      <c r="Q8" s="1">
        <f t="shared" si="8"/>
        <v>120.197</v>
      </c>
      <c r="R8" s="14" t="str">
        <f t="shared" si="9"/>
        <v>2023Q2</v>
      </c>
      <c r="S8" s="40">
        <v>3.4490450246917236E-2</v>
      </c>
      <c r="T8" s="40">
        <v>2.9034588719738633E-2</v>
      </c>
      <c r="U8" s="40">
        <v>3.9946311774095841E-2</v>
      </c>
      <c r="V8" s="1">
        <f t="shared" si="3"/>
        <v>2.9000000000000001E-2</v>
      </c>
      <c r="W8" s="1">
        <f t="shared" si="4"/>
        <v>3.4000000000000002E-2</v>
      </c>
      <c r="X8" s="1">
        <f t="shared" si="5"/>
        <v>0.04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10"/>
        <v>2023Q2</v>
      </c>
      <c r="B9" s="2">
        <f t="shared" si="11"/>
        <v>90.314999999999998</v>
      </c>
      <c r="C9" s="3">
        <f t="shared" si="11"/>
        <v>105.256</v>
      </c>
      <c r="D9" s="2">
        <f t="shared" si="11"/>
        <v>120.197</v>
      </c>
      <c r="E9" s="2">
        <f t="shared" si="12"/>
        <v>2.9000000000000001E-2</v>
      </c>
      <c r="F9" s="3">
        <f t="shared" si="12"/>
        <v>3.4000000000000002E-2</v>
      </c>
      <c r="G9" s="2">
        <f t="shared" si="12"/>
        <v>0.04</v>
      </c>
      <c r="I9" s="1">
        <f>SUM(F21:F24)</f>
        <v>0.14799999999999999</v>
      </c>
      <c r="K9" s="14" t="s">
        <v>75</v>
      </c>
      <c r="L9" s="57">
        <v>96.058632045549572</v>
      </c>
      <c r="M9" s="57">
        <v>81.117263415046324</v>
      </c>
      <c r="N9" s="57">
        <v>111.00000067605282</v>
      </c>
      <c r="O9" s="1">
        <f t="shared" si="6"/>
        <v>81.117000000000004</v>
      </c>
      <c r="P9" s="1">
        <f t="shared" si="7"/>
        <v>96.058999999999997</v>
      </c>
      <c r="Q9" s="1">
        <f t="shared" si="8"/>
        <v>111</v>
      </c>
      <c r="R9" s="14" t="str">
        <f t="shared" si="9"/>
        <v>2023Q3</v>
      </c>
      <c r="S9" s="40">
        <v>3.4124158990192908E-2</v>
      </c>
      <c r="T9" s="40">
        <v>2.8258037829033862E-2</v>
      </c>
      <c r="U9" s="40">
        <v>3.9990280151351955E-2</v>
      </c>
      <c r="V9" s="1">
        <f t="shared" si="3"/>
        <v>2.8000000000000001E-2</v>
      </c>
      <c r="W9" s="1">
        <f t="shared" si="4"/>
        <v>3.4000000000000002E-2</v>
      </c>
      <c r="X9" s="1">
        <f t="shared" si="5"/>
        <v>0.04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10"/>
        <v>2023Q3</v>
      </c>
      <c r="B10" s="2">
        <f t="shared" si="11"/>
        <v>81.117000000000004</v>
      </c>
      <c r="C10" s="3">
        <f t="shared" si="11"/>
        <v>96.058999999999997</v>
      </c>
      <c r="D10" s="2">
        <f t="shared" si="11"/>
        <v>111</v>
      </c>
      <c r="E10" s="2">
        <f t="shared" si="12"/>
        <v>2.8000000000000001E-2</v>
      </c>
      <c r="F10" s="3">
        <f t="shared" si="12"/>
        <v>3.4000000000000002E-2</v>
      </c>
      <c r="G10" s="2">
        <f t="shared" si="12"/>
        <v>0.04</v>
      </c>
      <c r="I10" s="1">
        <f>SUM(F25:F28)</f>
        <v>0.152</v>
      </c>
      <c r="K10" s="14" t="s">
        <v>76</v>
      </c>
      <c r="L10" s="57">
        <v>95.497510718450599</v>
      </c>
      <c r="M10" s="57">
        <v>80.556090920807421</v>
      </c>
      <c r="N10" s="57">
        <v>110.43893051609378</v>
      </c>
      <c r="O10" s="1">
        <f t="shared" si="6"/>
        <v>80.555999999999997</v>
      </c>
      <c r="P10" s="1">
        <f t="shared" si="7"/>
        <v>95.498000000000005</v>
      </c>
      <c r="Q10" s="1">
        <f t="shared" si="8"/>
        <v>110.43899999999999</v>
      </c>
      <c r="R10" s="14" t="str">
        <f t="shared" si="9"/>
        <v>2023Q4</v>
      </c>
      <c r="S10" s="40">
        <v>3.425571877171632E-2</v>
      </c>
      <c r="T10" s="40">
        <v>2.8006212395473139E-2</v>
      </c>
      <c r="U10" s="40">
        <v>4.0505225147959505E-2</v>
      </c>
      <c r="V10" s="1">
        <f t="shared" si="3"/>
        <v>2.8000000000000001E-2</v>
      </c>
      <c r="W10" s="1">
        <f t="shared" si="4"/>
        <v>3.4000000000000002E-2</v>
      </c>
      <c r="X10" s="1">
        <f t="shared" si="5"/>
        <v>4.1000000000000002E-2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10"/>
        <v>2023Q4</v>
      </c>
      <c r="B11" s="2">
        <f t="shared" si="11"/>
        <v>80.555999999999997</v>
      </c>
      <c r="C11" s="3">
        <f t="shared" si="11"/>
        <v>95.498000000000005</v>
      </c>
      <c r="D11" s="2">
        <f t="shared" si="11"/>
        <v>110.43899999999999</v>
      </c>
      <c r="E11" s="2">
        <f t="shared" si="12"/>
        <v>2.8000000000000001E-2</v>
      </c>
      <c r="F11" s="3">
        <f t="shared" si="12"/>
        <v>3.4000000000000002E-2</v>
      </c>
      <c r="G11" s="2">
        <f t="shared" si="12"/>
        <v>4.1000000000000002E-2</v>
      </c>
      <c r="I11" s="1">
        <f>SUM(F29:F32)</f>
        <v>0.156</v>
      </c>
      <c r="K11" s="14" t="s">
        <v>77</v>
      </c>
      <c r="L11" s="57">
        <v>97.307492609353176</v>
      </c>
      <c r="M11" s="57">
        <v>82.366064264146758</v>
      </c>
      <c r="N11" s="57">
        <v>112.24892095455959</v>
      </c>
      <c r="O11" s="1">
        <f t="shared" si="6"/>
        <v>82.366</v>
      </c>
      <c r="P11" s="1">
        <f t="shared" si="7"/>
        <v>97.307000000000002</v>
      </c>
      <c r="Q11" s="1">
        <f t="shared" si="8"/>
        <v>112.249</v>
      </c>
      <c r="R11" s="14" t="str">
        <f t="shared" si="9"/>
        <v>2024Q1</v>
      </c>
      <c r="S11" s="40">
        <v>3.4540785708791384E-2</v>
      </c>
      <c r="T11" s="40">
        <v>2.7930091160118877E-2</v>
      </c>
      <c r="U11" s="40">
        <v>4.1151480257463895E-2</v>
      </c>
      <c r="V11" s="1">
        <f t="shared" si="3"/>
        <v>2.8000000000000001E-2</v>
      </c>
      <c r="W11" s="1">
        <f t="shared" si="4"/>
        <v>3.5000000000000003E-2</v>
      </c>
      <c r="X11" s="1">
        <f t="shared" si="5"/>
        <v>4.1000000000000002E-2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10"/>
        <v>2024Q1</v>
      </c>
      <c r="B12" s="2">
        <f t="shared" si="11"/>
        <v>82.366</v>
      </c>
      <c r="C12" s="3">
        <f t="shared" si="11"/>
        <v>97.307000000000002</v>
      </c>
      <c r="D12" s="2">
        <f t="shared" si="11"/>
        <v>112.249</v>
      </c>
      <c r="E12" s="2">
        <f t="shared" si="12"/>
        <v>2.8000000000000001E-2</v>
      </c>
      <c r="F12" s="3">
        <f t="shared" si="12"/>
        <v>3.5000000000000003E-2</v>
      </c>
      <c r="G12" s="2">
        <f t="shared" si="12"/>
        <v>4.1000000000000002E-2</v>
      </c>
      <c r="K12" s="14" t="s">
        <v>78</v>
      </c>
      <c r="L12" s="57">
        <v>107.74302186108602</v>
      </c>
      <c r="M12" s="57">
        <v>92.801592087991338</v>
      </c>
      <c r="N12" s="57">
        <v>122.6844516341807</v>
      </c>
      <c r="O12" s="1">
        <f t="shared" si="6"/>
        <v>92.802000000000007</v>
      </c>
      <c r="P12" s="1">
        <f t="shared" si="7"/>
        <v>107.74299999999999</v>
      </c>
      <c r="Q12" s="1">
        <f t="shared" si="8"/>
        <v>122.684</v>
      </c>
      <c r="R12" s="14" t="str">
        <f t="shared" si="9"/>
        <v>2024Q2</v>
      </c>
      <c r="S12" s="40">
        <v>3.540378884522534E-2</v>
      </c>
      <c r="T12" s="40">
        <v>2.8450643162515488E-2</v>
      </c>
      <c r="U12" s="40">
        <v>4.2356934527935194E-2</v>
      </c>
      <c r="V12" s="1">
        <f t="shared" si="3"/>
        <v>2.8000000000000001E-2</v>
      </c>
      <c r="W12" s="1">
        <f t="shared" si="4"/>
        <v>3.5000000000000003E-2</v>
      </c>
      <c r="X12" s="1">
        <f t="shared" si="5"/>
        <v>4.2000000000000003E-2</v>
      </c>
    </row>
    <row r="13" spans="1:30" ht="15.5" thickTop="1" thickBot="1" x14ac:dyDescent="0.4">
      <c r="A13" s="5" t="str">
        <f t="shared" si="10"/>
        <v>2024Q2</v>
      </c>
      <c r="B13" s="2">
        <f t="shared" si="11"/>
        <v>92.802000000000007</v>
      </c>
      <c r="C13" s="3">
        <f t="shared" si="11"/>
        <v>107.74299999999999</v>
      </c>
      <c r="D13" s="2">
        <f t="shared" si="11"/>
        <v>122.684</v>
      </c>
      <c r="E13" s="2">
        <f t="shared" si="12"/>
        <v>2.8000000000000001E-2</v>
      </c>
      <c r="F13" s="3">
        <f t="shared" si="12"/>
        <v>3.5000000000000003E-2</v>
      </c>
      <c r="G13" s="2">
        <f t="shared" si="12"/>
        <v>4.2000000000000003E-2</v>
      </c>
      <c r="K13" s="14" t="s">
        <v>79</v>
      </c>
      <c r="L13" s="57">
        <v>98.513553692003114</v>
      </c>
      <c r="M13" s="57">
        <v>83.572123680376649</v>
      </c>
      <c r="N13" s="57">
        <v>113.45498370362958</v>
      </c>
      <c r="O13" s="1">
        <f t="shared" si="6"/>
        <v>83.572000000000003</v>
      </c>
      <c r="P13" s="1">
        <f t="shared" si="7"/>
        <v>98.513999999999996</v>
      </c>
      <c r="Q13" s="1">
        <f t="shared" si="8"/>
        <v>113.455</v>
      </c>
      <c r="R13" s="14" t="str">
        <f t="shared" si="9"/>
        <v>2024Q3</v>
      </c>
      <c r="S13" s="40">
        <v>3.503749758862764E-2</v>
      </c>
      <c r="T13" s="40">
        <v>2.7757992979512765E-2</v>
      </c>
      <c r="U13" s="40">
        <v>4.2317002197742516E-2</v>
      </c>
      <c r="V13" s="1">
        <f t="shared" si="3"/>
        <v>2.8000000000000001E-2</v>
      </c>
      <c r="W13" s="1">
        <f t="shared" si="4"/>
        <v>3.5000000000000003E-2</v>
      </c>
      <c r="X13" s="1">
        <f t="shared" si="5"/>
        <v>4.2000000000000003E-2</v>
      </c>
    </row>
    <row r="14" spans="1:30" ht="15.5" thickTop="1" thickBot="1" x14ac:dyDescent="0.4">
      <c r="A14" s="5" t="str">
        <f t="shared" si="10"/>
        <v>2024Q3</v>
      </c>
      <c r="B14" s="2">
        <f t="shared" si="11"/>
        <v>83.572000000000003</v>
      </c>
      <c r="C14" s="3">
        <f t="shared" si="11"/>
        <v>98.513999999999996</v>
      </c>
      <c r="D14" s="2">
        <f t="shared" si="11"/>
        <v>113.455</v>
      </c>
      <c r="E14" s="2">
        <f t="shared" si="12"/>
        <v>2.8000000000000001E-2</v>
      </c>
      <c r="F14" s="3">
        <f t="shared" si="12"/>
        <v>3.5000000000000003E-2</v>
      </c>
      <c r="G14" s="2">
        <f t="shared" si="12"/>
        <v>4.2000000000000003E-2</v>
      </c>
      <c r="K14" s="14" t="s">
        <v>84</v>
      </c>
      <c r="L14" s="57">
        <v>97.939441683139634</v>
      </c>
      <c r="M14" s="57">
        <v>82.998011631665932</v>
      </c>
      <c r="N14" s="57">
        <v>112.88087173461334</v>
      </c>
      <c r="O14" s="1">
        <f t="shared" si="6"/>
        <v>82.998000000000005</v>
      </c>
      <c r="P14" s="1">
        <f t="shared" si="7"/>
        <v>97.938999999999993</v>
      </c>
      <c r="Q14" s="1">
        <f t="shared" si="8"/>
        <v>112.881</v>
      </c>
      <c r="R14" s="14" t="str">
        <f t="shared" si="9"/>
        <v>2024Q4</v>
      </c>
      <c r="S14" s="40">
        <v>3.5169057370155771E-2</v>
      </c>
      <c r="T14" s="40">
        <v>2.7577210439186817E-2</v>
      </c>
      <c r="U14" s="40">
        <v>4.2760904301124725E-2</v>
      </c>
      <c r="V14" s="1">
        <f t="shared" si="3"/>
        <v>2.8000000000000001E-2</v>
      </c>
      <c r="W14" s="1">
        <f t="shared" si="4"/>
        <v>3.5000000000000003E-2</v>
      </c>
      <c r="X14" s="1">
        <f t="shared" si="5"/>
        <v>4.2999999999999997E-2</v>
      </c>
    </row>
    <row r="15" spans="1:30" ht="15.5" thickTop="1" thickBot="1" x14ac:dyDescent="0.4">
      <c r="A15" s="5" t="str">
        <f t="shared" si="10"/>
        <v>2024Q4</v>
      </c>
      <c r="B15" s="2">
        <f t="shared" si="11"/>
        <v>82.998000000000005</v>
      </c>
      <c r="C15" s="3">
        <f t="shared" si="11"/>
        <v>97.938999999999993</v>
      </c>
      <c r="D15" s="2">
        <f t="shared" si="11"/>
        <v>112.881</v>
      </c>
      <c r="E15" s="2">
        <f t="shared" si="12"/>
        <v>2.8000000000000001E-2</v>
      </c>
      <c r="F15" s="3">
        <f t="shared" si="12"/>
        <v>3.5000000000000003E-2</v>
      </c>
      <c r="G15" s="2">
        <f t="shared" si="12"/>
        <v>4.2999999999999997E-2</v>
      </c>
      <c r="K15" s="14" t="s">
        <v>81</v>
      </c>
      <c r="L15" s="57">
        <v>99.744114020947904</v>
      </c>
      <c r="M15" s="57">
        <v>84.802683962817625</v>
      </c>
      <c r="N15" s="57">
        <v>114.68554407907818</v>
      </c>
      <c r="O15" s="1">
        <f t="shared" si="6"/>
        <v>84.802999999999997</v>
      </c>
      <c r="P15" s="1">
        <f t="shared" si="7"/>
        <v>99.744</v>
      </c>
      <c r="Q15" s="1">
        <f t="shared" si="8"/>
        <v>114.68600000000001</v>
      </c>
      <c r="R15" s="14" t="str">
        <f t="shared" si="9"/>
        <v>2025Q1</v>
      </c>
      <c r="S15" s="40">
        <v>3.5454124307231001E-2</v>
      </c>
      <c r="T15" s="40">
        <v>2.7562287240210374E-2</v>
      </c>
      <c r="U15" s="40">
        <v>4.3345961374251632E-2</v>
      </c>
      <c r="V15" s="1">
        <f t="shared" si="3"/>
        <v>2.8000000000000001E-2</v>
      </c>
      <c r="W15" s="1">
        <f t="shared" si="4"/>
        <v>3.5000000000000003E-2</v>
      </c>
      <c r="X15" s="1">
        <f t="shared" si="5"/>
        <v>4.2999999999999997E-2</v>
      </c>
    </row>
    <row r="16" spans="1:30" ht="15.5" thickTop="1" thickBot="1" x14ac:dyDescent="0.4">
      <c r="A16" s="5" t="str">
        <f t="shared" si="10"/>
        <v>2025Q1</v>
      </c>
      <c r="B16" s="2">
        <f t="shared" si="11"/>
        <v>84.802999999999997</v>
      </c>
      <c r="C16" s="3">
        <f t="shared" si="11"/>
        <v>99.744</v>
      </c>
      <c r="D16" s="2">
        <f t="shared" si="11"/>
        <v>114.68600000000001</v>
      </c>
      <c r="E16" s="2">
        <f t="shared" si="12"/>
        <v>2.8000000000000001E-2</v>
      </c>
      <c r="F16" s="3">
        <f t="shared" si="12"/>
        <v>3.5000000000000003E-2</v>
      </c>
      <c r="G16" s="2">
        <f t="shared" si="12"/>
        <v>4.2999999999999997E-2</v>
      </c>
      <c r="K16" s="14" t="s">
        <v>82</v>
      </c>
      <c r="L16" s="57">
        <v>110.17747315146832</v>
      </c>
      <c r="M16" s="57">
        <v>95.236043092226055</v>
      </c>
      <c r="N16" s="57">
        <v>125.11890321071058</v>
      </c>
      <c r="O16" s="1">
        <f t="shared" ref="O16:O18" si="13">ROUND(M16,3)</f>
        <v>95.236000000000004</v>
      </c>
      <c r="P16" s="1">
        <f t="shared" ref="P16:P18" si="14">ROUND(L16,3)</f>
        <v>110.17700000000001</v>
      </c>
      <c r="Q16" s="1">
        <f t="shared" ref="Q16:Q18" si="15">ROUND(N16,3)</f>
        <v>125.119</v>
      </c>
      <c r="R16" s="14" t="str">
        <f t="shared" si="9"/>
        <v>2025Q2</v>
      </c>
      <c r="S16" s="40">
        <v>3.6317127443664964E-2</v>
      </c>
      <c r="T16" s="40">
        <v>2.8136293454300632E-2</v>
      </c>
      <c r="U16" s="40">
        <v>4.4497961433029302E-2</v>
      </c>
      <c r="V16" s="1">
        <f t="shared" si="3"/>
        <v>2.8000000000000001E-2</v>
      </c>
      <c r="W16" s="1">
        <f t="shared" si="4"/>
        <v>3.5999999999999997E-2</v>
      </c>
      <c r="X16" s="1">
        <f t="shared" si="5"/>
        <v>4.3999999999999997E-2</v>
      </c>
    </row>
    <row r="17" spans="1:24" ht="15.5" thickTop="1" thickBot="1" x14ac:dyDescent="0.4">
      <c r="A17" s="5" t="str">
        <f t="shared" si="10"/>
        <v>2025Q2</v>
      </c>
      <c r="B17" s="2">
        <f t="shared" si="11"/>
        <v>95.236000000000004</v>
      </c>
      <c r="C17" s="3">
        <f t="shared" si="11"/>
        <v>110.17700000000001</v>
      </c>
      <c r="D17" s="2">
        <f t="shared" si="11"/>
        <v>125.119</v>
      </c>
      <c r="E17" s="2">
        <f t="shared" si="12"/>
        <v>2.8000000000000001E-2</v>
      </c>
      <c r="F17" s="3">
        <f t="shared" si="12"/>
        <v>3.5999999999999997E-2</v>
      </c>
      <c r="G17" s="2">
        <f t="shared" si="12"/>
        <v>4.3999999999999997E-2</v>
      </c>
      <c r="K17" s="14" t="s">
        <v>83</v>
      </c>
      <c r="L17" s="57">
        <v>100.94711801016891</v>
      </c>
      <c r="M17" s="57">
        <v>86.005687950740878</v>
      </c>
      <c r="N17" s="57">
        <v>115.88854806959694</v>
      </c>
      <c r="O17" s="1">
        <f t="shared" si="13"/>
        <v>86.006</v>
      </c>
      <c r="P17" s="1">
        <f t="shared" si="14"/>
        <v>100.947</v>
      </c>
      <c r="Q17" s="1">
        <f t="shared" si="15"/>
        <v>115.889</v>
      </c>
      <c r="R17" s="14" t="str">
        <f t="shared" si="9"/>
        <v>2025Q3</v>
      </c>
      <c r="S17" s="40">
        <v>3.5950836187067264E-2</v>
      </c>
      <c r="T17" s="40">
        <v>2.7490871811806761E-2</v>
      </c>
      <c r="U17" s="40">
        <v>4.4410800562327768E-2</v>
      </c>
      <c r="V17" s="1">
        <f t="shared" si="3"/>
        <v>2.7E-2</v>
      </c>
      <c r="W17" s="1">
        <f t="shared" si="4"/>
        <v>3.5999999999999997E-2</v>
      </c>
      <c r="X17" s="1">
        <f t="shared" si="5"/>
        <v>4.3999999999999997E-2</v>
      </c>
    </row>
    <row r="18" spans="1:24" ht="15.5" thickTop="1" thickBot="1" x14ac:dyDescent="0.4">
      <c r="A18" s="5" t="str">
        <f t="shared" si="10"/>
        <v>2025Q3</v>
      </c>
      <c r="B18" s="2">
        <f t="shared" si="11"/>
        <v>86.006</v>
      </c>
      <c r="C18" s="3">
        <f t="shared" si="11"/>
        <v>100.947</v>
      </c>
      <c r="D18" s="2">
        <f t="shared" si="11"/>
        <v>115.889</v>
      </c>
      <c r="E18" s="2">
        <f t="shared" si="12"/>
        <v>2.7E-2</v>
      </c>
      <c r="F18" s="3">
        <f t="shared" si="12"/>
        <v>3.5999999999999997E-2</v>
      </c>
      <c r="G18" s="2">
        <f t="shared" si="12"/>
        <v>4.3999999999999997E-2</v>
      </c>
      <c r="K18" s="14" t="s">
        <v>80</v>
      </c>
      <c r="L18" s="57">
        <v>100.37264347790887</v>
      </c>
      <c r="M18" s="57">
        <v>85.431213418449801</v>
      </c>
      <c r="N18" s="57">
        <v>115.31407353736793</v>
      </c>
      <c r="O18" s="1">
        <f t="shared" si="13"/>
        <v>85.430999999999997</v>
      </c>
      <c r="P18" s="1">
        <f t="shared" si="14"/>
        <v>100.373</v>
      </c>
      <c r="Q18" s="1">
        <f t="shared" si="15"/>
        <v>115.31399999999999</v>
      </c>
      <c r="R18" s="14" t="str">
        <f t="shared" si="9"/>
        <v>2025Q4</v>
      </c>
      <c r="S18" s="40">
        <v>3.6082395968595402E-2</v>
      </c>
      <c r="T18" s="40">
        <v>2.7352221302541189E-2</v>
      </c>
      <c r="U18" s="40">
        <v>4.4812570634649621E-2</v>
      </c>
      <c r="V18" s="1">
        <f t="shared" si="3"/>
        <v>2.7E-2</v>
      </c>
      <c r="W18" s="1">
        <f t="shared" si="4"/>
        <v>3.5999999999999997E-2</v>
      </c>
      <c r="X18" s="1">
        <f t="shared" si="5"/>
        <v>4.4999999999999998E-2</v>
      </c>
    </row>
    <row r="19" spans="1:24" ht="15.5" thickTop="1" thickBot="1" x14ac:dyDescent="0.4">
      <c r="A19" s="5" t="str">
        <f t="shared" si="10"/>
        <v>2025Q4</v>
      </c>
      <c r="B19" s="2">
        <f t="shared" si="11"/>
        <v>85.430999999999997</v>
      </c>
      <c r="C19" s="3">
        <f t="shared" si="11"/>
        <v>100.373</v>
      </c>
      <c r="D19" s="2">
        <f t="shared" si="11"/>
        <v>115.31399999999999</v>
      </c>
      <c r="E19" s="2">
        <f t="shared" si="12"/>
        <v>2.7E-2</v>
      </c>
      <c r="F19" s="3">
        <f t="shared" si="12"/>
        <v>3.5999999999999997E-2</v>
      </c>
      <c r="G19" s="2">
        <f t="shared" si="12"/>
        <v>4.4999999999999998E-2</v>
      </c>
      <c r="K19" s="14" t="s">
        <v>92</v>
      </c>
      <c r="L19" s="57">
        <v>102.17716764510863</v>
      </c>
      <c r="M19" s="57">
        <v>87.235737585644387</v>
      </c>
      <c r="N19" s="57">
        <v>117.11859770457286</v>
      </c>
      <c r="O19" s="1">
        <f t="shared" ref="O19:O34" si="16">ROUND(M19,3)</f>
        <v>87.236000000000004</v>
      </c>
      <c r="P19" s="1">
        <f t="shared" ref="P19:P34" si="17">ROUND(L19,3)</f>
        <v>102.17700000000001</v>
      </c>
      <c r="Q19" s="1">
        <f t="shared" ref="Q19:Q34" si="18">ROUND(N19,3)</f>
        <v>117.119</v>
      </c>
      <c r="R19" s="14" t="str">
        <f t="shared" si="9"/>
        <v>2026Q1</v>
      </c>
      <c r="S19" s="40">
        <v>3.6367462905670632E-2</v>
      </c>
      <c r="T19" s="40">
        <v>2.73751938833964E-2</v>
      </c>
      <c r="U19" s="40">
        <v>4.5359731927944867E-2</v>
      </c>
      <c r="V19" s="1">
        <f t="shared" si="3"/>
        <v>2.7E-2</v>
      </c>
      <c r="W19" s="1">
        <f t="shared" si="4"/>
        <v>3.5999999999999997E-2</v>
      </c>
      <c r="X19" s="1">
        <f t="shared" si="5"/>
        <v>4.4999999999999998E-2</v>
      </c>
    </row>
    <row r="20" spans="1:24" ht="15.5" thickTop="1" thickBot="1" x14ac:dyDescent="0.4">
      <c r="A20" s="5" t="str">
        <f t="shared" si="10"/>
        <v>2026Q1</v>
      </c>
      <c r="B20" s="2">
        <f t="shared" si="11"/>
        <v>87.236000000000004</v>
      </c>
      <c r="C20" s="3">
        <f t="shared" si="11"/>
        <v>102.17700000000001</v>
      </c>
      <c r="D20" s="2">
        <f t="shared" si="11"/>
        <v>117.119</v>
      </c>
      <c r="E20" s="2">
        <f t="shared" si="12"/>
        <v>2.7E-2</v>
      </c>
      <c r="F20" s="3">
        <f t="shared" si="12"/>
        <v>3.5999999999999997E-2</v>
      </c>
      <c r="G20" s="2">
        <f t="shared" si="12"/>
        <v>4.4999999999999998E-2</v>
      </c>
      <c r="K20" s="14" t="s">
        <v>93</v>
      </c>
      <c r="L20" s="57">
        <v>112.61046621531919</v>
      </c>
      <c r="M20" s="57">
        <v>97.669036155854087</v>
      </c>
      <c r="N20" s="57">
        <v>127.5518962747843</v>
      </c>
      <c r="O20" s="1">
        <f t="shared" si="16"/>
        <v>97.668999999999997</v>
      </c>
      <c r="P20" s="1">
        <f t="shared" si="17"/>
        <v>112.61</v>
      </c>
      <c r="Q20" s="1">
        <f t="shared" si="18"/>
        <v>127.55200000000001</v>
      </c>
      <c r="R20" s="14" t="str">
        <f t="shared" si="9"/>
        <v>2026Q2</v>
      </c>
      <c r="S20" s="40">
        <v>3.7230466042104594E-2</v>
      </c>
      <c r="T20" s="40">
        <v>2.7983528460500035E-2</v>
      </c>
      <c r="U20" s="40">
        <v>4.6477403623709161E-2</v>
      </c>
      <c r="V20" s="1">
        <f t="shared" si="3"/>
        <v>2.8000000000000001E-2</v>
      </c>
      <c r="W20" s="1">
        <f t="shared" si="4"/>
        <v>3.6999999999999998E-2</v>
      </c>
      <c r="X20" s="1">
        <f t="shared" si="5"/>
        <v>4.5999999999999999E-2</v>
      </c>
    </row>
    <row r="21" spans="1:24" ht="15.5" thickTop="1" thickBot="1" x14ac:dyDescent="0.4">
      <c r="A21" s="5" t="str">
        <f t="shared" si="10"/>
        <v>2026Q2</v>
      </c>
      <c r="B21" s="2">
        <f t="shared" ref="B21:D35" si="19">O20</f>
        <v>97.668999999999997</v>
      </c>
      <c r="C21" s="3">
        <f t="shared" si="19"/>
        <v>112.61</v>
      </c>
      <c r="D21" s="2">
        <f t="shared" si="19"/>
        <v>127.55200000000001</v>
      </c>
      <c r="E21" s="2">
        <f t="shared" ref="E21:G35" si="20">V20</f>
        <v>2.8000000000000001E-2</v>
      </c>
      <c r="F21" s="3">
        <f t="shared" si="20"/>
        <v>3.6999999999999998E-2</v>
      </c>
      <c r="G21" s="2">
        <f t="shared" si="20"/>
        <v>4.5999999999999999E-2</v>
      </c>
      <c r="K21" s="14" t="s">
        <v>94</v>
      </c>
      <c r="L21" s="57">
        <v>103.38008632180228</v>
      </c>
      <c r="M21" s="57">
        <v>88.43865626233702</v>
      </c>
      <c r="N21" s="57">
        <v>118.32151638126754</v>
      </c>
      <c r="O21" s="1">
        <f t="shared" si="16"/>
        <v>88.438999999999993</v>
      </c>
      <c r="P21" s="1">
        <f t="shared" si="17"/>
        <v>103.38</v>
      </c>
      <c r="Q21" s="1">
        <f t="shared" si="18"/>
        <v>118.322</v>
      </c>
      <c r="R21" s="14" t="str">
        <f t="shared" si="9"/>
        <v>2026Q3</v>
      </c>
      <c r="S21" s="40">
        <v>3.6864174785506895E-2</v>
      </c>
      <c r="T21" s="40">
        <v>2.7369396899361857E-2</v>
      </c>
      <c r="U21" s="40">
        <v>4.635895267165193E-2</v>
      </c>
      <c r="V21" s="1">
        <f t="shared" si="3"/>
        <v>2.7E-2</v>
      </c>
      <c r="W21" s="1">
        <f t="shared" si="4"/>
        <v>3.6999999999999998E-2</v>
      </c>
      <c r="X21" s="1">
        <f t="shared" si="5"/>
        <v>4.5999999999999999E-2</v>
      </c>
    </row>
    <row r="22" spans="1:24" ht="15.5" thickTop="1" thickBot="1" x14ac:dyDescent="0.4">
      <c r="A22" s="5" t="str">
        <f t="shared" si="10"/>
        <v>2026Q3</v>
      </c>
      <c r="B22" s="2">
        <f t="shared" si="19"/>
        <v>88.438999999999993</v>
      </c>
      <c r="C22" s="3">
        <f t="shared" si="19"/>
        <v>103.38</v>
      </c>
      <c r="D22" s="2">
        <f t="shared" si="19"/>
        <v>118.322</v>
      </c>
      <c r="E22" s="2">
        <f t="shared" si="20"/>
        <v>2.7E-2</v>
      </c>
      <c r="F22" s="3">
        <f t="shared" si="20"/>
        <v>3.6999999999999998E-2</v>
      </c>
      <c r="G22" s="2">
        <f t="shared" si="20"/>
        <v>4.5999999999999999E-2</v>
      </c>
      <c r="K22" s="14" t="s">
        <v>95</v>
      </c>
      <c r="L22" s="57">
        <v>102.80560167281277</v>
      </c>
      <c r="M22" s="57">
        <v>87.864171613347494</v>
      </c>
      <c r="N22" s="57">
        <v>117.74703173227805</v>
      </c>
      <c r="O22" s="1">
        <f t="shared" si="16"/>
        <v>87.864000000000004</v>
      </c>
      <c r="P22" s="1">
        <f t="shared" si="17"/>
        <v>102.806</v>
      </c>
      <c r="Q22" s="1">
        <f t="shared" si="18"/>
        <v>117.747</v>
      </c>
      <c r="R22" s="14" t="str">
        <f t="shared" si="9"/>
        <v>2026Q4</v>
      </c>
      <c r="S22" s="40">
        <v>3.6995734567035032E-2</v>
      </c>
      <c r="T22" s="40">
        <v>2.7259423172242506E-2</v>
      </c>
      <c r="U22" s="40">
        <v>4.6732045961827562E-2</v>
      </c>
      <c r="V22" s="1">
        <f t="shared" si="3"/>
        <v>2.7E-2</v>
      </c>
      <c r="W22" s="1">
        <f t="shared" si="4"/>
        <v>3.6999999999999998E-2</v>
      </c>
      <c r="X22" s="1">
        <f t="shared" si="5"/>
        <v>4.7E-2</v>
      </c>
    </row>
    <row r="23" spans="1:24" ht="15.5" thickTop="1" thickBot="1" x14ac:dyDescent="0.4">
      <c r="A23" s="5" t="str">
        <f t="shared" si="10"/>
        <v>2026Q4</v>
      </c>
      <c r="B23" s="2">
        <f t="shared" si="19"/>
        <v>87.864000000000004</v>
      </c>
      <c r="C23" s="3">
        <f t="shared" si="19"/>
        <v>102.806</v>
      </c>
      <c r="D23" s="2">
        <f t="shared" si="19"/>
        <v>117.747</v>
      </c>
      <c r="E23" s="2">
        <f t="shared" si="20"/>
        <v>2.7E-2</v>
      </c>
      <c r="F23" s="3">
        <f t="shared" si="20"/>
        <v>3.6999999999999998E-2</v>
      </c>
      <c r="G23" s="2">
        <f t="shared" si="20"/>
        <v>4.7E-2</v>
      </c>
      <c r="K23" s="14" t="s">
        <v>96</v>
      </c>
      <c r="L23" s="57">
        <v>104.61012170510159</v>
      </c>
      <c r="M23" s="57">
        <v>89.668691645636301</v>
      </c>
      <c r="N23" s="57">
        <v>119.55155176456688</v>
      </c>
      <c r="O23" s="1">
        <f t="shared" si="16"/>
        <v>89.668999999999997</v>
      </c>
      <c r="P23" s="1">
        <f t="shared" si="17"/>
        <v>104.61</v>
      </c>
      <c r="Q23" s="1">
        <f t="shared" si="18"/>
        <v>119.55200000000001</v>
      </c>
      <c r="R23" s="14" t="str">
        <f t="shared" si="9"/>
        <v>2027Q1</v>
      </c>
      <c r="S23" s="40">
        <v>3.7280801504110263E-2</v>
      </c>
      <c r="T23" s="40">
        <v>2.7308805111937586E-2</v>
      </c>
      <c r="U23" s="40">
        <v>4.7252797896282943E-2</v>
      </c>
      <c r="V23" s="1">
        <f t="shared" si="3"/>
        <v>2.7E-2</v>
      </c>
      <c r="W23" s="1">
        <f t="shared" si="4"/>
        <v>3.6999999999999998E-2</v>
      </c>
      <c r="X23" s="1">
        <f t="shared" si="5"/>
        <v>4.7E-2</v>
      </c>
    </row>
    <row r="24" spans="1:24" ht="15.5" thickTop="1" thickBot="1" x14ac:dyDescent="0.4">
      <c r="A24" s="5" t="str">
        <f t="shared" si="10"/>
        <v>2027Q1</v>
      </c>
      <c r="B24" s="2">
        <f t="shared" si="19"/>
        <v>89.668999999999997</v>
      </c>
      <c r="C24" s="3">
        <f t="shared" si="19"/>
        <v>104.61</v>
      </c>
      <c r="D24" s="2">
        <f t="shared" si="19"/>
        <v>119.55200000000001</v>
      </c>
      <c r="E24" s="2">
        <f t="shared" si="20"/>
        <v>2.7E-2</v>
      </c>
      <c r="F24" s="3">
        <f t="shared" si="20"/>
        <v>3.6999999999999998E-2</v>
      </c>
      <c r="G24" s="2">
        <f t="shared" si="20"/>
        <v>4.7E-2</v>
      </c>
      <c r="K24" s="14" t="s">
        <v>97</v>
      </c>
      <c r="L24" s="57">
        <v>115.04341858529081</v>
      </c>
      <c r="M24" s="57">
        <v>100.10198852582552</v>
      </c>
      <c r="N24" s="57">
        <v>129.98484864475608</v>
      </c>
      <c r="O24" s="1">
        <f t="shared" si="16"/>
        <v>100.102</v>
      </c>
      <c r="P24" s="1">
        <f t="shared" si="17"/>
        <v>115.04300000000001</v>
      </c>
      <c r="Q24" s="1">
        <f t="shared" si="18"/>
        <v>129.98500000000001</v>
      </c>
      <c r="R24" s="14" t="str">
        <f t="shared" si="9"/>
        <v>2027Q2</v>
      </c>
      <c r="S24" s="40">
        <v>3.8143804640544225E-2</v>
      </c>
      <c r="T24" s="40">
        <v>2.7941566429512153E-2</v>
      </c>
      <c r="U24" s="40">
        <v>4.8346042851576301E-2</v>
      </c>
      <c r="V24" s="1">
        <f t="shared" si="3"/>
        <v>2.8000000000000001E-2</v>
      </c>
      <c r="W24" s="1">
        <f t="shared" si="4"/>
        <v>3.7999999999999999E-2</v>
      </c>
      <c r="X24" s="1">
        <f t="shared" si="5"/>
        <v>4.8000000000000001E-2</v>
      </c>
    </row>
    <row r="25" spans="1:24" ht="15.5" thickTop="1" thickBot="1" x14ac:dyDescent="0.4">
      <c r="A25" s="5" t="str">
        <f t="shared" si="10"/>
        <v>2027Q2</v>
      </c>
      <c r="B25" s="2">
        <f t="shared" si="19"/>
        <v>100.102</v>
      </c>
      <c r="C25" s="3">
        <f t="shared" si="19"/>
        <v>115.04300000000001</v>
      </c>
      <c r="D25" s="2">
        <f t="shared" si="19"/>
        <v>129.98500000000001</v>
      </c>
      <c r="E25" s="2">
        <f t="shared" si="20"/>
        <v>2.8000000000000001E-2</v>
      </c>
      <c r="F25" s="3">
        <f t="shared" si="20"/>
        <v>3.7999999999999999E-2</v>
      </c>
      <c r="G25" s="2">
        <f t="shared" si="20"/>
        <v>4.8000000000000001E-2</v>
      </c>
      <c r="K25" s="14" t="s">
        <v>98</v>
      </c>
      <c r="L25" s="57">
        <v>105.81303800102818</v>
      </c>
      <c r="M25" s="57">
        <v>90.871607941562885</v>
      </c>
      <c r="N25" s="57">
        <v>120.75446806049347</v>
      </c>
      <c r="O25" s="1">
        <f t="shared" si="16"/>
        <v>90.872</v>
      </c>
      <c r="P25" s="1">
        <f t="shared" si="17"/>
        <v>105.813</v>
      </c>
      <c r="Q25" s="1">
        <f t="shared" si="18"/>
        <v>120.754</v>
      </c>
      <c r="R25" s="14" t="str">
        <f t="shared" si="9"/>
        <v>2027Q3</v>
      </c>
      <c r="S25" s="40">
        <v>3.7777513383946526E-2</v>
      </c>
      <c r="T25" s="40">
        <v>2.7350115962548369E-2</v>
      </c>
      <c r="U25" s="40">
        <v>4.8204910805344683E-2</v>
      </c>
      <c r="V25" s="1">
        <f t="shared" si="3"/>
        <v>2.7E-2</v>
      </c>
      <c r="W25" s="1">
        <f t="shared" si="4"/>
        <v>3.7999999999999999E-2</v>
      </c>
      <c r="X25" s="1">
        <f t="shared" si="5"/>
        <v>4.8000000000000001E-2</v>
      </c>
    </row>
    <row r="26" spans="1:24" ht="15.5" thickTop="1" thickBot="1" x14ac:dyDescent="0.4">
      <c r="A26" s="5" t="str">
        <f t="shared" si="10"/>
        <v>2027Q3</v>
      </c>
      <c r="B26" s="2">
        <f t="shared" si="19"/>
        <v>90.872</v>
      </c>
      <c r="C26" s="3">
        <f t="shared" si="19"/>
        <v>105.813</v>
      </c>
      <c r="D26" s="2">
        <f t="shared" si="19"/>
        <v>120.754</v>
      </c>
      <c r="E26" s="2">
        <f t="shared" si="20"/>
        <v>2.7E-2</v>
      </c>
      <c r="F26" s="3">
        <f t="shared" si="20"/>
        <v>3.7999999999999999E-2</v>
      </c>
      <c r="G26" s="2">
        <f t="shared" si="20"/>
        <v>4.8000000000000001E-2</v>
      </c>
      <c r="K26" s="14" t="s">
        <v>99</v>
      </c>
      <c r="L26" s="57">
        <v>105.238553069717</v>
      </c>
      <c r="M26" s="57">
        <v>90.29712301025171</v>
      </c>
      <c r="N26" s="57">
        <v>120.17998312918229</v>
      </c>
      <c r="O26" s="1">
        <f t="shared" si="16"/>
        <v>90.296999999999997</v>
      </c>
      <c r="P26" s="1">
        <f t="shared" si="17"/>
        <v>105.239</v>
      </c>
      <c r="Q26" s="1">
        <f t="shared" si="18"/>
        <v>120.18</v>
      </c>
      <c r="R26" s="14" t="str">
        <f t="shared" si="9"/>
        <v>2027Q4</v>
      </c>
      <c r="S26" s="40">
        <v>3.7909073165474663E-2</v>
      </c>
      <c r="T26" s="40">
        <v>2.7261276705506109E-2</v>
      </c>
      <c r="U26" s="40">
        <v>4.8556869625443221E-2</v>
      </c>
      <c r="V26" s="1">
        <f t="shared" si="3"/>
        <v>2.7E-2</v>
      </c>
      <c r="W26" s="1">
        <f t="shared" si="4"/>
        <v>3.7999999999999999E-2</v>
      </c>
      <c r="X26" s="1">
        <f t="shared" si="5"/>
        <v>4.9000000000000002E-2</v>
      </c>
    </row>
    <row r="27" spans="1:24" ht="15.5" thickTop="1" thickBot="1" x14ac:dyDescent="0.4">
      <c r="A27" s="5" t="str">
        <f t="shared" si="10"/>
        <v>2027Q4</v>
      </c>
      <c r="B27" s="2">
        <f t="shared" si="19"/>
        <v>90.296999999999997</v>
      </c>
      <c r="C27" s="3">
        <f t="shared" si="19"/>
        <v>105.239</v>
      </c>
      <c r="D27" s="2">
        <f t="shared" si="19"/>
        <v>120.18</v>
      </c>
      <c r="E27" s="2">
        <f t="shared" si="20"/>
        <v>2.7E-2</v>
      </c>
      <c r="F27" s="3">
        <f t="shared" si="20"/>
        <v>3.7999999999999999E-2</v>
      </c>
      <c r="G27" s="2">
        <f t="shared" si="20"/>
        <v>4.9000000000000002E-2</v>
      </c>
      <c r="K27" s="14" t="s">
        <v>100</v>
      </c>
      <c r="L27" s="57">
        <v>107.04307298661524</v>
      </c>
      <c r="M27" s="57">
        <v>92.101642927149953</v>
      </c>
      <c r="N27" s="57">
        <v>121.98450304608053</v>
      </c>
      <c r="O27" s="1">
        <f t="shared" si="16"/>
        <v>92.102000000000004</v>
      </c>
      <c r="P27" s="1">
        <f t="shared" si="17"/>
        <v>107.04300000000001</v>
      </c>
      <c r="Q27" s="1">
        <f t="shared" si="18"/>
        <v>121.985</v>
      </c>
      <c r="R27" s="14" t="str">
        <f t="shared" si="9"/>
        <v>2028Q1</v>
      </c>
      <c r="S27" s="40">
        <v>3.8194140102549894E-2</v>
      </c>
      <c r="T27" s="40">
        <v>2.7330415054388147E-2</v>
      </c>
      <c r="U27" s="40">
        <v>4.9057865150711644E-2</v>
      </c>
      <c r="V27" s="1">
        <f t="shared" si="3"/>
        <v>2.7E-2</v>
      </c>
      <c r="W27" s="1">
        <f t="shared" si="4"/>
        <v>3.7999999999999999E-2</v>
      </c>
      <c r="X27" s="1">
        <f t="shared" si="5"/>
        <v>4.9000000000000002E-2</v>
      </c>
    </row>
    <row r="28" spans="1:24" ht="15.5" thickTop="1" thickBot="1" x14ac:dyDescent="0.4">
      <c r="A28" s="5" t="str">
        <f t="shared" si="10"/>
        <v>2028Q1</v>
      </c>
      <c r="B28" s="2">
        <f t="shared" si="19"/>
        <v>92.102000000000004</v>
      </c>
      <c r="C28" s="3">
        <f t="shared" si="19"/>
        <v>107.04300000000001</v>
      </c>
      <c r="D28" s="2">
        <f t="shared" si="19"/>
        <v>121.985</v>
      </c>
      <c r="E28" s="2">
        <f t="shared" si="20"/>
        <v>2.7E-2</v>
      </c>
      <c r="F28" s="3">
        <f t="shared" si="20"/>
        <v>3.7999999999999999E-2</v>
      </c>
      <c r="G28" s="2">
        <f t="shared" si="20"/>
        <v>4.9000000000000002E-2</v>
      </c>
      <c r="K28" s="14" t="s">
        <v>101</v>
      </c>
      <c r="L28" s="57">
        <v>117.47636981964204</v>
      </c>
      <c r="M28" s="57">
        <v>102.53493976017675</v>
      </c>
      <c r="N28" s="57">
        <v>132.41779987910732</v>
      </c>
      <c r="O28" s="1">
        <f t="shared" si="16"/>
        <v>102.535</v>
      </c>
      <c r="P28" s="1">
        <f t="shared" si="17"/>
        <v>117.476</v>
      </c>
      <c r="Q28" s="1">
        <f t="shared" si="18"/>
        <v>132.41800000000001</v>
      </c>
      <c r="R28" s="14" t="str">
        <f t="shared" si="9"/>
        <v>2028Q2</v>
      </c>
      <c r="S28" s="40">
        <v>3.9057143238983856E-2</v>
      </c>
      <c r="T28" s="40">
        <v>2.7981698580136296E-2</v>
      </c>
      <c r="U28" s="40">
        <v>5.013258789783142E-2</v>
      </c>
      <c r="V28" s="1">
        <f t="shared" si="3"/>
        <v>2.8000000000000001E-2</v>
      </c>
      <c r="W28" s="1">
        <f t="shared" si="4"/>
        <v>3.9E-2</v>
      </c>
      <c r="X28" s="1">
        <f t="shared" si="5"/>
        <v>0.05</v>
      </c>
    </row>
    <row r="29" spans="1:24" ht="15.5" thickTop="1" thickBot="1" x14ac:dyDescent="0.4">
      <c r="A29" s="5" t="str">
        <f t="shared" si="10"/>
        <v>2028Q2</v>
      </c>
      <c r="B29" s="2">
        <f t="shared" si="19"/>
        <v>102.535</v>
      </c>
      <c r="C29" s="3">
        <f t="shared" si="19"/>
        <v>117.476</v>
      </c>
      <c r="D29" s="2">
        <f t="shared" si="19"/>
        <v>132.41800000000001</v>
      </c>
      <c r="E29" s="2">
        <f t="shared" si="20"/>
        <v>2.8000000000000001E-2</v>
      </c>
      <c r="F29" s="3">
        <f t="shared" si="20"/>
        <v>3.9E-2</v>
      </c>
      <c r="G29" s="2">
        <f t="shared" si="20"/>
        <v>0.05</v>
      </c>
      <c r="K29" s="14" t="s">
        <v>102</v>
      </c>
      <c r="L29" s="57">
        <v>108.24598921610317</v>
      </c>
      <c r="M29" s="57">
        <v>93.304559156637879</v>
      </c>
      <c r="N29" s="57">
        <v>123.18741927556846</v>
      </c>
      <c r="O29" s="1">
        <f t="shared" si="16"/>
        <v>93.305000000000007</v>
      </c>
      <c r="P29" s="1">
        <f t="shared" si="17"/>
        <v>108.246</v>
      </c>
      <c r="Q29" s="1">
        <f t="shared" si="18"/>
        <v>123.187</v>
      </c>
      <c r="R29" s="14" t="str">
        <f t="shared" si="9"/>
        <v>2028Q3</v>
      </c>
      <c r="S29" s="40">
        <v>3.8690851982386157E-2</v>
      </c>
      <c r="T29" s="40">
        <v>2.7407659754105498E-2</v>
      </c>
      <c r="U29" s="40">
        <v>4.997404421066682E-2</v>
      </c>
      <c r="V29" s="1">
        <f t="shared" si="3"/>
        <v>2.7E-2</v>
      </c>
      <c r="W29" s="1">
        <f t="shared" si="4"/>
        <v>3.9E-2</v>
      </c>
      <c r="X29" s="1">
        <f t="shared" si="5"/>
        <v>0.05</v>
      </c>
    </row>
    <row r="30" spans="1:24" ht="15.5" thickTop="1" thickBot="1" x14ac:dyDescent="0.4">
      <c r="A30" s="5" t="str">
        <f t="shared" si="10"/>
        <v>2028Q3</v>
      </c>
      <c r="B30" s="2">
        <f t="shared" si="19"/>
        <v>93.305000000000007</v>
      </c>
      <c r="C30" s="3">
        <f t="shared" si="19"/>
        <v>108.246</v>
      </c>
      <c r="D30" s="2">
        <f t="shared" si="19"/>
        <v>123.187</v>
      </c>
      <c r="E30" s="2">
        <f t="shared" si="20"/>
        <v>2.7E-2</v>
      </c>
      <c r="F30" s="3">
        <f t="shared" si="20"/>
        <v>3.9E-2</v>
      </c>
      <c r="G30" s="2">
        <f t="shared" si="20"/>
        <v>0.05</v>
      </c>
      <c r="K30" s="14" t="s">
        <v>103</v>
      </c>
      <c r="L30" s="57">
        <v>107.67150427691338</v>
      </c>
      <c r="M30" s="57">
        <v>92.730074217448092</v>
      </c>
      <c r="N30" s="57">
        <v>122.61293433637867</v>
      </c>
      <c r="O30" s="1">
        <f t="shared" si="16"/>
        <v>92.73</v>
      </c>
      <c r="P30" s="1">
        <f t="shared" si="17"/>
        <v>107.672</v>
      </c>
      <c r="Q30" s="1">
        <f t="shared" si="18"/>
        <v>122.613</v>
      </c>
      <c r="R30" s="14" t="str">
        <f t="shared" si="9"/>
        <v>2028Q4</v>
      </c>
      <c r="S30" s="40">
        <v>3.8822411763914294E-2</v>
      </c>
      <c r="T30" s="40">
        <v>2.7335228500404003E-2</v>
      </c>
      <c r="U30" s="40">
        <v>5.0309595027424589E-2</v>
      </c>
      <c r="V30" s="1">
        <f t="shared" si="3"/>
        <v>2.7E-2</v>
      </c>
      <c r="W30" s="1">
        <f t="shared" si="4"/>
        <v>3.9E-2</v>
      </c>
      <c r="X30" s="1">
        <f t="shared" si="5"/>
        <v>0.05</v>
      </c>
    </row>
    <row r="31" spans="1:24" ht="15.5" thickTop="1" thickBot="1" x14ac:dyDescent="0.4">
      <c r="A31" s="5" t="str">
        <f t="shared" si="10"/>
        <v>2028Q4</v>
      </c>
      <c r="B31" s="2">
        <f t="shared" si="19"/>
        <v>92.73</v>
      </c>
      <c r="C31" s="3">
        <f t="shared" si="19"/>
        <v>107.672</v>
      </c>
      <c r="D31" s="2">
        <f t="shared" si="19"/>
        <v>122.613</v>
      </c>
      <c r="E31" s="2">
        <f t="shared" si="20"/>
        <v>2.7E-2</v>
      </c>
      <c r="F31" s="3">
        <f t="shared" si="20"/>
        <v>3.9E-2</v>
      </c>
      <c r="G31" s="2">
        <f t="shared" si="20"/>
        <v>0.05</v>
      </c>
      <c r="K31" s="14" t="s">
        <v>104</v>
      </c>
      <c r="L31" s="57">
        <v>109.4760241905915</v>
      </c>
      <c r="M31" s="57">
        <v>94.534594131126212</v>
      </c>
      <c r="N31" s="57">
        <v>124.41745425005679</v>
      </c>
      <c r="O31" s="1">
        <f t="shared" si="16"/>
        <v>94.534999999999997</v>
      </c>
      <c r="P31" s="1">
        <f t="shared" si="17"/>
        <v>109.476</v>
      </c>
      <c r="Q31" s="1">
        <f t="shared" si="18"/>
        <v>124.417</v>
      </c>
      <c r="R31" s="14" t="str">
        <f t="shared" si="9"/>
        <v>2029Q1</v>
      </c>
      <c r="S31" s="40">
        <v>3.9107478700989524E-2</v>
      </c>
      <c r="T31" s="40">
        <v>2.7419864239577433E-2</v>
      </c>
      <c r="U31" s="40">
        <v>5.0795093162401619E-2</v>
      </c>
      <c r="V31" s="1">
        <f t="shared" si="3"/>
        <v>2.7E-2</v>
      </c>
      <c r="W31" s="1">
        <f t="shared" si="4"/>
        <v>3.9E-2</v>
      </c>
      <c r="X31" s="1">
        <f t="shared" si="5"/>
        <v>5.0999999999999997E-2</v>
      </c>
    </row>
    <row r="32" spans="1:24" ht="15.5" thickTop="1" thickBot="1" x14ac:dyDescent="0.4">
      <c r="A32" s="5" t="str">
        <f t="shared" si="10"/>
        <v>2029Q1</v>
      </c>
      <c r="B32" s="2">
        <f t="shared" si="19"/>
        <v>94.534999999999997</v>
      </c>
      <c r="C32" s="3">
        <f t="shared" si="19"/>
        <v>109.476</v>
      </c>
      <c r="D32" s="2">
        <f t="shared" si="19"/>
        <v>124.417</v>
      </c>
      <c r="E32" s="2">
        <f t="shared" si="20"/>
        <v>2.7E-2</v>
      </c>
      <c r="F32" s="3">
        <f t="shared" si="20"/>
        <v>3.9E-2</v>
      </c>
      <c r="G32" s="2">
        <f t="shared" si="20"/>
        <v>5.0999999999999997E-2</v>
      </c>
      <c r="K32" s="14" t="s">
        <v>105</v>
      </c>
      <c r="L32" s="57">
        <v>119.90932102230215</v>
      </c>
      <c r="M32" s="57">
        <v>104.96789096283686</v>
      </c>
      <c r="N32" s="57">
        <v>134.85075108176744</v>
      </c>
      <c r="O32" s="1">
        <f t="shared" si="16"/>
        <v>104.968</v>
      </c>
      <c r="P32" s="1">
        <f t="shared" si="17"/>
        <v>119.90900000000001</v>
      </c>
      <c r="Q32" s="1">
        <f t="shared" si="18"/>
        <v>134.851</v>
      </c>
      <c r="R32" s="14" t="str">
        <f t="shared" si="9"/>
        <v>2029Q2</v>
      </c>
      <c r="S32" s="40">
        <v>3.9970481837423487E-2</v>
      </c>
      <c r="T32" s="40">
        <v>2.8085815907421621E-2</v>
      </c>
      <c r="U32" s="40">
        <v>5.1855147767425357E-2</v>
      </c>
      <c r="V32" s="1">
        <f t="shared" si="3"/>
        <v>2.8000000000000001E-2</v>
      </c>
      <c r="W32" s="1">
        <f t="shared" si="4"/>
        <v>0.04</v>
      </c>
      <c r="X32" s="1">
        <f t="shared" si="5"/>
        <v>5.1999999999999998E-2</v>
      </c>
    </row>
    <row r="33" spans="1:24" ht="15.5" thickTop="1" thickBot="1" x14ac:dyDescent="0.4">
      <c r="A33" s="5" t="str">
        <f t="shared" si="10"/>
        <v>2029Q2</v>
      </c>
      <c r="B33" s="2">
        <f t="shared" si="19"/>
        <v>104.968</v>
      </c>
      <c r="C33" s="3">
        <f t="shared" si="19"/>
        <v>119.90900000000001</v>
      </c>
      <c r="D33" s="2">
        <f t="shared" si="19"/>
        <v>134.851</v>
      </c>
      <c r="E33" s="2">
        <f t="shared" si="20"/>
        <v>2.8000000000000001E-2</v>
      </c>
      <c r="F33" s="3">
        <f t="shared" si="20"/>
        <v>0.04</v>
      </c>
      <c r="G33" s="2">
        <f t="shared" si="20"/>
        <v>5.1999999999999998E-2</v>
      </c>
      <c r="K33" s="14" t="s">
        <v>106</v>
      </c>
      <c r="L33" s="57">
        <v>110.67894041822535</v>
      </c>
      <c r="M33" s="57">
        <v>95.737510358760062</v>
      </c>
      <c r="N33" s="57">
        <v>125.62037047769064</v>
      </c>
      <c r="O33" s="1">
        <f t="shared" si="16"/>
        <v>95.738</v>
      </c>
      <c r="P33" s="1">
        <f t="shared" si="17"/>
        <v>110.679</v>
      </c>
      <c r="Q33" s="1">
        <f t="shared" si="18"/>
        <v>125.62</v>
      </c>
      <c r="R33" s="14" t="str">
        <f t="shared" si="9"/>
        <v>2029Q3</v>
      </c>
      <c r="S33" s="40">
        <v>3.9604190580825788E-2</v>
      </c>
      <c r="T33" s="40">
        <v>2.7525687497376862E-2</v>
      </c>
      <c r="U33" s="40">
        <v>5.1682693664274713E-2</v>
      </c>
      <c r="V33" s="1">
        <f t="shared" si="3"/>
        <v>2.8000000000000001E-2</v>
      </c>
      <c r="W33" s="1">
        <f t="shared" si="4"/>
        <v>0.04</v>
      </c>
      <c r="X33" s="1">
        <f t="shared" si="5"/>
        <v>5.1999999999999998E-2</v>
      </c>
    </row>
    <row r="34" spans="1:24" ht="15.5" thickTop="1" thickBot="1" x14ac:dyDescent="0.4">
      <c r="A34" s="5" t="str">
        <f t="shared" si="10"/>
        <v>2029Q3</v>
      </c>
      <c r="B34" s="2">
        <f t="shared" si="19"/>
        <v>95.738</v>
      </c>
      <c r="C34" s="3">
        <f t="shared" si="19"/>
        <v>110.679</v>
      </c>
      <c r="D34" s="2">
        <f t="shared" si="19"/>
        <v>125.62</v>
      </c>
      <c r="E34" s="2">
        <f t="shared" si="20"/>
        <v>2.8000000000000001E-2</v>
      </c>
      <c r="F34" s="3">
        <f t="shared" si="20"/>
        <v>0.04</v>
      </c>
      <c r="G34" s="2">
        <f t="shared" si="20"/>
        <v>5.1999999999999998E-2</v>
      </c>
      <c r="K34" s="14" t="s">
        <v>107</v>
      </c>
      <c r="L34" s="57">
        <v>110.10445547881572</v>
      </c>
      <c r="M34" s="57">
        <v>95.163025419350433</v>
      </c>
      <c r="N34" s="57">
        <v>125.04588553828101</v>
      </c>
      <c r="O34" s="1">
        <f t="shared" si="16"/>
        <v>95.162999999999997</v>
      </c>
      <c r="P34" s="1">
        <f t="shared" si="17"/>
        <v>110.104</v>
      </c>
      <c r="Q34" s="1">
        <f t="shared" si="18"/>
        <v>125.04600000000001</v>
      </c>
      <c r="R34" s="14" t="str">
        <f t="shared" si="9"/>
        <v>2029Q4</v>
      </c>
      <c r="S34" s="40">
        <v>3.9735750362353925E-2</v>
      </c>
      <c r="T34" s="40">
        <v>2.7466472094826406E-2</v>
      </c>
      <c r="U34" s="40">
        <v>5.2005028629881447E-2</v>
      </c>
      <c r="V34" s="1">
        <f t="shared" si="3"/>
        <v>2.7E-2</v>
      </c>
      <c r="W34" s="1">
        <f t="shared" si="4"/>
        <v>0.04</v>
      </c>
      <c r="X34" s="1">
        <f t="shared" si="5"/>
        <v>5.1999999999999998E-2</v>
      </c>
    </row>
    <row r="35" spans="1:24" ht="13" thickTop="1" thickBot="1" x14ac:dyDescent="0.35">
      <c r="A35" s="5" t="str">
        <f t="shared" si="10"/>
        <v>2029Q4</v>
      </c>
      <c r="B35" s="2">
        <f t="shared" si="19"/>
        <v>95.162999999999997</v>
      </c>
      <c r="C35" s="3">
        <f t="shared" si="19"/>
        <v>110.104</v>
      </c>
      <c r="D35" s="2">
        <f t="shared" si="19"/>
        <v>125.04600000000001</v>
      </c>
      <c r="E35" s="2">
        <f t="shared" si="20"/>
        <v>2.7E-2</v>
      </c>
      <c r="F35" s="3">
        <f t="shared" si="20"/>
        <v>0.04</v>
      </c>
      <c r="G35" s="2">
        <f t="shared" si="20"/>
        <v>5.1999999999999998E-2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103.77056250000003</v>
      </c>
      <c r="F38" s="1">
        <f>AVERAGE(F4:F35)</f>
        <v>3.6375000000000018E-2</v>
      </c>
    </row>
    <row r="40" spans="1:24" ht="12.5" thickBot="1" x14ac:dyDescent="0.35"/>
    <row r="41" spans="1:24" ht="15.5" thickTop="1" thickBot="1" x14ac:dyDescent="0.4">
      <c r="A41" s="29" t="s">
        <v>54</v>
      </c>
      <c r="B41" s="30"/>
      <c r="C41" s="30"/>
      <c r="D41" s="30"/>
      <c r="E41" s="30"/>
      <c r="F41" s="30"/>
      <c r="G41" s="30"/>
      <c r="K41" s="29" t="s">
        <v>29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73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84.652000000000001</v>
      </c>
      <c r="D44" s="6"/>
      <c r="E44" s="6"/>
      <c r="F44" s="9">
        <f>ROUND(F4-((G4-F4)*(0.5/2)),3)</f>
        <v>3.3000000000000002E-2</v>
      </c>
      <c r="G44" s="6"/>
      <c r="K44" s="7" t="str">
        <f>A4</f>
        <v>2022Q1</v>
      </c>
      <c r="L44" s="6"/>
      <c r="M44" s="9">
        <f>ROUND(C4-((D4-C4)*(1/2)),3)</f>
        <v>81.706999999999994</v>
      </c>
      <c r="N44" s="6"/>
      <c r="O44" s="6"/>
      <c r="P44" s="9">
        <f>ROUND(F4-((G4-F4)*(1/2)),3)</f>
        <v>3.2000000000000001E-2</v>
      </c>
      <c r="Q44" s="6"/>
    </row>
    <row r="45" spans="1:24" ht="15.5" thickTop="1" thickBot="1" x14ac:dyDescent="0.4">
      <c r="A45" s="7" t="str">
        <f t="shared" ref="A45:A75" si="21">A5</f>
        <v>2022Q2</v>
      </c>
      <c r="B45" s="6"/>
      <c r="C45" s="9">
        <f t="shared" ref="C45:C75" si="22">ROUND(C5-((D5-C5)*(0.5/2)),3)</f>
        <v>97.281999999999996</v>
      </c>
      <c r="D45" s="6"/>
      <c r="E45" s="6"/>
      <c r="F45" s="9">
        <f t="shared" ref="F45:F75" si="23">ROUND(F5-((G5-F5)*(0.5/2)),3)</f>
        <v>3.3000000000000002E-2</v>
      </c>
      <c r="G45" s="6"/>
      <c r="K45" s="7" t="str">
        <f t="shared" ref="K45:K75" si="24">A5</f>
        <v>2022Q2</v>
      </c>
      <c r="L45" s="6"/>
      <c r="M45" s="9">
        <f t="shared" ref="M45:M75" si="25">ROUND(C5-((D5-C5)*(1/2)),3)</f>
        <v>93.665999999999997</v>
      </c>
      <c r="N45" s="6"/>
      <c r="O45" s="6"/>
      <c r="P45" s="9">
        <f t="shared" ref="P45:P75" si="26">ROUND(F5-((G5-F5)*(1/2)),3)</f>
        <v>3.3000000000000002E-2</v>
      </c>
      <c r="Q45" s="6"/>
    </row>
    <row r="46" spans="1:24" ht="15.5" thickTop="1" thickBot="1" x14ac:dyDescent="0.4">
      <c r="A46" s="7" t="str">
        <f t="shared" si="21"/>
        <v>2022Q3</v>
      </c>
      <c r="B46" s="6"/>
      <c r="C46" s="9">
        <f t="shared" si="22"/>
        <v>89.122</v>
      </c>
      <c r="D46" s="6"/>
      <c r="E46" s="6"/>
      <c r="F46" s="9">
        <f t="shared" si="23"/>
        <v>3.2000000000000001E-2</v>
      </c>
      <c r="G46" s="6"/>
      <c r="K46" s="7" t="str">
        <f t="shared" si="24"/>
        <v>2022Q3</v>
      </c>
      <c r="L46" s="6"/>
      <c r="M46" s="9">
        <f t="shared" si="25"/>
        <v>85.406999999999996</v>
      </c>
      <c r="N46" s="6"/>
      <c r="O46" s="6"/>
      <c r="P46" s="9">
        <f t="shared" si="26"/>
        <v>3.1E-2</v>
      </c>
      <c r="Q46" s="6"/>
    </row>
    <row r="47" spans="1:24" ht="15.5" thickTop="1" thickBot="1" x14ac:dyDescent="0.4">
      <c r="A47" s="7" t="str">
        <f t="shared" si="21"/>
        <v>2022Q4</v>
      </c>
      <c r="B47" s="6"/>
      <c r="C47" s="9">
        <f t="shared" si="22"/>
        <v>89.010999999999996</v>
      </c>
      <c r="D47" s="6"/>
      <c r="E47" s="6"/>
      <c r="F47" s="9">
        <f t="shared" si="23"/>
        <v>3.2000000000000001E-2</v>
      </c>
      <c r="G47" s="6"/>
      <c r="K47" s="7" t="str">
        <f t="shared" si="24"/>
        <v>2022Q4</v>
      </c>
      <c r="L47" s="6"/>
      <c r="M47" s="9">
        <f t="shared" si="25"/>
        <v>85.278999999999996</v>
      </c>
      <c r="N47" s="6"/>
      <c r="O47" s="6"/>
      <c r="P47" s="9">
        <f t="shared" si="26"/>
        <v>3.1E-2</v>
      </c>
      <c r="Q47" s="6"/>
    </row>
    <row r="48" spans="1:24" ht="15.5" thickTop="1" thickBot="1" x14ac:dyDescent="0.4">
      <c r="A48" s="7" t="str">
        <f t="shared" si="21"/>
        <v>2023Q1</v>
      </c>
      <c r="B48" s="6"/>
      <c r="C48" s="9">
        <f t="shared" si="22"/>
        <v>91.007999999999996</v>
      </c>
      <c r="D48" s="6"/>
      <c r="E48" s="6"/>
      <c r="F48" s="9">
        <f t="shared" si="23"/>
        <v>3.3000000000000002E-2</v>
      </c>
      <c r="G48" s="6"/>
      <c r="K48" s="7" t="str">
        <f t="shared" si="24"/>
        <v>2023Q1</v>
      </c>
      <c r="L48" s="6"/>
      <c r="M48" s="9">
        <f t="shared" si="25"/>
        <v>87.274000000000001</v>
      </c>
      <c r="N48" s="6"/>
      <c r="O48" s="6"/>
      <c r="P48" s="9">
        <f t="shared" si="26"/>
        <v>3.2000000000000001E-2</v>
      </c>
      <c r="Q48" s="6"/>
    </row>
    <row r="49" spans="1:17" ht="15.5" thickTop="1" thickBot="1" x14ac:dyDescent="0.4">
      <c r="A49" s="7" t="str">
        <f t="shared" si="21"/>
        <v>2023Q2</v>
      </c>
      <c r="B49" s="6"/>
      <c r="C49" s="9">
        <f t="shared" si="22"/>
        <v>101.521</v>
      </c>
      <c r="D49" s="6"/>
      <c r="E49" s="6"/>
      <c r="F49" s="9">
        <f t="shared" si="23"/>
        <v>3.3000000000000002E-2</v>
      </c>
      <c r="G49" s="6"/>
      <c r="K49" s="7" t="str">
        <f t="shared" si="24"/>
        <v>2023Q2</v>
      </c>
      <c r="L49" s="6"/>
      <c r="M49" s="9">
        <f t="shared" si="25"/>
        <v>97.786000000000001</v>
      </c>
      <c r="N49" s="6"/>
      <c r="O49" s="6"/>
      <c r="P49" s="9">
        <f t="shared" si="26"/>
        <v>3.1E-2</v>
      </c>
      <c r="Q49" s="6"/>
    </row>
    <row r="50" spans="1:17" ht="15.5" thickTop="1" thickBot="1" x14ac:dyDescent="0.4">
      <c r="A50" s="7" t="str">
        <f t="shared" si="21"/>
        <v>2023Q3</v>
      </c>
      <c r="B50" s="6"/>
      <c r="C50" s="9">
        <f t="shared" si="22"/>
        <v>92.323999999999998</v>
      </c>
      <c r="D50" s="6"/>
      <c r="E50" s="6"/>
      <c r="F50" s="9">
        <f t="shared" si="23"/>
        <v>3.3000000000000002E-2</v>
      </c>
      <c r="G50" s="6"/>
      <c r="K50" s="7" t="str">
        <f t="shared" si="24"/>
        <v>2023Q3</v>
      </c>
      <c r="L50" s="6"/>
      <c r="M50" s="9">
        <f t="shared" si="25"/>
        <v>88.588999999999999</v>
      </c>
      <c r="N50" s="6"/>
      <c r="O50" s="6"/>
      <c r="P50" s="9">
        <f t="shared" si="26"/>
        <v>3.1E-2</v>
      </c>
      <c r="Q50" s="6"/>
    </row>
    <row r="51" spans="1:17" ht="15.5" thickTop="1" thickBot="1" x14ac:dyDescent="0.4">
      <c r="A51" s="7" t="str">
        <f t="shared" si="21"/>
        <v>2023Q4</v>
      </c>
      <c r="B51" s="6"/>
      <c r="C51" s="9">
        <f t="shared" si="22"/>
        <v>91.763000000000005</v>
      </c>
      <c r="D51" s="6"/>
      <c r="E51" s="6"/>
      <c r="F51" s="9">
        <f t="shared" si="23"/>
        <v>3.2000000000000001E-2</v>
      </c>
      <c r="G51" s="6"/>
      <c r="K51" s="7" t="str">
        <f t="shared" si="24"/>
        <v>2023Q4</v>
      </c>
      <c r="L51" s="6"/>
      <c r="M51" s="9">
        <f t="shared" si="25"/>
        <v>88.028000000000006</v>
      </c>
      <c r="N51" s="6"/>
      <c r="O51" s="6"/>
      <c r="P51" s="9">
        <f t="shared" si="26"/>
        <v>3.1E-2</v>
      </c>
      <c r="Q51" s="6"/>
    </row>
    <row r="52" spans="1:17" ht="15.5" thickTop="1" thickBot="1" x14ac:dyDescent="0.4">
      <c r="A52" s="7" t="str">
        <f t="shared" si="21"/>
        <v>2024Q1</v>
      </c>
      <c r="B52" s="6"/>
      <c r="C52" s="9">
        <f t="shared" si="22"/>
        <v>93.572000000000003</v>
      </c>
      <c r="D52" s="6"/>
      <c r="E52" s="6"/>
      <c r="F52" s="9">
        <f t="shared" si="23"/>
        <v>3.4000000000000002E-2</v>
      </c>
      <c r="G52" s="6"/>
      <c r="K52" s="7" t="str">
        <f t="shared" si="24"/>
        <v>2024Q1</v>
      </c>
      <c r="L52" s="6"/>
      <c r="M52" s="9">
        <f t="shared" si="25"/>
        <v>89.835999999999999</v>
      </c>
      <c r="N52" s="6"/>
      <c r="O52" s="6"/>
      <c r="P52" s="9">
        <f t="shared" si="26"/>
        <v>3.2000000000000001E-2</v>
      </c>
      <c r="Q52" s="6"/>
    </row>
    <row r="53" spans="1:17" ht="15.5" thickTop="1" thickBot="1" x14ac:dyDescent="0.4">
      <c r="A53" s="7" t="str">
        <f t="shared" si="21"/>
        <v>2024Q2</v>
      </c>
      <c r="B53" s="6"/>
      <c r="C53" s="9">
        <f t="shared" si="22"/>
        <v>104.008</v>
      </c>
      <c r="D53" s="6"/>
      <c r="E53" s="6"/>
      <c r="F53" s="9">
        <f t="shared" si="23"/>
        <v>3.3000000000000002E-2</v>
      </c>
      <c r="G53" s="6"/>
      <c r="K53" s="7" t="str">
        <f t="shared" si="24"/>
        <v>2024Q2</v>
      </c>
      <c r="L53" s="6"/>
      <c r="M53" s="9">
        <f t="shared" si="25"/>
        <v>100.273</v>
      </c>
      <c r="N53" s="6"/>
      <c r="O53" s="6"/>
      <c r="P53" s="9">
        <f t="shared" si="26"/>
        <v>3.2000000000000001E-2</v>
      </c>
      <c r="Q53" s="6"/>
    </row>
    <row r="54" spans="1:17" ht="15.5" thickTop="1" thickBot="1" x14ac:dyDescent="0.4">
      <c r="A54" s="7" t="str">
        <f t="shared" si="21"/>
        <v>2024Q3</v>
      </c>
      <c r="B54" s="6"/>
      <c r="C54" s="9">
        <f t="shared" si="22"/>
        <v>94.778999999999996</v>
      </c>
      <c r="D54" s="6"/>
      <c r="E54" s="6"/>
      <c r="F54" s="9">
        <f t="shared" si="23"/>
        <v>3.3000000000000002E-2</v>
      </c>
      <c r="G54" s="6"/>
      <c r="K54" s="7" t="str">
        <f t="shared" si="24"/>
        <v>2024Q3</v>
      </c>
      <c r="L54" s="6"/>
      <c r="M54" s="9">
        <f t="shared" si="25"/>
        <v>91.043999999999997</v>
      </c>
      <c r="N54" s="6"/>
      <c r="O54" s="6"/>
      <c r="P54" s="9">
        <f t="shared" si="26"/>
        <v>3.2000000000000001E-2</v>
      </c>
      <c r="Q54" s="6"/>
    </row>
    <row r="55" spans="1:17" ht="15.5" thickTop="1" thickBot="1" x14ac:dyDescent="0.4">
      <c r="A55" s="7" t="str">
        <f t="shared" si="21"/>
        <v>2024Q4</v>
      </c>
      <c r="B55" s="6"/>
      <c r="C55" s="9">
        <f t="shared" si="22"/>
        <v>94.203999999999994</v>
      </c>
      <c r="D55" s="6"/>
      <c r="E55" s="6"/>
      <c r="F55" s="9">
        <f t="shared" si="23"/>
        <v>3.3000000000000002E-2</v>
      </c>
      <c r="G55" s="6"/>
      <c r="K55" s="7" t="str">
        <f t="shared" si="24"/>
        <v>2024Q4</v>
      </c>
      <c r="L55" s="6"/>
      <c r="M55" s="9">
        <f t="shared" si="25"/>
        <v>90.468000000000004</v>
      </c>
      <c r="N55" s="6"/>
      <c r="O55" s="6"/>
      <c r="P55" s="9">
        <f t="shared" si="26"/>
        <v>3.1E-2</v>
      </c>
      <c r="Q55" s="6"/>
    </row>
    <row r="56" spans="1:17" ht="15.5" thickTop="1" thickBot="1" x14ac:dyDescent="0.4">
      <c r="A56" s="7" t="str">
        <f t="shared" si="21"/>
        <v>2025Q1</v>
      </c>
      <c r="B56" s="6"/>
      <c r="C56" s="9">
        <f t="shared" si="22"/>
        <v>96.009</v>
      </c>
      <c r="D56" s="6"/>
      <c r="E56" s="6"/>
      <c r="F56" s="9">
        <f t="shared" si="23"/>
        <v>3.3000000000000002E-2</v>
      </c>
      <c r="G56" s="6"/>
      <c r="K56" s="7" t="str">
        <f t="shared" si="24"/>
        <v>2025Q1</v>
      </c>
      <c r="L56" s="6"/>
      <c r="M56" s="9">
        <f t="shared" si="25"/>
        <v>92.272999999999996</v>
      </c>
      <c r="N56" s="6"/>
      <c r="O56" s="6"/>
      <c r="P56" s="9">
        <f t="shared" si="26"/>
        <v>3.1E-2</v>
      </c>
      <c r="Q56" s="6"/>
    </row>
    <row r="57" spans="1:17" ht="15.5" thickTop="1" thickBot="1" x14ac:dyDescent="0.4">
      <c r="A57" s="7" t="str">
        <f t="shared" si="21"/>
        <v>2025Q2</v>
      </c>
      <c r="B57" s="6"/>
      <c r="C57" s="9">
        <f t="shared" si="22"/>
        <v>106.44199999999999</v>
      </c>
      <c r="D57" s="6"/>
      <c r="E57" s="6"/>
      <c r="F57" s="9">
        <f t="shared" si="23"/>
        <v>3.4000000000000002E-2</v>
      </c>
      <c r="G57" s="6"/>
      <c r="K57" s="7" t="str">
        <f t="shared" si="24"/>
        <v>2025Q2</v>
      </c>
      <c r="L57" s="6"/>
      <c r="M57" s="9">
        <f t="shared" si="25"/>
        <v>102.706</v>
      </c>
      <c r="N57" s="6"/>
      <c r="O57" s="6"/>
      <c r="P57" s="9">
        <f t="shared" si="26"/>
        <v>3.2000000000000001E-2</v>
      </c>
      <c r="Q57" s="6"/>
    </row>
    <row r="58" spans="1:17" ht="15.5" thickTop="1" thickBot="1" x14ac:dyDescent="0.4">
      <c r="A58" s="7" t="str">
        <f t="shared" si="21"/>
        <v>2025Q3</v>
      </c>
      <c r="B58" s="6"/>
      <c r="C58" s="9">
        <f t="shared" si="22"/>
        <v>97.212000000000003</v>
      </c>
      <c r="D58" s="6"/>
      <c r="E58" s="6"/>
      <c r="F58" s="9">
        <f t="shared" si="23"/>
        <v>3.4000000000000002E-2</v>
      </c>
      <c r="G58" s="6"/>
      <c r="K58" s="7" t="str">
        <f t="shared" si="24"/>
        <v>2025Q3</v>
      </c>
      <c r="L58" s="6"/>
      <c r="M58" s="9">
        <f t="shared" si="25"/>
        <v>93.475999999999999</v>
      </c>
      <c r="N58" s="6"/>
      <c r="O58" s="6"/>
      <c r="P58" s="9">
        <f t="shared" si="26"/>
        <v>3.2000000000000001E-2</v>
      </c>
      <c r="Q58" s="6"/>
    </row>
    <row r="59" spans="1:17" ht="15.5" thickTop="1" thickBot="1" x14ac:dyDescent="0.4">
      <c r="A59" s="7" t="str">
        <f t="shared" si="21"/>
        <v>2025Q4</v>
      </c>
      <c r="B59" s="6"/>
      <c r="C59" s="9">
        <f t="shared" si="22"/>
        <v>96.638000000000005</v>
      </c>
      <c r="D59" s="6"/>
      <c r="E59" s="6"/>
      <c r="F59" s="9">
        <f t="shared" si="23"/>
        <v>3.4000000000000002E-2</v>
      </c>
      <c r="G59" s="6"/>
      <c r="K59" s="7" t="str">
        <f t="shared" si="24"/>
        <v>2025Q4</v>
      </c>
      <c r="L59" s="6"/>
      <c r="M59" s="9">
        <f t="shared" si="25"/>
        <v>92.903000000000006</v>
      </c>
      <c r="N59" s="6"/>
      <c r="O59" s="6"/>
      <c r="P59" s="9">
        <f t="shared" si="26"/>
        <v>3.2000000000000001E-2</v>
      </c>
      <c r="Q59" s="6"/>
    </row>
    <row r="60" spans="1:17" ht="15.5" thickTop="1" thickBot="1" x14ac:dyDescent="0.4">
      <c r="A60" s="7" t="str">
        <f t="shared" si="21"/>
        <v>2026Q1</v>
      </c>
      <c r="B60" s="6"/>
      <c r="C60" s="9">
        <f t="shared" si="22"/>
        <v>98.441999999999993</v>
      </c>
      <c r="D60" s="6"/>
      <c r="E60" s="6"/>
      <c r="F60" s="9">
        <f t="shared" si="23"/>
        <v>3.4000000000000002E-2</v>
      </c>
      <c r="G60" s="6"/>
      <c r="K60" s="7" t="str">
        <f t="shared" si="24"/>
        <v>2026Q1</v>
      </c>
      <c r="L60" s="6"/>
      <c r="M60" s="9">
        <f t="shared" si="25"/>
        <v>94.706000000000003</v>
      </c>
      <c r="N60" s="6"/>
      <c r="O60" s="6"/>
      <c r="P60" s="9">
        <f t="shared" si="26"/>
        <v>3.2000000000000001E-2</v>
      </c>
      <c r="Q60" s="6"/>
    </row>
    <row r="61" spans="1:17" ht="15.5" thickTop="1" thickBot="1" x14ac:dyDescent="0.4">
      <c r="A61" s="7" t="str">
        <f t="shared" si="21"/>
        <v>2026Q2</v>
      </c>
      <c r="B61" s="6"/>
      <c r="C61" s="9">
        <f t="shared" si="22"/>
        <v>108.875</v>
      </c>
      <c r="D61" s="6"/>
      <c r="E61" s="6"/>
      <c r="F61" s="9">
        <f t="shared" si="23"/>
        <v>3.5000000000000003E-2</v>
      </c>
      <c r="G61" s="6"/>
      <c r="K61" s="7" t="str">
        <f t="shared" si="24"/>
        <v>2026Q2</v>
      </c>
      <c r="L61" s="6"/>
      <c r="M61" s="9">
        <f t="shared" si="25"/>
        <v>105.139</v>
      </c>
      <c r="N61" s="6"/>
      <c r="O61" s="6"/>
      <c r="P61" s="9">
        <f t="shared" si="26"/>
        <v>3.3000000000000002E-2</v>
      </c>
      <c r="Q61" s="6"/>
    </row>
    <row r="62" spans="1:17" ht="15.5" thickTop="1" thickBot="1" x14ac:dyDescent="0.4">
      <c r="A62" s="7" t="str">
        <f t="shared" si="21"/>
        <v>2026Q3</v>
      </c>
      <c r="B62" s="6"/>
      <c r="C62" s="9">
        <f t="shared" si="22"/>
        <v>99.644999999999996</v>
      </c>
      <c r="D62" s="6"/>
      <c r="E62" s="6"/>
      <c r="F62" s="9">
        <f t="shared" si="23"/>
        <v>3.5000000000000003E-2</v>
      </c>
      <c r="G62" s="6"/>
      <c r="K62" s="7" t="str">
        <f t="shared" si="24"/>
        <v>2026Q3</v>
      </c>
      <c r="L62" s="6"/>
      <c r="M62" s="9">
        <f t="shared" si="25"/>
        <v>95.909000000000006</v>
      </c>
      <c r="N62" s="6"/>
      <c r="O62" s="6"/>
      <c r="P62" s="9">
        <f t="shared" si="26"/>
        <v>3.3000000000000002E-2</v>
      </c>
      <c r="Q62" s="6"/>
    </row>
    <row r="63" spans="1:17" ht="15.5" thickTop="1" thickBot="1" x14ac:dyDescent="0.4">
      <c r="A63" s="7" t="str">
        <f t="shared" si="21"/>
        <v>2026Q4</v>
      </c>
      <c r="B63" s="6"/>
      <c r="C63" s="9">
        <f t="shared" si="22"/>
        <v>99.070999999999998</v>
      </c>
      <c r="D63" s="6"/>
      <c r="E63" s="6"/>
      <c r="F63" s="9">
        <f t="shared" si="23"/>
        <v>3.5000000000000003E-2</v>
      </c>
      <c r="G63" s="6"/>
      <c r="K63" s="7" t="str">
        <f t="shared" si="24"/>
        <v>2026Q4</v>
      </c>
      <c r="L63" s="6"/>
      <c r="M63" s="9">
        <f t="shared" si="25"/>
        <v>95.335999999999999</v>
      </c>
      <c r="N63" s="6"/>
      <c r="O63" s="6"/>
      <c r="P63" s="9">
        <f t="shared" si="26"/>
        <v>3.2000000000000001E-2</v>
      </c>
      <c r="Q63" s="6"/>
    </row>
    <row r="64" spans="1:17" ht="15.5" thickTop="1" thickBot="1" x14ac:dyDescent="0.4">
      <c r="A64" s="7" t="str">
        <f t="shared" si="21"/>
        <v>2027Q1</v>
      </c>
      <c r="B64" s="6"/>
      <c r="C64" s="9">
        <f t="shared" si="22"/>
        <v>100.875</v>
      </c>
      <c r="D64" s="6"/>
      <c r="E64" s="6"/>
      <c r="F64" s="9">
        <f t="shared" si="23"/>
        <v>3.5000000000000003E-2</v>
      </c>
      <c r="G64" s="6"/>
      <c r="K64" s="7" t="str">
        <f t="shared" si="24"/>
        <v>2027Q1</v>
      </c>
      <c r="L64" s="6"/>
      <c r="M64" s="9">
        <f t="shared" si="25"/>
        <v>97.138999999999996</v>
      </c>
      <c r="N64" s="6"/>
      <c r="O64" s="6"/>
      <c r="P64" s="9">
        <f t="shared" si="26"/>
        <v>3.2000000000000001E-2</v>
      </c>
      <c r="Q64" s="6"/>
    </row>
    <row r="65" spans="1:17" ht="15.5" thickTop="1" thickBot="1" x14ac:dyDescent="0.4">
      <c r="A65" s="7" t="str">
        <f t="shared" si="21"/>
        <v>2027Q2</v>
      </c>
      <c r="B65" s="6"/>
      <c r="C65" s="9">
        <f t="shared" si="22"/>
        <v>111.30800000000001</v>
      </c>
      <c r="D65" s="6"/>
      <c r="E65" s="6"/>
      <c r="F65" s="9">
        <f t="shared" si="23"/>
        <v>3.5999999999999997E-2</v>
      </c>
      <c r="G65" s="6"/>
      <c r="K65" s="7" t="str">
        <f t="shared" si="24"/>
        <v>2027Q2</v>
      </c>
      <c r="L65" s="6"/>
      <c r="M65" s="9">
        <f t="shared" si="25"/>
        <v>107.572</v>
      </c>
      <c r="N65" s="6"/>
      <c r="O65" s="6"/>
      <c r="P65" s="9">
        <f t="shared" si="26"/>
        <v>3.3000000000000002E-2</v>
      </c>
      <c r="Q65" s="6"/>
    </row>
    <row r="66" spans="1:17" ht="15.5" thickTop="1" thickBot="1" x14ac:dyDescent="0.4">
      <c r="A66" s="7" t="str">
        <f t="shared" si="21"/>
        <v>2027Q3</v>
      </c>
      <c r="B66" s="6"/>
      <c r="C66" s="9">
        <f t="shared" si="22"/>
        <v>102.078</v>
      </c>
      <c r="D66" s="6"/>
      <c r="E66" s="6"/>
      <c r="F66" s="9">
        <f t="shared" si="23"/>
        <v>3.5999999999999997E-2</v>
      </c>
      <c r="G66" s="6"/>
      <c r="K66" s="7" t="str">
        <f t="shared" si="24"/>
        <v>2027Q3</v>
      </c>
      <c r="L66" s="6"/>
      <c r="M66" s="9">
        <f t="shared" si="25"/>
        <v>98.343000000000004</v>
      </c>
      <c r="N66" s="6"/>
      <c r="O66" s="6"/>
      <c r="P66" s="9">
        <f t="shared" si="26"/>
        <v>3.3000000000000002E-2</v>
      </c>
      <c r="Q66" s="6"/>
    </row>
    <row r="67" spans="1:17" ht="15.5" thickTop="1" thickBot="1" x14ac:dyDescent="0.4">
      <c r="A67" s="7" t="str">
        <f t="shared" si="21"/>
        <v>2027Q4</v>
      </c>
      <c r="B67" s="6"/>
      <c r="C67" s="9">
        <f t="shared" si="22"/>
        <v>101.504</v>
      </c>
      <c r="D67" s="6"/>
      <c r="E67" s="6"/>
      <c r="F67" s="9">
        <f t="shared" si="23"/>
        <v>3.5000000000000003E-2</v>
      </c>
      <c r="G67" s="6"/>
      <c r="K67" s="7" t="str">
        <f t="shared" si="24"/>
        <v>2027Q4</v>
      </c>
      <c r="L67" s="6"/>
      <c r="M67" s="9">
        <f t="shared" si="25"/>
        <v>97.769000000000005</v>
      </c>
      <c r="N67" s="6"/>
      <c r="O67" s="6"/>
      <c r="P67" s="9">
        <f t="shared" si="26"/>
        <v>3.3000000000000002E-2</v>
      </c>
      <c r="Q67" s="6"/>
    </row>
    <row r="68" spans="1:17" ht="15.5" thickTop="1" thickBot="1" x14ac:dyDescent="0.4">
      <c r="A68" s="7" t="str">
        <f t="shared" si="21"/>
        <v>2028Q1</v>
      </c>
      <c r="B68" s="6"/>
      <c r="C68" s="9">
        <f t="shared" si="22"/>
        <v>103.30800000000001</v>
      </c>
      <c r="D68" s="6"/>
      <c r="E68" s="6"/>
      <c r="F68" s="9">
        <f t="shared" si="23"/>
        <v>3.5000000000000003E-2</v>
      </c>
      <c r="G68" s="6"/>
      <c r="K68" s="7" t="str">
        <f t="shared" si="24"/>
        <v>2028Q1</v>
      </c>
      <c r="L68" s="6"/>
      <c r="M68" s="9">
        <f t="shared" si="25"/>
        <v>99.572000000000003</v>
      </c>
      <c r="N68" s="6"/>
      <c r="O68" s="6"/>
      <c r="P68" s="9">
        <f t="shared" si="26"/>
        <v>3.3000000000000002E-2</v>
      </c>
      <c r="Q68" s="6"/>
    </row>
    <row r="69" spans="1:17" ht="15.5" thickTop="1" thickBot="1" x14ac:dyDescent="0.4">
      <c r="A69" s="7" t="str">
        <f t="shared" si="21"/>
        <v>2028Q2</v>
      </c>
      <c r="B69" s="6"/>
      <c r="C69" s="9">
        <f t="shared" si="22"/>
        <v>113.741</v>
      </c>
      <c r="D69" s="6"/>
      <c r="E69" s="6"/>
      <c r="F69" s="9">
        <f t="shared" si="23"/>
        <v>3.5999999999999997E-2</v>
      </c>
      <c r="G69" s="6"/>
      <c r="K69" s="7" t="str">
        <f t="shared" si="24"/>
        <v>2028Q2</v>
      </c>
      <c r="L69" s="6"/>
      <c r="M69" s="9">
        <f t="shared" si="25"/>
        <v>110.005</v>
      </c>
      <c r="N69" s="6"/>
      <c r="O69" s="6"/>
      <c r="P69" s="9">
        <f t="shared" si="26"/>
        <v>3.4000000000000002E-2</v>
      </c>
      <c r="Q69" s="6"/>
    </row>
    <row r="70" spans="1:17" ht="15.5" thickTop="1" thickBot="1" x14ac:dyDescent="0.4">
      <c r="A70" s="7" t="str">
        <f t="shared" si="21"/>
        <v>2028Q3</v>
      </c>
      <c r="B70" s="6"/>
      <c r="C70" s="9">
        <f t="shared" si="22"/>
        <v>104.511</v>
      </c>
      <c r="D70" s="6"/>
      <c r="E70" s="6"/>
      <c r="F70" s="9">
        <f t="shared" si="23"/>
        <v>3.5999999999999997E-2</v>
      </c>
      <c r="G70" s="6"/>
      <c r="K70" s="7" t="str">
        <f t="shared" si="24"/>
        <v>2028Q3</v>
      </c>
      <c r="L70" s="6"/>
      <c r="M70" s="9">
        <f t="shared" si="25"/>
        <v>100.776</v>
      </c>
      <c r="N70" s="6"/>
      <c r="O70" s="6"/>
      <c r="P70" s="9">
        <f t="shared" si="26"/>
        <v>3.4000000000000002E-2</v>
      </c>
      <c r="Q70" s="6"/>
    </row>
    <row r="71" spans="1:17" ht="15.5" thickTop="1" thickBot="1" x14ac:dyDescent="0.4">
      <c r="A71" s="7" t="str">
        <f t="shared" si="21"/>
        <v>2028Q4</v>
      </c>
      <c r="B71" s="6"/>
      <c r="C71" s="9">
        <f t="shared" si="22"/>
        <v>103.937</v>
      </c>
      <c r="D71" s="6"/>
      <c r="E71" s="6"/>
      <c r="F71" s="9">
        <f t="shared" si="23"/>
        <v>3.5999999999999997E-2</v>
      </c>
      <c r="G71" s="6"/>
      <c r="K71" s="7" t="str">
        <f t="shared" si="24"/>
        <v>2028Q4</v>
      </c>
      <c r="L71" s="6"/>
      <c r="M71" s="9">
        <f t="shared" si="25"/>
        <v>100.202</v>
      </c>
      <c r="N71" s="6"/>
      <c r="O71" s="6"/>
      <c r="P71" s="9">
        <f t="shared" si="26"/>
        <v>3.4000000000000002E-2</v>
      </c>
      <c r="Q71" s="6"/>
    </row>
    <row r="72" spans="1:17" ht="15.5" thickTop="1" thickBot="1" x14ac:dyDescent="0.4">
      <c r="A72" s="7" t="str">
        <f t="shared" si="21"/>
        <v>2029Q1</v>
      </c>
      <c r="B72" s="6"/>
      <c r="C72" s="9">
        <f t="shared" si="22"/>
        <v>105.741</v>
      </c>
      <c r="D72" s="6"/>
      <c r="E72" s="6"/>
      <c r="F72" s="9">
        <f t="shared" si="23"/>
        <v>3.5999999999999997E-2</v>
      </c>
      <c r="G72" s="6"/>
      <c r="K72" s="7" t="str">
        <f t="shared" si="24"/>
        <v>2029Q1</v>
      </c>
      <c r="L72" s="6"/>
      <c r="M72" s="9">
        <f t="shared" si="25"/>
        <v>102.006</v>
      </c>
      <c r="N72" s="6"/>
      <c r="O72" s="6"/>
      <c r="P72" s="9">
        <f t="shared" si="26"/>
        <v>3.3000000000000002E-2</v>
      </c>
      <c r="Q72" s="6"/>
    </row>
    <row r="73" spans="1:17" ht="15.5" thickTop="1" thickBot="1" x14ac:dyDescent="0.4">
      <c r="A73" s="7" t="str">
        <f t="shared" si="21"/>
        <v>2029Q2</v>
      </c>
      <c r="B73" s="6"/>
      <c r="C73" s="9">
        <f t="shared" si="22"/>
        <v>116.17400000000001</v>
      </c>
      <c r="D73" s="6"/>
      <c r="E73" s="6"/>
      <c r="F73" s="9">
        <f t="shared" si="23"/>
        <v>3.6999999999999998E-2</v>
      </c>
      <c r="G73" s="6"/>
      <c r="K73" s="7" t="str">
        <f t="shared" si="24"/>
        <v>2029Q2</v>
      </c>
      <c r="L73" s="6"/>
      <c r="M73" s="9">
        <f t="shared" si="25"/>
        <v>112.438</v>
      </c>
      <c r="N73" s="6"/>
      <c r="O73" s="6"/>
      <c r="P73" s="9">
        <f t="shared" si="26"/>
        <v>3.4000000000000002E-2</v>
      </c>
      <c r="Q73" s="6"/>
    </row>
    <row r="74" spans="1:17" ht="15.5" thickTop="1" thickBot="1" x14ac:dyDescent="0.4">
      <c r="A74" s="7" t="str">
        <f t="shared" si="21"/>
        <v>2029Q3</v>
      </c>
      <c r="B74" s="6"/>
      <c r="C74" s="9">
        <f t="shared" si="22"/>
        <v>106.944</v>
      </c>
      <c r="D74" s="6"/>
      <c r="E74" s="6"/>
      <c r="F74" s="9">
        <f t="shared" si="23"/>
        <v>3.6999999999999998E-2</v>
      </c>
      <c r="G74" s="6"/>
      <c r="K74" s="7" t="str">
        <f t="shared" si="24"/>
        <v>2029Q3</v>
      </c>
      <c r="L74" s="6"/>
      <c r="M74" s="9">
        <f t="shared" si="25"/>
        <v>103.209</v>
      </c>
      <c r="N74" s="6"/>
      <c r="O74" s="6"/>
      <c r="P74" s="9">
        <f t="shared" si="26"/>
        <v>3.4000000000000002E-2</v>
      </c>
      <c r="Q74" s="6"/>
    </row>
    <row r="75" spans="1:17" ht="15.5" thickTop="1" thickBot="1" x14ac:dyDescent="0.4">
      <c r="A75" s="7" t="str">
        <f t="shared" si="21"/>
        <v>2029Q4</v>
      </c>
      <c r="B75" s="6"/>
      <c r="C75" s="9">
        <f t="shared" si="22"/>
        <v>106.369</v>
      </c>
      <c r="D75" s="6"/>
      <c r="E75" s="6"/>
      <c r="F75" s="9">
        <f t="shared" si="23"/>
        <v>3.6999999999999998E-2</v>
      </c>
      <c r="G75" s="6"/>
      <c r="K75" s="7" t="str">
        <f t="shared" si="24"/>
        <v>2029Q4</v>
      </c>
      <c r="L75" s="6"/>
      <c r="M75" s="9">
        <f t="shared" si="25"/>
        <v>102.633</v>
      </c>
      <c r="N75" s="6"/>
      <c r="O75" s="6"/>
      <c r="P75" s="9">
        <f t="shared" si="26"/>
        <v>3.4000000000000002E-2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L1:Q1"/>
    <mergeCell ref="S1:X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76"/>
  <sheetViews>
    <sheetView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4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J3" s="28"/>
      <c r="K3" s="14" t="s">
        <v>69</v>
      </c>
      <c r="L3" s="58">
        <v>8.3462508979212195</v>
      </c>
      <c r="M3" s="58">
        <v>5.78976962463463</v>
      </c>
      <c r="N3" s="58">
        <v>10.902732171207809</v>
      </c>
      <c r="O3" s="1">
        <f t="shared" ref="O3:O34" si="0">ROUND(M3,3)</f>
        <v>5.79</v>
      </c>
      <c r="P3" s="1">
        <f t="shared" ref="P3:P14" si="1">ROUND(L3,3)</f>
        <v>8.3460000000000001</v>
      </c>
      <c r="Q3" s="1">
        <f t="shared" ref="Q3:Q14" si="2">ROUND(N3,3)</f>
        <v>10.903</v>
      </c>
      <c r="R3" s="14" t="str">
        <f>K3</f>
        <v>2022Q1</v>
      </c>
      <c r="S3" s="41">
        <v>1.7610911294085985E-2</v>
      </c>
      <c r="T3" s="41">
        <v>1.6056366660396598E-2</v>
      </c>
      <c r="U3" s="41">
        <v>1.9165455927775372E-2</v>
      </c>
      <c r="V3" s="1">
        <f t="shared" ref="V3:V34" si="3">ROUND(T3,3)</f>
        <v>1.6E-2</v>
      </c>
      <c r="W3" s="1">
        <f t="shared" ref="W3:W34" si="4">ROUND(S3,3)</f>
        <v>1.7999999999999999E-2</v>
      </c>
      <c r="X3" s="1">
        <f t="shared" ref="X3:X34" si="5">ROUND(U3,3)</f>
        <v>1.9E-2</v>
      </c>
    </row>
    <row r="4" spans="1:30" ht="15.5" thickTop="1" thickBot="1" x14ac:dyDescent="0.4">
      <c r="A4" s="5" t="str">
        <f>K3</f>
        <v>2022Q1</v>
      </c>
      <c r="B4" s="2">
        <f>O3</f>
        <v>5.79</v>
      </c>
      <c r="C4" s="3">
        <f>P3</f>
        <v>8.3460000000000001</v>
      </c>
      <c r="D4" s="2">
        <f>Q3</f>
        <v>10.903</v>
      </c>
      <c r="E4" s="2">
        <f>V3</f>
        <v>1.6E-2</v>
      </c>
      <c r="F4" s="3">
        <f>W3</f>
        <v>1.7999999999999999E-2</v>
      </c>
      <c r="G4" s="2">
        <f>X3</f>
        <v>1.9E-2</v>
      </c>
      <c r="J4" s="28"/>
      <c r="K4" s="14" t="s">
        <v>70</v>
      </c>
      <c r="L4" s="58">
        <v>9.9032238966474218</v>
      </c>
      <c r="M4" s="58">
        <v>7.2046849289910222</v>
      </c>
      <c r="N4" s="58">
        <v>12.601762864303822</v>
      </c>
      <c r="O4" s="1">
        <f t="shared" si="0"/>
        <v>7.2050000000000001</v>
      </c>
      <c r="P4" s="1">
        <f t="shared" si="1"/>
        <v>9.9030000000000005</v>
      </c>
      <c r="Q4" s="1">
        <f t="shared" si="2"/>
        <v>12.602</v>
      </c>
      <c r="R4" s="14" t="str">
        <f t="shared" ref="R4:R34" si="6">K4</f>
        <v>2022Q2</v>
      </c>
      <c r="S4" s="41">
        <v>1.8832624148321424E-2</v>
      </c>
      <c r="T4" s="41">
        <v>1.6477051760988133E-2</v>
      </c>
      <c r="U4" s="41">
        <v>2.1188196535654714E-2</v>
      </c>
      <c r="V4" s="1">
        <f t="shared" si="3"/>
        <v>1.6E-2</v>
      </c>
      <c r="W4" s="1">
        <f t="shared" si="4"/>
        <v>1.9E-2</v>
      </c>
      <c r="X4" s="1">
        <f t="shared" si="5"/>
        <v>2.1000000000000001E-2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7.2050000000000001</v>
      </c>
      <c r="C5" s="3">
        <f t="shared" si="8"/>
        <v>9.9030000000000005</v>
      </c>
      <c r="D5" s="2">
        <f t="shared" si="8"/>
        <v>12.602</v>
      </c>
      <c r="E5" s="2">
        <f t="shared" ref="E5:G20" si="9">V4</f>
        <v>1.6E-2</v>
      </c>
      <c r="F5" s="3">
        <f t="shared" si="9"/>
        <v>1.9E-2</v>
      </c>
      <c r="G5" s="2">
        <f t="shared" si="9"/>
        <v>2.1000000000000001E-2</v>
      </c>
      <c r="I5" s="1">
        <f>SUM(F5:F8)</f>
        <v>7.2999999999999995E-2</v>
      </c>
      <c r="K5" s="14" t="s">
        <v>71</v>
      </c>
      <c r="L5" s="58">
        <v>9.4196293213811195</v>
      </c>
      <c r="M5" s="58">
        <v>6.5951367108478216</v>
      </c>
      <c r="N5" s="58">
        <v>12.244121931914417</v>
      </c>
      <c r="O5" s="1">
        <f t="shared" si="0"/>
        <v>6.5949999999999998</v>
      </c>
      <c r="P5" s="1">
        <f t="shared" si="1"/>
        <v>9.42</v>
      </c>
      <c r="Q5" s="1">
        <f t="shared" si="2"/>
        <v>12.244</v>
      </c>
      <c r="R5" s="14" t="str">
        <f t="shared" si="6"/>
        <v>2022Q3</v>
      </c>
      <c r="S5" s="41">
        <v>1.7750480353912301E-2</v>
      </c>
      <c r="T5" s="41">
        <v>1.4703929738533041E-2</v>
      </c>
      <c r="U5" s="41">
        <v>2.0797030969291561E-2</v>
      </c>
      <c r="V5" s="1">
        <f t="shared" si="3"/>
        <v>1.4999999999999999E-2</v>
      </c>
      <c r="W5" s="1">
        <f t="shared" si="4"/>
        <v>1.7999999999999999E-2</v>
      </c>
      <c r="X5" s="1">
        <f t="shared" si="5"/>
        <v>2.1000000000000001E-2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6.5949999999999998</v>
      </c>
      <c r="C6" s="3">
        <f t="shared" si="8"/>
        <v>9.42</v>
      </c>
      <c r="D6" s="2">
        <f t="shared" si="8"/>
        <v>12.244</v>
      </c>
      <c r="E6" s="2">
        <f t="shared" si="9"/>
        <v>1.4999999999999999E-2</v>
      </c>
      <c r="F6" s="3">
        <f t="shared" si="9"/>
        <v>1.7999999999999999E-2</v>
      </c>
      <c r="G6" s="2">
        <f t="shared" si="9"/>
        <v>2.1000000000000001E-2</v>
      </c>
      <c r="I6" s="1">
        <f>SUM(F9:F12)</f>
        <v>7.4999999999999997E-2</v>
      </c>
      <c r="K6" s="14" t="s">
        <v>72</v>
      </c>
      <c r="L6" s="58">
        <v>9.5118031963468379</v>
      </c>
      <c r="M6" s="58">
        <v>6.5747977823216681</v>
      </c>
      <c r="N6" s="58">
        <v>12.448808610372007</v>
      </c>
      <c r="O6" s="1">
        <f t="shared" si="0"/>
        <v>6.5750000000000002</v>
      </c>
      <c r="P6" s="1">
        <f t="shared" si="1"/>
        <v>9.5120000000000005</v>
      </c>
      <c r="Q6" s="1">
        <f t="shared" si="2"/>
        <v>12.449</v>
      </c>
      <c r="R6" s="14" t="str">
        <f t="shared" si="6"/>
        <v>2022Q4</v>
      </c>
      <c r="S6" s="41">
        <v>1.8167307360015681E-2</v>
      </c>
      <c r="T6" s="41">
        <v>1.449282464493901E-2</v>
      </c>
      <c r="U6" s="41">
        <v>2.1841790075092352E-2</v>
      </c>
      <c r="V6" s="1">
        <f t="shared" si="3"/>
        <v>1.4E-2</v>
      </c>
      <c r="W6" s="1">
        <f t="shared" si="4"/>
        <v>1.7999999999999999E-2</v>
      </c>
      <c r="X6" s="1">
        <f t="shared" si="5"/>
        <v>2.1999999999999999E-2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6.5750000000000002</v>
      </c>
      <c r="C7" s="3">
        <f t="shared" si="8"/>
        <v>9.5120000000000005</v>
      </c>
      <c r="D7" s="2">
        <f t="shared" si="8"/>
        <v>12.449</v>
      </c>
      <c r="E7" s="2">
        <f t="shared" si="9"/>
        <v>1.4E-2</v>
      </c>
      <c r="F7" s="3">
        <f t="shared" si="9"/>
        <v>1.7999999999999999E-2</v>
      </c>
      <c r="G7" s="2">
        <f t="shared" si="9"/>
        <v>2.1999999999999999E-2</v>
      </c>
      <c r="I7" s="1">
        <f>SUM(F13:F16)</f>
        <v>7.6999999999999999E-2</v>
      </c>
      <c r="K7" s="14" t="s">
        <v>73</v>
      </c>
      <c r="L7" s="58">
        <v>8.1408405701521644</v>
      </c>
      <c r="M7" s="58">
        <v>5.1027375947364346</v>
      </c>
      <c r="N7" s="58">
        <v>11.178943545567895</v>
      </c>
      <c r="O7" s="1">
        <f t="shared" si="0"/>
        <v>5.1029999999999998</v>
      </c>
      <c r="P7" s="1">
        <f t="shared" si="1"/>
        <v>8.141</v>
      </c>
      <c r="Q7" s="1">
        <f t="shared" si="2"/>
        <v>11.179</v>
      </c>
      <c r="R7" s="14" t="str">
        <f t="shared" si="6"/>
        <v>2023Q1</v>
      </c>
      <c r="S7" s="41">
        <v>1.8226650741537939E-2</v>
      </c>
      <c r="T7" s="41">
        <v>1.3971120120637275E-2</v>
      </c>
      <c r="U7" s="41">
        <v>2.2482181362438604E-2</v>
      </c>
      <c r="V7" s="1">
        <f t="shared" si="3"/>
        <v>1.4E-2</v>
      </c>
      <c r="W7" s="1">
        <f t="shared" si="4"/>
        <v>1.7999999999999999E-2</v>
      </c>
      <c r="X7" s="1">
        <f t="shared" si="5"/>
        <v>2.1999999999999999E-2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5.1029999999999998</v>
      </c>
      <c r="C8" s="3">
        <f t="shared" si="8"/>
        <v>8.141</v>
      </c>
      <c r="D8" s="2">
        <f t="shared" si="8"/>
        <v>11.179</v>
      </c>
      <c r="E8" s="2">
        <f t="shared" si="9"/>
        <v>1.4E-2</v>
      </c>
      <c r="F8" s="3">
        <f t="shared" si="9"/>
        <v>1.7999999999999999E-2</v>
      </c>
      <c r="G8" s="2">
        <f t="shared" si="9"/>
        <v>2.1999999999999999E-2</v>
      </c>
      <c r="I8" s="1">
        <f>SUM(F17:F20)</f>
        <v>7.9000000000000001E-2</v>
      </c>
      <c r="K8" s="14" t="s">
        <v>74</v>
      </c>
      <c r="L8" s="58">
        <v>9.6901076242025699</v>
      </c>
      <c r="M8" s="58">
        <v>6.5607346370014721</v>
      </c>
      <c r="N8" s="58">
        <v>12.819480611403668</v>
      </c>
      <c r="O8" s="1">
        <f t="shared" si="0"/>
        <v>6.5609999999999999</v>
      </c>
      <c r="P8" s="1">
        <f t="shared" si="1"/>
        <v>9.69</v>
      </c>
      <c r="Q8" s="1">
        <f t="shared" si="2"/>
        <v>12.819000000000001</v>
      </c>
      <c r="R8" s="14" t="str">
        <f t="shared" si="6"/>
        <v>2023Q2</v>
      </c>
      <c r="S8" s="41">
        <v>1.9410242569863866E-2</v>
      </c>
      <c r="T8" s="41">
        <v>1.4612272308145725E-2</v>
      </c>
      <c r="U8" s="41">
        <v>2.4208212831582004E-2</v>
      </c>
      <c r="V8" s="1">
        <f t="shared" si="3"/>
        <v>1.4999999999999999E-2</v>
      </c>
      <c r="W8" s="1">
        <f t="shared" si="4"/>
        <v>1.9E-2</v>
      </c>
      <c r="X8" s="1">
        <f t="shared" si="5"/>
        <v>2.4E-2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6.5609999999999999</v>
      </c>
      <c r="C9" s="3">
        <f t="shared" si="8"/>
        <v>9.69</v>
      </c>
      <c r="D9" s="2">
        <f t="shared" si="8"/>
        <v>12.819000000000001</v>
      </c>
      <c r="E9" s="2">
        <f t="shared" si="9"/>
        <v>1.4999999999999999E-2</v>
      </c>
      <c r="F9" s="3">
        <f t="shared" si="9"/>
        <v>1.9E-2</v>
      </c>
      <c r="G9" s="2">
        <f t="shared" si="9"/>
        <v>2.4E-2</v>
      </c>
      <c r="I9" s="1">
        <f>SUM(F21:F24)</f>
        <v>8.1000000000000003E-2</v>
      </c>
      <c r="K9" s="14" t="s">
        <v>75</v>
      </c>
      <c r="L9" s="58">
        <v>9.1990742907901062</v>
      </c>
      <c r="M9" s="58">
        <v>5.9869842207856827</v>
      </c>
      <c r="N9" s="58">
        <v>12.41116436079453</v>
      </c>
      <c r="O9" s="1">
        <f t="shared" si="0"/>
        <v>5.9870000000000001</v>
      </c>
      <c r="P9" s="1">
        <f t="shared" si="1"/>
        <v>9.1989999999999998</v>
      </c>
      <c r="Q9" s="1">
        <f t="shared" si="2"/>
        <v>12.411</v>
      </c>
      <c r="R9" s="14" t="str">
        <f t="shared" si="6"/>
        <v>2023Q3</v>
      </c>
      <c r="S9" s="41">
        <v>1.829936093474277E-2</v>
      </c>
      <c r="T9" s="41">
        <v>1.2992148837431374E-2</v>
      </c>
      <c r="U9" s="41">
        <v>2.3606573032054164E-2</v>
      </c>
      <c r="V9" s="1">
        <f t="shared" si="3"/>
        <v>1.2999999999999999E-2</v>
      </c>
      <c r="W9" s="1">
        <f t="shared" si="4"/>
        <v>1.7999999999999999E-2</v>
      </c>
      <c r="X9" s="1">
        <f t="shared" si="5"/>
        <v>2.4E-2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5.9870000000000001</v>
      </c>
      <c r="C10" s="3">
        <f t="shared" si="8"/>
        <v>9.1989999999999998</v>
      </c>
      <c r="D10" s="2">
        <f t="shared" si="8"/>
        <v>12.411</v>
      </c>
      <c r="E10" s="2">
        <f t="shared" si="9"/>
        <v>1.2999999999999999E-2</v>
      </c>
      <c r="F10" s="3">
        <f t="shared" si="9"/>
        <v>1.7999999999999999E-2</v>
      </c>
      <c r="G10" s="2">
        <f t="shared" si="9"/>
        <v>2.4E-2</v>
      </c>
      <c r="I10" s="1">
        <f>SUM(F25:F28)</f>
        <v>8.3000000000000004E-2</v>
      </c>
      <c r="K10" s="14" t="s">
        <v>76</v>
      </c>
      <c r="L10" s="58">
        <v>9.2840673300393579</v>
      </c>
      <c r="M10" s="58">
        <v>5.9967697278101868</v>
      </c>
      <c r="N10" s="58">
        <v>12.571364932268528</v>
      </c>
      <c r="O10" s="1">
        <f t="shared" si="0"/>
        <v>5.9969999999999999</v>
      </c>
      <c r="P10" s="1">
        <f t="shared" si="1"/>
        <v>9.2840000000000007</v>
      </c>
      <c r="Q10" s="1">
        <f t="shared" si="2"/>
        <v>12.571</v>
      </c>
      <c r="R10" s="14" t="str">
        <f t="shared" si="6"/>
        <v>2023Q4</v>
      </c>
      <c r="S10" s="41">
        <v>1.8694523689449884E-2</v>
      </c>
      <c r="T10" s="41">
        <v>1.2907186465567329E-2</v>
      </c>
      <c r="U10" s="41">
        <v>2.4481860913332439E-2</v>
      </c>
      <c r="V10" s="1">
        <f t="shared" si="3"/>
        <v>1.2999999999999999E-2</v>
      </c>
      <c r="W10" s="1">
        <f t="shared" si="4"/>
        <v>1.9E-2</v>
      </c>
      <c r="X10" s="1">
        <f t="shared" si="5"/>
        <v>2.4E-2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5.9969999999999999</v>
      </c>
      <c r="C11" s="3">
        <f t="shared" si="8"/>
        <v>9.2840000000000007</v>
      </c>
      <c r="D11" s="2">
        <f t="shared" si="8"/>
        <v>12.571</v>
      </c>
      <c r="E11" s="2">
        <f t="shared" si="9"/>
        <v>1.2999999999999999E-2</v>
      </c>
      <c r="F11" s="3">
        <f t="shared" si="9"/>
        <v>1.9E-2</v>
      </c>
      <c r="G11" s="2">
        <f t="shared" si="9"/>
        <v>2.4E-2</v>
      </c>
      <c r="I11" s="1">
        <f>SUM(F29:F32)</f>
        <v>8.5000000000000006E-2</v>
      </c>
      <c r="K11" s="14" t="s">
        <v>77</v>
      </c>
      <c r="L11" s="58">
        <v>7.9061728476700761</v>
      </c>
      <c r="M11" s="58">
        <v>4.5503093580316829</v>
      </c>
      <c r="N11" s="58">
        <v>11.262036337308469</v>
      </c>
      <c r="O11" s="1">
        <f t="shared" si="0"/>
        <v>4.55</v>
      </c>
      <c r="P11" s="1">
        <f t="shared" si="1"/>
        <v>7.9059999999999997</v>
      </c>
      <c r="Q11" s="1">
        <f t="shared" si="2"/>
        <v>11.262</v>
      </c>
      <c r="R11" s="14" t="str">
        <f t="shared" si="6"/>
        <v>2024Q1</v>
      </c>
      <c r="S11" s="41">
        <v>1.8737535301537402E-2</v>
      </c>
      <c r="T11" s="41">
        <v>1.2495869049139E-2</v>
      </c>
      <c r="U11" s="41">
        <v>2.4979201553935806E-2</v>
      </c>
      <c r="V11" s="1">
        <f t="shared" si="3"/>
        <v>1.2E-2</v>
      </c>
      <c r="W11" s="1">
        <f t="shared" si="4"/>
        <v>1.9E-2</v>
      </c>
      <c r="X11" s="1">
        <f t="shared" si="5"/>
        <v>2.5000000000000001E-2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4.55</v>
      </c>
      <c r="C12" s="3">
        <f t="shared" si="8"/>
        <v>7.9059999999999997</v>
      </c>
      <c r="D12" s="2">
        <f t="shared" si="8"/>
        <v>11.262</v>
      </c>
      <c r="E12" s="2">
        <f t="shared" si="9"/>
        <v>1.2E-2</v>
      </c>
      <c r="F12" s="3">
        <f t="shared" si="9"/>
        <v>1.9E-2</v>
      </c>
      <c r="G12" s="2">
        <f t="shared" si="9"/>
        <v>2.5000000000000001E-2</v>
      </c>
      <c r="K12" s="14" t="s">
        <v>78</v>
      </c>
      <c r="L12" s="58">
        <v>9.4487483922746822</v>
      </c>
      <c r="M12" s="58">
        <v>6.0302289628933545</v>
      </c>
      <c r="N12" s="58">
        <v>12.867267821656011</v>
      </c>
      <c r="O12" s="1">
        <f t="shared" si="0"/>
        <v>6.03</v>
      </c>
      <c r="P12" s="1">
        <f t="shared" si="1"/>
        <v>9.4489999999999998</v>
      </c>
      <c r="Q12" s="1">
        <f t="shared" si="2"/>
        <v>12.867000000000001</v>
      </c>
      <c r="R12" s="14" t="str">
        <f t="shared" si="6"/>
        <v>2024Q2</v>
      </c>
      <c r="S12" s="41">
        <v>1.9908815294665757E-2</v>
      </c>
      <c r="T12" s="41">
        <v>1.3235810377319338E-2</v>
      </c>
      <c r="U12" s="41">
        <v>2.6581820212012174E-2</v>
      </c>
      <c r="V12" s="1">
        <f t="shared" si="3"/>
        <v>1.2999999999999999E-2</v>
      </c>
      <c r="W12" s="1">
        <f t="shared" si="4"/>
        <v>0.02</v>
      </c>
      <c r="X12" s="1">
        <f t="shared" si="5"/>
        <v>2.7E-2</v>
      </c>
    </row>
    <row r="13" spans="1:30" ht="15.5" thickTop="1" thickBot="1" x14ac:dyDescent="0.4">
      <c r="A13" s="5" t="str">
        <f t="shared" si="7"/>
        <v>2024Q2</v>
      </c>
      <c r="B13" s="2">
        <f t="shared" si="8"/>
        <v>6.03</v>
      </c>
      <c r="C13" s="3">
        <f t="shared" si="8"/>
        <v>9.4489999999999998</v>
      </c>
      <c r="D13" s="2">
        <f t="shared" si="8"/>
        <v>12.867000000000001</v>
      </c>
      <c r="E13" s="2">
        <f t="shared" si="9"/>
        <v>1.2999999999999999E-2</v>
      </c>
      <c r="F13" s="3">
        <f t="shared" si="9"/>
        <v>0.02</v>
      </c>
      <c r="G13" s="2">
        <f t="shared" si="9"/>
        <v>2.7E-2</v>
      </c>
      <c r="K13" s="14" t="s">
        <v>79</v>
      </c>
      <c r="L13" s="58">
        <v>8.9512555626558186</v>
      </c>
      <c r="M13" s="58">
        <v>5.475366236890868</v>
      </c>
      <c r="N13" s="58">
        <v>12.427144888420768</v>
      </c>
      <c r="O13" s="1">
        <f t="shared" si="0"/>
        <v>5.4749999999999996</v>
      </c>
      <c r="P13" s="1">
        <f t="shared" si="1"/>
        <v>8.9510000000000005</v>
      </c>
      <c r="Q13" s="1">
        <f t="shared" si="2"/>
        <v>12.427</v>
      </c>
      <c r="R13" s="14" t="str">
        <f t="shared" si="6"/>
        <v>2024Q3</v>
      </c>
      <c r="S13" s="41">
        <v>1.8788652283969406E-2</v>
      </c>
      <c r="T13" s="41">
        <v>1.1704884316004905E-2</v>
      </c>
      <c r="U13" s="41">
        <v>2.5872420251933904E-2</v>
      </c>
      <c r="V13" s="1">
        <f t="shared" si="3"/>
        <v>1.2E-2</v>
      </c>
      <c r="W13" s="1">
        <f t="shared" si="4"/>
        <v>1.9E-2</v>
      </c>
      <c r="X13" s="1">
        <f t="shared" si="5"/>
        <v>2.5999999999999999E-2</v>
      </c>
    </row>
    <row r="14" spans="1:30" ht="15.5" thickTop="1" thickBot="1" x14ac:dyDescent="0.4">
      <c r="A14" s="5" t="str">
        <f t="shared" si="7"/>
        <v>2024Q3</v>
      </c>
      <c r="B14" s="2">
        <f t="shared" si="8"/>
        <v>5.4749999999999996</v>
      </c>
      <c r="C14" s="3">
        <f t="shared" si="8"/>
        <v>8.9510000000000005</v>
      </c>
      <c r="D14" s="2">
        <f t="shared" si="8"/>
        <v>12.427</v>
      </c>
      <c r="E14" s="2">
        <f t="shared" si="9"/>
        <v>1.2E-2</v>
      </c>
      <c r="F14" s="3">
        <f t="shared" si="9"/>
        <v>1.9E-2</v>
      </c>
      <c r="G14" s="2">
        <f t="shared" si="9"/>
        <v>2.5999999999999999E-2</v>
      </c>
      <c r="K14" s="14" t="s">
        <v>84</v>
      </c>
      <c r="L14" s="58">
        <v>9.0300130743939029</v>
      </c>
      <c r="M14" s="58">
        <v>5.5015027265923928</v>
      </c>
      <c r="N14" s="58">
        <v>12.558523422195412</v>
      </c>
      <c r="O14" s="1">
        <f t="shared" si="0"/>
        <v>5.5019999999999998</v>
      </c>
      <c r="P14" s="1">
        <f t="shared" si="1"/>
        <v>9.0299999999999994</v>
      </c>
      <c r="Q14" s="1">
        <f t="shared" si="2"/>
        <v>12.558999999999999</v>
      </c>
      <c r="R14" s="14" t="str">
        <f t="shared" si="6"/>
        <v>2024Q4</v>
      </c>
      <c r="S14" s="41">
        <v>1.9176818199360013E-2</v>
      </c>
      <c r="T14" s="41">
        <v>1.1700765538213049E-2</v>
      </c>
      <c r="U14" s="41">
        <v>2.6652870860506977E-2</v>
      </c>
      <c r="V14" s="1">
        <f t="shared" si="3"/>
        <v>1.2E-2</v>
      </c>
      <c r="W14" s="1">
        <f t="shared" si="4"/>
        <v>1.9E-2</v>
      </c>
      <c r="X14" s="1">
        <f t="shared" si="5"/>
        <v>2.7E-2</v>
      </c>
    </row>
    <row r="15" spans="1:30" ht="15.5" thickTop="1" thickBot="1" x14ac:dyDescent="0.4">
      <c r="A15" s="5" t="str">
        <f t="shared" si="7"/>
        <v>2024Q4</v>
      </c>
      <c r="B15" s="2">
        <f t="shared" si="8"/>
        <v>5.5019999999999998</v>
      </c>
      <c r="C15" s="3">
        <f t="shared" si="8"/>
        <v>9.0299999999999994</v>
      </c>
      <c r="D15" s="2">
        <f t="shared" si="8"/>
        <v>12.558999999999999</v>
      </c>
      <c r="E15" s="2">
        <f t="shared" si="9"/>
        <v>1.2E-2</v>
      </c>
      <c r="F15" s="3">
        <f t="shared" si="9"/>
        <v>1.9E-2</v>
      </c>
      <c r="G15" s="2">
        <f t="shared" si="9"/>
        <v>2.7E-2</v>
      </c>
      <c r="K15" s="14" t="s">
        <v>81</v>
      </c>
      <c r="L15" s="58">
        <v>7.6460992675912394</v>
      </c>
      <c r="M15" s="58">
        <v>4.0692504092684292</v>
      </c>
      <c r="N15" s="58">
        <v>11.22294812591405</v>
      </c>
      <c r="O15" s="1">
        <f t="shared" si="0"/>
        <v>4.069</v>
      </c>
      <c r="P15" s="1">
        <f t="shared" ref="P15:P34" si="10">ROUND(L15,3)</f>
        <v>7.6459999999999999</v>
      </c>
      <c r="Q15" s="1">
        <f t="shared" ref="Q15:Q34" si="11">ROUND(N15,3)</f>
        <v>11.223000000000001</v>
      </c>
      <c r="R15" s="14" t="str">
        <f t="shared" si="6"/>
        <v>2025Q1</v>
      </c>
      <c r="S15" s="41">
        <v>1.9214555188087637E-2</v>
      </c>
      <c r="T15" s="41">
        <v>1.1362865967878107E-2</v>
      </c>
      <c r="U15" s="41">
        <v>2.7066244408297167E-2</v>
      </c>
      <c r="V15" s="1">
        <f t="shared" si="3"/>
        <v>1.0999999999999999E-2</v>
      </c>
      <c r="W15" s="1">
        <f t="shared" si="4"/>
        <v>1.9E-2</v>
      </c>
      <c r="X15" s="1">
        <f t="shared" si="5"/>
        <v>2.7E-2</v>
      </c>
    </row>
    <row r="16" spans="1:30" ht="15.5" thickTop="1" thickBot="1" x14ac:dyDescent="0.4">
      <c r="A16" s="5" t="str">
        <f t="shared" si="7"/>
        <v>2025Q1</v>
      </c>
      <c r="B16" s="2">
        <f t="shared" si="8"/>
        <v>4.069</v>
      </c>
      <c r="C16" s="3">
        <f t="shared" si="8"/>
        <v>7.6459999999999999</v>
      </c>
      <c r="D16" s="2">
        <f t="shared" si="8"/>
        <v>11.223000000000001</v>
      </c>
      <c r="E16" s="2">
        <f t="shared" si="9"/>
        <v>1.0999999999999999E-2</v>
      </c>
      <c r="F16" s="3">
        <f t="shared" si="9"/>
        <v>1.9E-2</v>
      </c>
      <c r="G16" s="2">
        <f t="shared" si="9"/>
        <v>2.7E-2</v>
      </c>
      <c r="K16" s="14" t="s">
        <v>82</v>
      </c>
      <c r="L16" s="58">
        <v>9.182864194478352</v>
      </c>
      <c r="M16" s="58">
        <v>5.5615515113918077</v>
      </c>
      <c r="N16" s="58">
        <v>12.804176877564897</v>
      </c>
      <c r="O16" s="1">
        <f t="shared" si="0"/>
        <v>5.5620000000000003</v>
      </c>
      <c r="P16" s="1">
        <f t="shared" si="10"/>
        <v>9.1829999999999998</v>
      </c>
      <c r="Q16" s="1">
        <f t="shared" si="11"/>
        <v>12.804</v>
      </c>
      <c r="R16" s="14" t="str">
        <f t="shared" si="6"/>
        <v>2025Q2</v>
      </c>
      <c r="S16" s="41">
        <v>2.0381858864149078E-2</v>
      </c>
      <c r="T16" s="41">
        <v>1.2169579463734394E-2</v>
      </c>
      <c r="U16" s="41">
        <v>2.8594138264563758E-2</v>
      </c>
      <c r="V16" s="1">
        <f t="shared" si="3"/>
        <v>1.2E-2</v>
      </c>
      <c r="W16" s="1">
        <f t="shared" si="4"/>
        <v>0.02</v>
      </c>
      <c r="X16" s="1">
        <f t="shared" si="5"/>
        <v>2.9000000000000001E-2</v>
      </c>
    </row>
    <row r="17" spans="1:24" ht="15.5" thickTop="1" thickBot="1" x14ac:dyDescent="0.4">
      <c r="A17" s="5" t="str">
        <f t="shared" si="7"/>
        <v>2025Q2</v>
      </c>
      <c r="B17" s="2">
        <f t="shared" si="8"/>
        <v>5.5620000000000003</v>
      </c>
      <c r="C17" s="3">
        <f t="shared" si="8"/>
        <v>9.1829999999999998</v>
      </c>
      <c r="D17" s="2">
        <f t="shared" si="8"/>
        <v>12.804</v>
      </c>
      <c r="E17" s="2">
        <f t="shared" si="9"/>
        <v>1.2E-2</v>
      </c>
      <c r="F17" s="3">
        <f t="shared" si="9"/>
        <v>0.02</v>
      </c>
      <c r="G17" s="2">
        <f t="shared" si="9"/>
        <v>2.9000000000000001E-2</v>
      </c>
      <c r="K17" s="14" t="s">
        <v>83</v>
      </c>
      <c r="L17" s="58">
        <v>8.6797622174156999</v>
      </c>
      <c r="M17" s="58">
        <v>5.0175015045821736</v>
      </c>
      <c r="N17" s="58">
        <v>12.342022930249227</v>
      </c>
      <c r="O17" s="1">
        <f t="shared" si="0"/>
        <v>5.0179999999999998</v>
      </c>
      <c r="P17" s="1">
        <f t="shared" si="10"/>
        <v>8.68</v>
      </c>
      <c r="Q17" s="1">
        <f t="shared" si="11"/>
        <v>12.342000000000001</v>
      </c>
      <c r="R17" s="14" t="str">
        <f t="shared" si="6"/>
        <v>2025Q3</v>
      </c>
      <c r="S17" s="41">
        <v>1.9258698274983551E-2</v>
      </c>
      <c r="T17" s="41">
        <v>1.0699470325581703E-2</v>
      </c>
      <c r="U17" s="41">
        <v>2.7817926224385399E-2</v>
      </c>
      <c r="V17" s="1">
        <f t="shared" si="3"/>
        <v>1.0999999999999999E-2</v>
      </c>
      <c r="W17" s="1">
        <f t="shared" si="4"/>
        <v>1.9E-2</v>
      </c>
      <c r="X17" s="1">
        <f t="shared" si="5"/>
        <v>2.8000000000000001E-2</v>
      </c>
    </row>
    <row r="18" spans="1:24" ht="15.5" thickTop="1" thickBot="1" x14ac:dyDescent="0.4">
      <c r="A18" s="5" t="str">
        <f t="shared" si="7"/>
        <v>2025Q3</v>
      </c>
      <c r="B18" s="2">
        <f t="shared" si="8"/>
        <v>5.0179999999999998</v>
      </c>
      <c r="C18" s="3">
        <f t="shared" si="8"/>
        <v>8.68</v>
      </c>
      <c r="D18" s="2">
        <f t="shared" si="8"/>
        <v>12.342000000000001</v>
      </c>
      <c r="E18" s="2">
        <f t="shared" si="9"/>
        <v>1.0999999999999999E-2</v>
      </c>
      <c r="F18" s="3">
        <f t="shared" si="9"/>
        <v>1.9E-2</v>
      </c>
      <c r="G18" s="2">
        <f t="shared" si="9"/>
        <v>2.8000000000000001E-2</v>
      </c>
      <c r="K18" s="14" t="s">
        <v>80</v>
      </c>
      <c r="L18" s="58">
        <v>8.7531050664490859</v>
      </c>
      <c r="M18" s="58">
        <v>5.0530945408587984</v>
      </c>
      <c r="N18" s="58">
        <v>12.453115592039373</v>
      </c>
      <c r="O18" s="1">
        <f t="shared" si="0"/>
        <v>5.0529999999999999</v>
      </c>
      <c r="P18" s="1">
        <f t="shared" si="10"/>
        <v>8.7530000000000001</v>
      </c>
      <c r="Q18" s="1">
        <f t="shared" si="11"/>
        <v>12.452999999999999</v>
      </c>
      <c r="R18" s="14" t="str">
        <f t="shared" si="6"/>
        <v>2025Q4</v>
      </c>
      <c r="S18" s="41">
        <v>1.9644604441836085E-2</v>
      </c>
      <c r="T18" s="41">
        <v>1.0750835277141097E-2</v>
      </c>
      <c r="U18" s="41">
        <v>2.8538373606531074E-2</v>
      </c>
      <c r="V18" s="1">
        <f t="shared" si="3"/>
        <v>1.0999999999999999E-2</v>
      </c>
      <c r="W18" s="1">
        <f t="shared" si="4"/>
        <v>0.02</v>
      </c>
      <c r="X18" s="1">
        <f t="shared" si="5"/>
        <v>2.9000000000000001E-2</v>
      </c>
    </row>
    <row r="19" spans="1:24" ht="15.5" thickTop="1" thickBot="1" x14ac:dyDescent="0.4">
      <c r="A19" s="5" t="str">
        <f t="shared" si="7"/>
        <v>2025Q4</v>
      </c>
      <c r="B19" s="2">
        <f t="shared" si="8"/>
        <v>5.0529999999999999</v>
      </c>
      <c r="C19" s="3">
        <f t="shared" si="8"/>
        <v>8.7530000000000001</v>
      </c>
      <c r="D19" s="2">
        <f t="shared" si="8"/>
        <v>12.452999999999999</v>
      </c>
      <c r="E19" s="2">
        <f t="shared" si="9"/>
        <v>1.0999999999999999E-2</v>
      </c>
      <c r="F19" s="3">
        <f t="shared" si="9"/>
        <v>0.02</v>
      </c>
      <c r="G19" s="2">
        <f t="shared" si="9"/>
        <v>2.9000000000000001E-2</v>
      </c>
      <c r="K19" s="14" t="s">
        <v>92</v>
      </c>
      <c r="L19" s="58">
        <v>7.3639643383541102</v>
      </c>
      <c r="M19" s="58">
        <v>3.6291198234469846</v>
      </c>
      <c r="N19" s="58">
        <v>11.098808853261236</v>
      </c>
      <c r="O19" s="1">
        <f t="shared" si="0"/>
        <v>3.629</v>
      </c>
      <c r="P19" s="1">
        <f t="shared" si="10"/>
        <v>7.3639999999999999</v>
      </c>
      <c r="Q19" s="1">
        <f t="shared" si="11"/>
        <v>11.099</v>
      </c>
      <c r="R19" s="14" t="str">
        <f t="shared" si="6"/>
        <v>2026Q1</v>
      </c>
      <c r="S19" s="41">
        <v>1.9680637901028843E-2</v>
      </c>
      <c r="T19" s="41">
        <v>1.0463648231100207E-2</v>
      </c>
      <c r="U19" s="41">
        <v>2.8897627570957478E-2</v>
      </c>
      <c r="V19" s="1">
        <f t="shared" si="3"/>
        <v>0.01</v>
      </c>
      <c r="W19" s="1">
        <f t="shared" si="4"/>
        <v>0.02</v>
      </c>
      <c r="X19" s="1">
        <f t="shared" si="5"/>
        <v>2.9000000000000001E-2</v>
      </c>
    </row>
    <row r="20" spans="1:24" ht="15.5" thickTop="1" thickBot="1" x14ac:dyDescent="0.4">
      <c r="A20" s="5" t="str">
        <f t="shared" si="7"/>
        <v>2026Q1</v>
      </c>
      <c r="B20" s="2">
        <f>O19</f>
        <v>3.629</v>
      </c>
      <c r="C20" s="3">
        <f t="shared" si="8"/>
        <v>7.3639999999999999</v>
      </c>
      <c r="D20" s="2">
        <f t="shared" si="8"/>
        <v>11.099</v>
      </c>
      <c r="E20" s="2">
        <f t="shared" si="9"/>
        <v>0.01</v>
      </c>
      <c r="F20" s="3">
        <f t="shared" si="9"/>
        <v>0.02</v>
      </c>
      <c r="G20" s="2">
        <f t="shared" si="9"/>
        <v>2.9000000000000001E-2</v>
      </c>
      <c r="K20" s="14" t="s">
        <v>93</v>
      </c>
      <c r="L20" s="58">
        <v>8.895683575844485</v>
      </c>
      <c r="M20" s="58">
        <v>5.1286687021620505</v>
      </c>
      <c r="N20" s="58">
        <v>12.662698449526919</v>
      </c>
      <c r="O20" s="1">
        <f t="shared" si="0"/>
        <v>5.1289999999999996</v>
      </c>
      <c r="P20" s="1">
        <f t="shared" si="10"/>
        <v>8.8960000000000008</v>
      </c>
      <c r="Q20" s="1">
        <f t="shared" si="11"/>
        <v>12.663</v>
      </c>
      <c r="R20" s="14" t="str">
        <f t="shared" si="6"/>
        <v>2026Q2</v>
      </c>
      <c r="S20" s="41">
        <v>2.0846657357706015E-2</v>
      </c>
      <c r="T20" s="41">
        <v>1.131680928833936E-2</v>
      </c>
      <c r="U20" s="41">
        <v>3.0376505427072667E-2</v>
      </c>
      <c r="V20" s="1">
        <f t="shared" si="3"/>
        <v>1.0999999999999999E-2</v>
      </c>
      <c r="W20" s="1">
        <f t="shared" si="4"/>
        <v>2.1000000000000001E-2</v>
      </c>
      <c r="X20" s="1">
        <f t="shared" si="5"/>
        <v>0.03</v>
      </c>
    </row>
    <row r="21" spans="1:24" ht="15.5" thickTop="1" thickBot="1" x14ac:dyDescent="0.4">
      <c r="A21" s="5" t="str">
        <f t="shared" si="7"/>
        <v>2026Q2</v>
      </c>
      <c r="B21" s="2">
        <f t="shared" ref="B21:D35" si="12">O20</f>
        <v>5.1289999999999996</v>
      </c>
      <c r="C21" s="3">
        <f t="shared" si="12"/>
        <v>8.8960000000000008</v>
      </c>
      <c r="D21" s="2">
        <f t="shared" si="12"/>
        <v>12.663</v>
      </c>
      <c r="E21" s="2">
        <f t="shared" ref="E21:G35" si="13">V20</f>
        <v>1.0999999999999999E-2</v>
      </c>
      <c r="F21" s="3">
        <f t="shared" si="13"/>
        <v>2.1000000000000001E-2</v>
      </c>
      <c r="G21" s="2">
        <f t="shared" si="13"/>
        <v>0.03</v>
      </c>
      <c r="K21" s="14" t="s">
        <v>94</v>
      </c>
      <c r="L21" s="58">
        <v>8.3877108574668977</v>
      </c>
      <c r="M21" s="58">
        <v>4.5909631679361738</v>
      </c>
      <c r="N21" s="58">
        <v>12.184458546997622</v>
      </c>
      <c r="O21" s="1">
        <f t="shared" si="0"/>
        <v>4.5910000000000002</v>
      </c>
      <c r="P21" s="1">
        <f t="shared" si="10"/>
        <v>8.3879999999999999</v>
      </c>
      <c r="Q21" s="1">
        <f t="shared" si="11"/>
        <v>12.183999999999999</v>
      </c>
      <c r="R21" s="14" t="str">
        <f t="shared" si="6"/>
        <v>2026Q3</v>
      </c>
      <c r="S21" s="41">
        <v>1.9722528649471716E-2</v>
      </c>
      <c r="T21" s="41">
        <v>9.8893367142246866E-3</v>
      </c>
      <c r="U21" s="41">
        <v>2.9555720584718743E-2</v>
      </c>
      <c r="V21" s="1">
        <f t="shared" si="3"/>
        <v>0.01</v>
      </c>
      <c r="W21" s="1">
        <f t="shared" si="4"/>
        <v>0.02</v>
      </c>
      <c r="X21" s="1">
        <f t="shared" si="5"/>
        <v>0.03</v>
      </c>
    </row>
    <row r="22" spans="1:24" ht="15.5" thickTop="1" thickBot="1" x14ac:dyDescent="0.4">
      <c r="A22" s="5" t="str">
        <f t="shared" si="7"/>
        <v>2026Q3</v>
      </c>
      <c r="B22" s="2">
        <f t="shared" si="12"/>
        <v>4.5910000000000002</v>
      </c>
      <c r="C22" s="3">
        <f t="shared" si="12"/>
        <v>8.3879999999999999</v>
      </c>
      <c r="D22" s="2">
        <f t="shared" si="12"/>
        <v>12.183999999999999</v>
      </c>
      <c r="E22" s="2">
        <f t="shared" si="13"/>
        <v>0.01</v>
      </c>
      <c r="F22" s="3">
        <f t="shared" si="13"/>
        <v>0.02</v>
      </c>
      <c r="G22" s="2">
        <f t="shared" si="13"/>
        <v>0.03</v>
      </c>
      <c r="K22" s="14" t="s">
        <v>95</v>
      </c>
      <c r="L22" s="58">
        <v>8.4563518473306871</v>
      </c>
      <c r="M22" s="58">
        <v>4.6321055054090481</v>
      </c>
      <c r="N22" s="58">
        <v>12.280598189252325</v>
      </c>
      <c r="O22" s="1">
        <f t="shared" si="0"/>
        <v>4.6319999999999997</v>
      </c>
      <c r="P22" s="1">
        <f t="shared" si="10"/>
        <v>8.4559999999999995</v>
      </c>
      <c r="Q22" s="1">
        <f t="shared" si="11"/>
        <v>12.281000000000001</v>
      </c>
      <c r="R22" s="14" t="str">
        <f t="shared" si="6"/>
        <v>2026Q4</v>
      </c>
      <c r="S22" s="41">
        <v>2.0107704992010103E-2</v>
      </c>
      <c r="T22" s="41">
        <v>9.9799325080445252E-3</v>
      </c>
      <c r="U22" s="41">
        <v>3.0235477475975679E-2</v>
      </c>
      <c r="V22" s="1">
        <f t="shared" si="3"/>
        <v>0.01</v>
      </c>
      <c r="W22" s="1">
        <f t="shared" si="4"/>
        <v>0.02</v>
      </c>
      <c r="X22" s="1">
        <f t="shared" si="5"/>
        <v>0.03</v>
      </c>
    </row>
    <row r="23" spans="1:24" ht="15.5" thickTop="1" thickBot="1" x14ac:dyDescent="0.4">
      <c r="A23" s="5" t="str">
        <f t="shared" si="7"/>
        <v>2026Q4</v>
      </c>
      <c r="B23" s="2">
        <f t="shared" si="12"/>
        <v>4.6319999999999997</v>
      </c>
      <c r="C23" s="3">
        <f t="shared" si="12"/>
        <v>8.4559999999999995</v>
      </c>
      <c r="D23" s="2">
        <f t="shared" si="12"/>
        <v>12.281000000000001</v>
      </c>
      <c r="E23" s="2">
        <f t="shared" si="13"/>
        <v>0.01</v>
      </c>
      <c r="F23" s="3">
        <f t="shared" si="13"/>
        <v>0.02</v>
      </c>
      <c r="G23" s="2">
        <f t="shared" si="13"/>
        <v>0.03</v>
      </c>
      <c r="K23" s="14" t="s">
        <v>96</v>
      </c>
      <c r="L23" s="58">
        <v>7.0626722865978664</v>
      </c>
      <c r="M23" s="58">
        <v>3.2129779421702978</v>
      </c>
      <c r="N23" s="58">
        <v>10.912366631025435</v>
      </c>
      <c r="O23" s="1">
        <f t="shared" si="0"/>
        <v>3.2130000000000001</v>
      </c>
      <c r="P23" s="1">
        <f t="shared" si="10"/>
        <v>7.0629999999999997</v>
      </c>
      <c r="Q23" s="1">
        <f t="shared" si="11"/>
        <v>10.912000000000001</v>
      </c>
      <c r="R23" s="14" t="str">
        <f t="shared" si="6"/>
        <v>2027Q1</v>
      </c>
      <c r="S23" s="41">
        <v>2.0143188267298127E-2</v>
      </c>
      <c r="T23" s="41">
        <v>9.7289310251898482E-3</v>
      </c>
      <c r="U23" s="41">
        <v>3.0557445509406408E-2</v>
      </c>
      <c r="V23" s="1">
        <f t="shared" si="3"/>
        <v>0.01</v>
      </c>
      <c r="W23" s="1">
        <f t="shared" si="4"/>
        <v>0.02</v>
      </c>
      <c r="X23" s="1">
        <f t="shared" si="5"/>
        <v>3.1E-2</v>
      </c>
    </row>
    <row r="24" spans="1:24" ht="15.5" thickTop="1" thickBot="1" x14ac:dyDescent="0.4">
      <c r="A24" s="5" t="str">
        <f t="shared" si="7"/>
        <v>2027Q1</v>
      </c>
      <c r="B24" s="2">
        <f t="shared" si="12"/>
        <v>3.2130000000000001</v>
      </c>
      <c r="C24" s="3">
        <f t="shared" si="12"/>
        <v>7.0629999999999997</v>
      </c>
      <c r="D24" s="2">
        <f t="shared" si="12"/>
        <v>10.912000000000001</v>
      </c>
      <c r="E24" s="2">
        <f t="shared" si="13"/>
        <v>0.01</v>
      </c>
      <c r="F24" s="3">
        <f t="shared" si="13"/>
        <v>0.02</v>
      </c>
      <c r="G24" s="2">
        <f t="shared" si="13"/>
        <v>3.1E-2</v>
      </c>
      <c r="K24" s="14" t="s">
        <v>97</v>
      </c>
      <c r="L24" s="58">
        <v>8.5900100653989657</v>
      </c>
      <c r="M24" s="58">
        <v>4.7167523239446476</v>
      </c>
      <c r="N24" s="58">
        <v>12.463267806853285</v>
      </c>
      <c r="O24" s="1">
        <f t="shared" si="0"/>
        <v>4.7169999999999996</v>
      </c>
      <c r="P24" s="1">
        <f t="shared" si="10"/>
        <v>8.59</v>
      </c>
      <c r="Q24" s="1">
        <f t="shared" si="11"/>
        <v>12.462999999999999</v>
      </c>
      <c r="R24" s="14" t="str">
        <f t="shared" si="6"/>
        <v>2027Q2</v>
      </c>
      <c r="S24" s="41">
        <v>2.1308792963432022E-2</v>
      </c>
      <c r="T24" s="41">
        <v>1.0615551997598758E-2</v>
      </c>
      <c r="U24" s="41">
        <v>3.2002033929265282E-2</v>
      </c>
      <c r="V24" s="1">
        <f t="shared" si="3"/>
        <v>1.0999999999999999E-2</v>
      </c>
      <c r="W24" s="1">
        <f t="shared" si="4"/>
        <v>2.1000000000000001E-2</v>
      </c>
      <c r="X24" s="1">
        <f t="shared" si="5"/>
        <v>3.2000000000000001E-2</v>
      </c>
    </row>
    <row r="25" spans="1:24" ht="15.5" thickTop="1" thickBot="1" x14ac:dyDescent="0.4">
      <c r="A25" s="5" t="str">
        <f t="shared" si="7"/>
        <v>2027Q2</v>
      </c>
      <c r="B25" s="2">
        <f t="shared" si="12"/>
        <v>4.7169999999999996</v>
      </c>
      <c r="C25" s="3">
        <f t="shared" si="12"/>
        <v>8.59</v>
      </c>
      <c r="D25" s="2">
        <f t="shared" si="12"/>
        <v>12.462999999999999</v>
      </c>
      <c r="E25" s="2">
        <f t="shared" si="13"/>
        <v>1.0999999999999999E-2</v>
      </c>
      <c r="F25" s="3">
        <f t="shared" si="13"/>
        <v>2.1000000000000001E-2</v>
      </c>
      <c r="G25" s="2">
        <f t="shared" si="13"/>
        <v>3.2000000000000001E-2</v>
      </c>
      <c r="K25" s="14" t="s">
        <v>98</v>
      </c>
      <c r="L25" s="58">
        <v>8.0778078056882734</v>
      </c>
      <c r="M25" s="58">
        <v>4.1827206618041854</v>
      </c>
      <c r="N25" s="58">
        <v>11.972894949572362</v>
      </c>
      <c r="O25" s="1">
        <f t="shared" si="0"/>
        <v>4.1829999999999998</v>
      </c>
      <c r="P25" s="1">
        <f t="shared" si="10"/>
        <v>8.0779999999999994</v>
      </c>
      <c r="Q25" s="1">
        <f t="shared" si="11"/>
        <v>11.973000000000001</v>
      </c>
      <c r="R25" s="14" t="str">
        <f t="shared" si="6"/>
        <v>2027Q3</v>
      </c>
      <c r="S25" s="41">
        <v>2.0184351584640145E-2</v>
      </c>
      <c r="T25" s="41">
        <v>9.2190965378894929E-3</v>
      </c>
      <c r="U25" s="41">
        <v>3.1149606631390797E-2</v>
      </c>
      <c r="V25" s="1">
        <f t="shared" si="3"/>
        <v>8.9999999999999993E-3</v>
      </c>
      <c r="W25" s="1">
        <f t="shared" si="4"/>
        <v>0.02</v>
      </c>
      <c r="X25" s="1">
        <f t="shared" si="5"/>
        <v>3.1E-2</v>
      </c>
    </row>
    <row r="26" spans="1:24" ht="15.5" thickTop="1" thickBot="1" x14ac:dyDescent="0.4">
      <c r="A26" s="5" t="str">
        <f t="shared" si="7"/>
        <v>2027Q3</v>
      </c>
      <c r="B26" s="2">
        <f t="shared" si="12"/>
        <v>4.1829999999999998</v>
      </c>
      <c r="C26" s="3">
        <f t="shared" si="12"/>
        <v>8.0779999999999994</v>
      </c>
      <c r="D26" s="2">
        <f t="shared" si="12"/>
        <v>11.973000000000001</v>
      </c>
      <c r="E26" s="2">
        <f t="shared" si="13"/>
        <v>8.9999999999999993E-3</v>
      </c>
      <c r="F26" s="3">
        <f t="shared" si="13"/>
        <v>0.02</v>
      </c>
      <c r="G26" s="2">
        <f t="shared" si="13"/>
        <v>3.1E-2</v>
      </c>
      <c r="K26" s="14" t="s">
        <v>99</v>
      </c>
      <c r="L26" s="58">
        <v>8.1423659041779537</v>
      </c>
      <c r="M26" s="58">
        <v>4.2270464346756729</v>
      </c>
      <c r="N26" s="58">
        <v>12.057685373680235</v>
      </c>
      <c r="O26" s="1">
        <f t="shared" si="0"/>
        <v>4.2270000000000003</v>
      </c>
      <c r="P26" s="1">
        <f t="shared" si="10"/>
        <v>8.1419999999999995</v>
      </c>
      <c r="Q26" s="1">
        <f t="shared" si="11"/>
        <v>12.058</v>
      </c>
      <c r="R26" s="14" t="str">
        <f t="shared" si="6"/>
        <v>2027Q4</v>
      </c>
      <c r="S26" s="41">
        <v>2.0569292217974378E-2</v>
      </c>
      <c r="T26" s="41">
        <v>9.3385166075116172E-3</v>
      </c>
      <c r="U26" s="41">
        <v>3.180006782843714E-2</v>
      </c>
      <c r="V26" s="1">
        <f t="shared" si="3"/>
        <v>8.9999999999999993E-3</v>
      </c>
      <c r="W26" s="1">
        <f t="shared" si="4"/>
        <v>2.1000000000000001E-2</v>
      </c>
      <c r="X26" s="1">
        <f t="shared" si="5"/>
        <v>3.2000000000000001E-2</v>
      </c>
    </row>
    <row r="27" spans="1:24" ht="15.5" thickTop="1" thickBot="1" x14ac:dyDescent="0.4">
      <c r="A27" s="5" t="str">
        <f t="shared" si="7"/>
        <v>2027Q4</v>
      </c>
      <c r="B27" s="2">
        <f t="shared" si="12"/>
        <v>4.2270000000000003</v>
      </c>
      <c r="C27" s="3">
        <f t="shared" si="12"/>
        <v>8.1419999999999995</v>
      </c>
      <c r="D27" s="2">
        <f t="shared" si="12"/>
        <v>12.058</v>
      </c>
      <c r="E27" s="2">
        <f t="shared" si="13"/>
        <v>8.9999999999999993E-3</v>
      </c>
      <c r="F27" s="3">
        <f t="shared" si="13"/>
        <v>2.1000000000000001E-2</v>
      </c>
      <c r="G27" s="2">
        <f t="shared" si="13"/>
        <v>3.2000000000000001E-2</v>
      </c>
      <c r="K27" s="14" t="s">
        <v>100</v>
      </c>
      <c r="L27" s="58">
        <v>6.7447450172681567</v>
      </c>
      <c r="M27" s="58">
        <v>2.810665577158364</v>
      </c>
      <c r="N27" s="58">
        <v>10.678824457377949</v>
      </c>
      <c r="O27" s="1">
        <f t="shared" si="0"/>
        <v>2.8109999999999999</v>
      </c>
      <c r="P27" s="1">
        <f t="shared" si="10"/>
        <v>6.7450000000000001</v>
      </c>
      <c r="Q27" s="1">
        <f t="shared" si="11"/>
        <v>10.679</v>
      </c>
      <c r="R27" s="14" t="str">
        <f t="shared" si="6"/>
        <v>2028Q1</v>
      </c>
      <c r="S27" s="41">
        <v>2.0604597801990931E-2</v>
      </c>
      <c r="T27" s="41">
        <v>9.1143673128508355E-3</v>
      </c>
      <c r="U27" s="41">
        <v>3.2094828291131028E-2</v>
      </c>
      <c r="V27" s="1">
        <f t="shared" si="3"/>
        <v>8.9999999999999993E-3</v>
      </c>
      <c r="W27" s="1">
        <f t="shared" si="4"/>
        <v>2.1000000000000001E-2</v>
      </c>
      <c r="X27" s="1">
        <f t="shared" si="5"/>
        <v>3.2000000000000001E-2</v>
      </c>
    </row>
    <row r="28" spans="1:24" ht="15.5" thickTop="1" thickBot="1" x14ac:dyDescent="0.4">
      <c r="A28" s="5" t="str">
        <f t="shared" si="7"/>
        <v>2028Q1</v>
      </c>
      <c r="B28" s="2">
        <f t="shared" si="12"/>
        <v>2.8109999999999999</v>
      </c>
      <c r="C28" s="3">
        <f t="shared" si="12"/>
        <v>6.7450000000000001</v>
      </c>
      <c r="D28" s="2">
        <f t="shared" si="12"/>
        <v>10.679</v>
      </c>
      <c r="E28" s="2">
        <f t="shared" si="13"/>
        <v>8.9999999999999993E-3</v>
      </c>
      <c r="F28" s="3">
        <f t="shared" si="13"/>
        <v>2.1000000000000001E-2</v>
      </c>
      <c r="G28" s="2">
        <f t="shared" si="13"/>
        <v>3.2000000000000001E-2</v>
      </c>
      <c r="K28" s="14" t="s">
        <v>101</v>
      </c>
      <c r="L28" s="58">
        <v>8.2682781266303831</v>
      </c>
      <c r="M28" s="58">
        <v>4.3167972500394978</v>
      </c>
      <c r="N28" s="58">
        <v>12.219759003221268</v>
      </c>
      <c r="O28" s="1">
        <f t="shared" si="0"/>
        <v>4.3170000000000002</v>
      </c>
      <c r="P28" s="1">
        <f t="shared" si="10"/>
        <v>8.2680000000000007</v>
      </c>
      <c r="Q28" s="1">
        <f t="shared" si="11"/>
        <v>12.22</v>
      </c>
      <c r="R28" s="14" t="str">
        <f t="shared" si="6"/>
        <v>2028Q2</v>
      </c>
      <c r="S28" s="41">
        <v>2.1770068544136614E-2</v>
      </c>
      <c r="T28" s="41">
        <v>1.0026063317436586E-2</v>
      </c>
      <c r="U28" s="41">
        <v>3.3514073770836643E-2</v>
      </c>
      <c r="V28" s="1">
        <f t="shared" si="3"/>
        <v>0.01</v>
      </c>
      <c r="W28" s="1">
        <f t="shared" si="4"/>
        <v>2.1999999999999999E-2</v>
      </c>
      <c r="X28" s="1">
        <f t="shared" si="5"/>
        <v>3.4000000000000002E-2</v>
      </c>
    </row>
    <row r="29" spans="1:24" ht="15.5" thickTop="1" thickBot="1" x14ac:dyDescent="0.4">
      <c r="A29" s="5" t="str">
        <f t="shared" si="7"/>
        <v>2028Q2</v>
      </c>
      <c r="B29" s="2">
        <f t="shared" si="12"/>
        <v>4.3170000000000002</v>
      </c>
      <c r="C29" s="3">
        <f t="shared" si="12"/>
        <v>8.2680000000000007</v>
      </c>
      <c r="D29" s="2">
        <f t="shared" si="12"/>
        <v>12.22</v>
      </c>
      <c r="E29" s="2">
        <f t="shared" si="13"/>
        <v>0.01</v>
      </c>
      <c r="F29" s="3">
        <f t="shared" si="13"/>
        <v>2.1999999999999999E-2</v>
      </c>
      <c r="G29" s="2">
        <f t="shared" si="13"/>
        <v>3.4000000000000002E-2</v>
      </c>
      <c r="K29" s="14" t="s">
        <v>102</v>
      </c>
      <c r="L29" s="58">
        <v>7.7524031159498108</v>
      </c>
      <c r="M29" s="58">
        <v>3.7847752909164374</v>
      </c>
      <c r="N29" s="58">
        <v>11.720030940983184</v>
      </c>
      <c r="O29" s="1">
        <f t="shared" si="0"/>
        <v>3.7850000000000001</v>
      </c>
      <c r="P29" s="1">
        <f t="shared" si="10"/>
        <v>7.7519999999999998</v>
      </c>
      <c r="Q29" s="1">
        <f t="shared" si="11"/>
        <v>11.72</v>
      </c>
      <c r="R29" s="14" t="str">
        <f t="shared" si="6"/>
        <v>2028Q3</v>
      </c>
      <c r="S29" s="41">
        <v>2.0645526183057823E-2</v>
      </c>
      <c r="T29" s="41">
        <v>8.6530779286847978E-3</v>
      </c>
      <c r="U29" s="41">
        <v>3.2637974437430849E-2</v>
      </c>
      <c r="V29" s="1">
        <f t="shared" si="3"/>
        <v>8.9999999999999993E-3</v>
      </c>
      <c r="W29" s="1">
        <f t="shared" si="4"/>
        <v>2.1000000000000001E-2</v>
      </c>
      <c r="X29" s="1">
        <f t="shared" si="5"/>
        <v>3.3000000000000002E-2</v>
      </c>
    </row>
    <row r="30" spans="1:24" ht="15.5" thickTop="1" thickBot="1" x14ac:dyDescent="0.4">
      <c r="A30" s="5" t="str">
        <f t="shared" si="7"/>
        <v>2028Q3</v>
      </c>
      <c r="B30" s="2">
        <f t="shared" si="12"/>
        <v>3.7850000000000001</v>
      </c>
      <c r="C30" s="3">
        <f t="shared" si="12"/>
        <v>7.7519999999999998</v>
      </c>
      <c r="D30" s="2">
        <f t="shared" si="12"/>
        <v>11.72</v>
      </c>
      <c r="E30" s="2">
        <f t="shared" si="13"/>
        <v>8.9999999999999993E-3</v>
      </c>
      <c r="F30" s="3">
        <f t="shared" si="13"/>
        <v>2.1000000000000001E-2</v>
      </c>
      <c r="G30" s="2">
        <f t="shared" si="13"/>
        <v>3.3000000000000002E-2</v>
      </c>
      <c r="K30" s="14" t="s">
        <v>103</v>
      </c>
      <c r="L30" s="58">
        <v>7.8134158079584628</v>
      </c>
      <c r="M30" s="58">
        <v>3.8308002673037023</v>
      </c>
      <c r="N30" s="58">
        <v>11.796031348613225</v>
      </c>
      <c r="O30" s="1">
        <f t="shared" si="0"/>
        <v>3.831</v>
      </c>
      <c r="P30" s="1">
        <f t="shared" si="10"/>
        <v>7.8129999999999997</v>
      </c>
      <c r="Q30" s="1">
        <f t="shared" si="11"/>
        <v>11.795999999999999</v>
      </c>
      <c r="R30" s="14" t="str">
        <f t="shared" si="6"/>
        <v>2028Q4</v>
      </c>
      <c r="S30" s="41">
        <v>2.1030390690086241E-2</v>
      </c>
      <c r="T30" s="41">
        <v>8.7945153343419579E-3</v>
      </c>
      <c r="U30" s="41">
        <v>3.3266266045830523E-2</v>
      </c>
      <c r="V30" s="1">
        <f t="shared" si="3"/>
        <v>8.9999999999999993E-3</v>
      </c>
      <c r="W30" s="1">
        <f t="shared" si="4"/>
        <v>2.1000000000000001E-2</v>
      </c>
      <c r="X30" s="1">
        <f t="shared" si="5"/>
        <v>3.3000000000000002E-2</v>
      </c>
    </row>
    <row r="31" spans="1:24" ht="15.5" thickTop="1" thickBot="1" x14ac:dyDescent="0.4">
      <c r="A31" s="5" t="str">
        <f t="shared" si="7"/>
        <v>2028Q4</v>
      </c>
      <c r="B31" s="2">
        <f t="shared" si="12"/>
        <v>3.831</v>
      </c>
      <c r="C31" s="3">
        <f t="shared" si="12"/>
        <v>7.8129999999999997</v>
      </c>
      <c r="D31" s="2">
        <f t="shared" si="12"/>
        <v>11.795999999999999</v>
      </c>
      <c r="E31" s="2">
        <f t="shared" si="13"/>
        <v>8.9999999999999993E-3</v>
      </c>
      <c r="F31" s="3">
        <f t="shared" si="13"/>
        <v>2.1000000000000001E-2</v>
      </c>
      <c r="G31" s="2">
        <f t="shared" si="13"/>
        <v>3.3000000000000002E-2</v>
      </c>
      <c r="K31" s="14" t="s">
        <v>104</v>
      </c>
      <c r="L31" s="58">
        <v>6.412372443668958</v>
      </c>
      <c r="M31" s="58">
        <v>2.415841092347188</v>
      </c>
      <c r="N31" s="58">
        <v>10.408903794990728</v>
      </c>
      <c r="O31" s="1">
        <f t="shared" si="0"/>
        <v>2.4159999999999999</v>
      </c>
      <c r="P31" s="1">
        <f t="shared" si="10"/>
        <v>6.4119999999999999</v>
      </c>
      <c r="Q31" s="1">
        <f t="shared" si="11"/>
        <v>10.409000000000001</v>
      </c>
      <c r="R31" s="14" t="str">
        <f t="shared" si="6"/>
        <v>2029Q1</v>
      </c>
      <c r="S31" s="41">
        <v>2.1065638885677432E-2</v>
      </c>
      <c r="T31" s="41">
        <v>8.5910653619350758E-3</v>
      </c>
      <c r="U31" s="41">
        <v>3.354021240941979E-2</v>
      </c>
      <c r="V31" s="1">
        <f t="shared" si="3"/>
        <v>8.9999999999999993E-3</v>
      </c>
      <c r="W31" s="1">
        <f t="shared" si="4"/>
        <v>2.1000000000000001E-2</v>
      </c>
      <c r="X31" s="1">
        <f t="shared" si="5"/>
        <v>3.4000000000000002E-2</v>
      </c>
    </row>
    <row r="32" spans="1:24" ht="15.5" thickTop="1" thickBot="1" x14ac:dyDescent="0.4">
      <c r="A32" s="5" t="str">
        <f t="shared" si="7"/>
        <v>2029Q1</v>
      </c>
      <c r="B32" s="2">
        <f t="shared" si="12"/>
        <v>2.4159999999999999</v>
      </c>
      <c r="C32" s="3">
        <f t="shared" si="12"/>
        <v>6.4119999999999999</v>
      </c>
      <c r="D32" s="2">
        <f t="shared" si="12"/>
        <v>10.409000000000001</v>
      </c>
      <c r="E32" s="2">
        <f t="shared" si="13"/>
        <v>8.9999999999999993E-3</v>
      </c>
      <c r="F32" s="3">
        <f t="shared" si="13"/>
        <v>2.1000000000000001E-2</v>
      </c>
      <c r="G32" s="2">
        <f t="shared" si="13"/>
        <v>3.4000000000000002E-2</v>
      </c>
      <c r="K32" s="14" t="s">
        <v>105</v>
      </c>
      <c r="L32" s="58">
        <v>7.9326017424590276</v>
      </c>
      <c r="M32" s="58">
        <v>3.9231463239286155</v>
      </c>
      <c r="N32" s="58">
        <v>11.942057160989439</v>
      </c>
      <c r="O32" s="1">
        <f t="shared" si="0"/>
        <v>3.923</v>
      </c>
      <c r="P32" s="1">
        <f t="shared" si="10"/>
        <v>7.9329999999999998</v>
      </c>
      <c r="Q32" s="1">
        <f t="shared" si="11"/>
        <v>11.942</v>
      </c>
      <c r="R32" s="14" t="str">
        <f t="shared" si="6"/>
        <v>2029Q2</v>
      </c>
      <c r="S32" s="41">
        <v>2.2231066365098993E-2</v>
      </c>
      <c r="T32" s="41">
        <v>9.5222620676640272E-3</v>
      </c>
      <c r="U32" s="41">
        <v>3.4939870662533956E-2</v>
      </c>
      <c r="V32" s="1">
        <f t="shared" si="3"/>
        <v>0.01</v>
      </c>
      <c r="W32" s="1">
        <f t="shared" si="4"/>
        <v>2.1999999999999999E-2</v>
      </c>
      <c r="X32" s="1">
        <f t="shared" si="5"/>
        <v>3.5000000000000003E-2</v>
      </c>
    </row>
    <row r="33" spans="1:24" ht="15.5" thickTop="1" thickBot="1" x14ac:dyDescent="0.4">
      <c r="A33" s="5" t="str">
        <f t="shared" si="7"/>
        <v>2029Q2</v>
      </c>
      <c r="B33" s="2">
        <f t="shared" si="12"/>
        <v>3.923</v>
      </c>
      <c r="C33" s="3">
        <f t="shared" si="12"/>
        <v>7.9329999999999998</v>
      </c>
      <c r="D33" s="2">
        <f t="shared" si="12"/>
        <v>11.942</v>
      </c>
      <c r="E33" s="2">
        <f t="shared" si="13"/>
        <v>0.01</v>
      </c>
      <c r="F33" s="3">
        <f t="shared" si="13"/>
        <v>2.1999999999999999E-2</v>
      </c>
      <c r="G33" s="2">
        <f t="shared" si="13"/>
        <v>3.5000000000000003E-2</v>
      </c>
      <c r="K33" s="14" t="s">
        <v>106</v>
      </c>
      <c r="L33" s="58">
        <v>7.413537473505655</v>
      </c>
      <c r="M33" s="58">
        <v>3.3920760629104931</v>
      </c>
      <c r="N33" s="58">
        <v>11.434998884100816</v>
      </c>
      <c r="O33" s="1">
        <f t="shared" si="0"/>
        <v>3.3919999999999999</v>
      </c>
      <c r="P33" s="1">
        <f t="shared" si="10"/>
        <v>7.4139999999999997</v>
      </c>
      <c r="Q33" s="1">
        <f t="shared" si="11"/>
        <v>11.435</v>
      </c>
      <c r="R33" s="14" t="str">
        <f t="shared" si="6"/>
        <v>2029Q3</v>
      </c>
      <c r="S33" s="41">
        <v>2.1106491390069114E-2</v>
      </c>
      <c r="T33" s="41">
        <v>8.1676847363116277E-3</v>
      </c>
      <c r="U33" s="41">
        <v>3.4045298043826597E-2</v>
      </c>
      <c r="V33" s="1">
        <f t="shared" si="3"/>
        <v>8.0000000000000002E-3</v>
      </c>
      <c r="W33" s="1">
        <f t="shared" si="4"/>
        <v>2.1000000000000001E-2</v>
      </c>
      <c r="X33" s="1">
        <f t="shared" si="5"/>
        <v>3.4000000000000002E-2</v>
      </c>
    </row>
    <row r="34" spans="1:24" ht="15.5" thickTop="1" thickBot="1" x14ac:dyDescent="0.4">
      <c r="A34" s="5" t="str">
        <f t="shared" si="7"/>
        <v>2029Q3</v>
      </c>
      <c r="B34" s="2">
        <f t="shared" si="12"/>
        <v>3.3919999999999999</v>
      </c>
      <c r="C34" s="3">
        <f t="shared" si="12"/>
        <v>7.4139999999999997</v>
      </c>
      <c r="D34" s="2">
        <f t="shared" si="12"/>
        <v>11.435</v>
      </c>
      <c r="E34" s="2">
        <f t="shared" si="13"/>
        <v>8.0000000000000002E-3</v>
      </c>
      <c r="F34" s="3">
        <f t="shared" si="13"/>
        <v>2.1000000000000001E-2</v>
      </c>
      <c r="G34" s="2">
        <f t="shared" si="13"/>
        <v>3.4000000000000002E-2</v>
      </c>
      <c r="K34" s="14" t="s">
        <v>107</v>
      </c>
      <c r="L34" s="58">
        <v>7.4714714876941146</v>
      </c>
      <c r="M34" s="58">
        <v>3.4388543873973214</v>
      </c>
      <c r="N34" s="58">
        <v>11.504088587990909</v>
      </c>
      <c r="O34" s="1">
        <f t="shared" si="0"/>
        <v>3.4390000000000001</v>
      </c>
      <c r="P34" s="1">
        <f t="shared" si="10"/>
        <v>7.4710000000000001</v>
      </c>
      <c r="Q34" s="1">
        <f t="shared" si="11"/>
        <v>11.504</v>
      </c>
      <c r="R34" s="14" t="str">
        <f t="shared" si="6"/>
        <v>2029Q4</v>
      </c>
      <c r="S34" s="41">
        <v>2.149133131080929E-2</v>
      </c>
      <c r="T34" s="41">
        <v>8.3265317925295696E-3</v>
      </c>
      <c r="U34" s="41">
        <v>3.4656130829089013E-2</v>
      </c>
      <c r="V34" s="1">
        <f t="shared" si="3"/>
        <v>8.0000000000000002E-3</v>
      </c>
      <c r="W34" s="1">
        <f t="shared" si="4"/>
        <v>2.1000000000000001E-2</v>
      </c>
      <c r="X34" s="1">
        <f t="shared" si="5"/>
        <v>3.5000000000000003E-2</v>
      </c>
    </row>
    <row r="35" spans="1:24" ht="13" thickTop="1" thickBot="1" x14ac:dyDescent="0.35">
      <c r="A35" s="5" t="str">
        <f t="shared" si="7"/>
        <v>2029Q4</v>
      </c>
      <c r="B35" s="2">
        <f t="shared" si="12"/>
        <v>3.4390000000000001</v>
      </c>
      <c r="C35" s="3">
        <f t="shared" si="12"/>
        <v>7.4710000000000001</v>
      </c>
      <c r="D35" s="2">
        <f t="shared" si="12"/>
        <v>11.504</v>
      </c>
      <c r="E35" s="2">
        <f t="shared" si="13"/>
        <v>8.0000000000000002E-3</v>
      </c>
      <c r="F35" s="3">
        <f t="shared" si="13"/>
        <v>2.1000000000000001E-2</v>
      </c>
      <c r="G35" s="2">
        <f t="shared" si="13"/>
        <v>3.5000000000000003E-2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8.3711874999999996</v>
      </c>
      <c r="F38" s="1">
        <f>AVERAGE(F4:F35)</f>
        <v>1.9843750000000007E-2</v>
      </c>
    </row>
    <row r="40" spans="1:24" ht="12.5" thickBot="1" x14ac:dyDescent="0.35"/>
    <row r="41" spans="1:24" ht="15.5" thickTop="1" thickBot="1" x14ac:dyDescent="0.4">
      <c r="A41" s="29" t="s">
        <v>55</v>
      </c>
      <c r="B41" s="30"/>
      <c r="C41" s="30"/>
      <c r="D41" s="30"/>
      <c r="E41" s="30"/>
      <c r="F41" s="30"/>
      <c r="G41" s="30"/>
      <c r="K41" s="29" t="s">
        <v>30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7.7069999999999999</v>
      </c>
      <c r="D44" s="6"/>
      <c r="E44" s="6"/>
      <c r="F44" s="9">
        <f>ROUND(F4-((G4-F4)*(0.5/2)),3)</f>
        <v>1.7999999999999999E-2</v>
      </c>
      <c r="G44" s="6"/>
      <c r="K44" s="7" t="str">
        <f>A4</f>
        <v>2022Q1</v>
      </c>
      <c r="L44" s="6"/>
      <c r="M44" s="9">
        <f>ROUND(C4-((D4-C4)*(1/2)),3)</f>
        <v>7.0679999999999996</v>
      </c>
      <c r="N44" s="6"/>
      <c r="O44" s="6"/>
      <c r="P44" s="9">
        <f>ROUND(F4-((G4-F4)*(1/2)),3)</f>
        <v>1.7999999999999999E-2</v>
      </c>
      <c r="Q44" s="6"/>
    </row>
    <row r="45" spans="1:24" ht="15.5" thickTop="1" thickBot="1" x14ac:dyDescent="0.4">
      <c r="A45" s="7" t="str">
        <f t="shared" ref="A45:A75" si="14">A5</f>
        <v>2022Q2</v>
      </c>
      <c r="B45" s="6"/>
      <c r="C45" s="9">
        <f t="shared" ref="C45:C75" si="15">ROUND(C5-((D5-C5)*(0.5/2)),3)</f>
        <v>9.2279999999999998</v>
      </c>
      <c r="D45" s="6"/>
      <c r="E45" s="6"/>
      <c r="F45" s="9">
        <f t="shared" ref="F45:F75" si="16">ROUND(F5-((G5-F5)*(0.5/2)),3)</f>
        <v>1.9E-2</v>
      </c>
      <c r="G45" s="6"/>
      <c r="K45" s="7" t="str">
        <f t="shared" ref="K45:K75" si="17">A5</f>
        <v>2022Q2</v>
      </c>
      <c r="L45" s="6"/>
      <c r="M45" s="9">
        <f t="shared" ref="M45:M75" si="18">ROUND(C5-((D5-C5)*(1/2)),3)</f>
        <v>8.5540000000000003</v>
      </c>
      <c r="N45" s="6"/>
      <c r="O45" s="6"/>
      <c r="P45" s="9">
        <f t="shared" ref="P45:P75" si="19">ROUND(F5-((G5-F5)*(1/2)),3)</f>
        <v>1.7999999999999999E-2</v>
      </c>
      <c r="Q45" s="6"/>
    </row>
    <row r="46" spans="1:24" ht="15.5" thickTop="1" thickBot="1" x14ac:dyDescent="0.4">
      <c r="A46" s="7" t="str">
        <f t="shared" si="14"/>
        <v>2022Q3</v>
      </c>
      <c r="B46" s="6"/>
      <c r="C46" s="9">
        <f t="shared" si="15"/>
        <v>8.7140000000000004</v>
      </c>
      <c r="D46" s="6"/>
      <c r="E46" s="6"/>
      <c r="F46" s="9">
        <f t="shared" si="16"/>
        <v>1.7000000000000001E-2</v>
      </c>
      <c r="G46" s="6"/>
      <c r="K46" s="7" t="str">
        <f t="shared" si="17"/>
        <v>2022Q3</v>
      </c>
      <c r="L46" s="6"/>
      <c r="M46" s="9">
        <f t="shared" si="18"/>
        <v>8.0079999999999991</v>
      </c>
      <c r="N46" s="6"/>
      <c r="O46" s="6"/>
      <c r="P46" s="9">
        <f t="shared" si="19"/>
        <v>1.7000000000000001E-2</v>
      </c>
      <c r="Q46" s="6"/>
    </row>
    <row r="47" spans="1:24" ht="15.5" thickTop="1" thickBot="1" x14ac:dyDescent="0.4">
      <c r="A47" s="7" t="str">
        <f t="shared" si="14"/>
        <v>2022Q4</v>
      </c>
      <c r="B47" s="6"/>
      <c r="C47" s="9">
        <f t="shared" si="15"/>
        <v>8.7780000000000005</v>
      </c>
      <c r="D47" s="6"/>
      <c r="E47" s="6"/>
      <c r="F47" s="9">
        <f t="shared" si="16"/>
        <v>1.7000000000000001E-2</v>
      </c>
      <c r="G47" s="6"/>
      <c r="K47" s="7" t="str">
        <f t="shared" si="17"/>
        <v>2022Q4</v>
      </c>
      <c r="L47" s="6"/>
      <c r="M47" s="9">
        <f t="shared" si="18"/>
        <v>8.0440000000000005</v>
      </c>
      <c r="N47" s="6"/>
      <c r="O47" s="6"/>
      <c r="P47" s="9">
        <f t="shared" si="19"/>
        <v>1.6E-2</v>
      </c>
      <c r="Q47" s="6"/>
    </row>
    <row r="48" spans="1:24" ht="15.5" thickTop="1" thickBot="1" x14ac:dyDescent="0.4">
      <c r="A48" s="7" t="str">
        <f t="shared" si="14"/>
        <v>2023Q1</v>
      </c>
      <c r="B48" s="6"/>
      <c r="C48" s="9">
        <f t="shared" si="15"/>
        <v>7.3819999999999997</v>
      </c>
      <c r="D48" s="6"/>
      <c r="E48" s="6"/>
      <c r="F48" s="9">
        <f t="shared" si="16"/>
        <v>1.7000000000000001E-2</v>
      </c>
      <c r="G48" s="6"/>
      <c r="K48" s="7" t="str">
        <f t="shared" si="17"/>
        <v>2023Q1</v>
      </c>
      <c r="L48" s="6"/>
      <c r="M48" s="9">
        <f t="shared" si="18"/>
        <v>6.6219999999999999</v>
      </c>
      <c r="N48" s="6"/>
      <c r="O48" s="6"/>
      <c r="P48" s="9">
        <f t="shared" si="19"/>
        <v>1.6E-2</v>
      </c>
      <c r="Q48" s="6"/>
    </row>
    <row r="49" spans="1:17" ht="15.5" thickTop="1" thickBot="1" x14ac:dyDescent="0.4">
      <c r="A49" s="7" t="str">
        <f t="shared" si="14"/>
        <v>2023Q2</v>
      </c>
      <c r="B49" s="6"/>
      <c r="C49" s="9">
        <f t="shared" si="15"/>
        <v>8.9079999999999995</v>
      </c>
      <c r="D49" s="6"/>
      <c r="E49" s="6"/>
      <c r="F49" s="9">
        <f t="shared" si="16"/>
        <v>1.7999999999999999E-2</v>
      </c>
      <c r="G49" s="6"/>
      <c r="K49" s="7" t="str">
        <f t="shared" si="17"/>
        <v>2023Q2</v>
      </c>
      <c r="L49" s="6"/>
      <c r="M49" s="9">
        <f t="shared" si="18"/>
        <v>8.1259999999999994</v>
      </c>
      <c r="N49" s="6"/>
      <c r="O49" s="6"/>
      <c r="P49" s="9">
        <f t="shared" si="19"/>
        <v>1.7000000000000001E-2</v>
      </c>
      <c r="Q49" s="6"/>
    </row>
    <row r="50" spans="1:17" ht="15.5" thickTop="1" thickBot="1" x14ac:dyDescent="0.4">
      <c r="A50" s="7" t="str">
        <f t="shared" si="14"/>
        <v>2023Q3</v>
      </c>
      <c r="B50" s="6"/>
      <c r="C50" s="9">
        <f t="shared" si="15"/>
        <v>8.3960000000000008</v>
      </c>
      <c r="D50" s="6"/>
      <c r="E50" s="6"/>
      <c r="F50" s="9">
        <f t="shared" si="16"/>
        <v>1.7000000000000001E-2</v>
      </c>
      <c r="G50" s="6"/>
      <c r="K50" s="7" t="str">
        <f t="shared" si="17"/>
        <v>2023Q3</v>
      </c>
      <c r="L50" s="6"/>
      <c r="M50" s="9">
        <f t="shared" si="18"/>
        <v>7.593</v>
      </c>
      <c r="N50" s="6"/>
      <c r="O50" s="6"/>
      <c r="P50" s="9">
        <f t="shared" si="19"/>
        <v>1.4999999999999999E-2</v>
      </c>
      <c r="Q50" s="6"/>
    </row>
    <row r="51" spans="1:17" ht="15.5" thickTop="1" thickBot="1" x14ac:dyDescent="0.4">
      <c r="A51" s="7" t="str">
        <f t="shared" si="14"/>
        <v>2023Q4</v>
      </c>
      <c r="B51" s="6"/>
      <c r="C51" s="9">
        <f t="shared" si="15"/>
        <v>8.4619999999999997</v>
      </c>
      <c r="D51" s="6"/>
      <c r="E51" s="6"/>
      <c r="F51" s="9">
        <f t="shared" si="16"/>
        <v>1.7999999999999999E-2</v>
      </c>
      <c r="G51" s="6"/>
      <c r="K51" s="7" t="str">
        <f t="shared" si="17"/>
        <v>2023Q4</v>
      </c>
      <c r="L51" s="6"/>
      <c r="M51" s="9">
        <f t="shared" si="18"/>
        <v>7.641</v>
      </c>
      <c r="N51" s="6"/>
      <c r="O51" s="6"/>
      <c r="P51" s="9">
        <f t="shared" si="19"/>
        <v>1.7000000000000001E-2</v>
      </c>
      <c r="Q51" s="6"/>
    </row>
    <row r="52" spans="1:17" ht="15.5" thickTop="1" thickBot="1" x14ac:dyDescent="0.4">
      <c r="A52" s="7" t="str">
        <f t="shared" si="14"/>
        <v>2024Q1</v>
      </c>
      <c r="B52" s="6"/>
      <c r="C52" s="9">
        <f t="shared" si="15"/>
        <v>7.0670000000000002</v>
      </c>
      <c r="D52" s="6"/>
      <c r="E52" s="6"/>
      <c r="F52" s="9">
        <f t="shared" si="16"/>
        <v>1.7999999999999999E-2</v>
      </c>
      <c r="G52" s="6"/>
      <c r="K52" s="7" t="str">
        <f t="shared" si="17"/>
        <v>2024Q1</v>
      </c>
      <c r="L52" s="6"/>
      <c r="M52" s="9">
        <f t="shared" si="18"/>
        <v>6.2279999999999998</v>
      </c>
      <c r="N52" s="6"/>
      <c r="O52" s="6"/>
      <c r="P52" s="9">
        <f t="shared" si="19"/>
        <v>1.6E-2</v>
      </c>
      <c r="Q52" s="6"/>
    </row>
    <row r="53" spans="1:17" ht="15.5" thickTop="1" thickBot="1" x14ac:dyDescent="0.4">
      <c r="A53" s="7" t="str">
        <f t="shared" si="14"/>
        <v>2024Q2</v>
      </c>
      <c r="B53" s="6"/>
      <c r="C53" s="9">
        <f t="shared" si="15"/>
        <v>8.5950000000000006</v>
      </c>
      <c r="D53" s="6"/>
      <c r="E53" s="6"/>
      <c r="F53" s="9">
        <f t="shared" si="16"/>
        <v>1.7999999999999999E-2</v>
      </c>
      <c r="G53" s="6"/>
      <c r="K53" s="7" t="str">
        <f t="shared" si="17"/>
        <v>2024Q2</v>
      </c>
      <c r="L53" s="6"/>
      <c r="M53" s="9">
        <f t="shared" si="18"/>
        <v>7.74</v>
      </c>
      <c r="N53" s="6"/>
      <c r="O53" s="6"/>
      <c r="P53" s="9">
        <f t="shared" si="19"/>
        <v>1.7000000000000001E-2</v>
      </c>
      <c r="Q53" s="6"/>
    </row>
    <row r="54" spans="1:17" ht="15.5" thickTop="1" thickBot="1" x14ac:dyDescent="0.4">
      <c r="A54" s="7" t="str">
        <f t="shared" si="14"/>
        <v>2024Q3</v>
      </c>
      <c r="B54" s="6"/>
      <c r="C54" s="9">
        <f t="shared" si="15"/>
        <v>8.0820000000000007</v>
      </c>
      <c r="D54" s="6"/>
      <c r="E54" s="6"/>
      <c r="F54" s="9">
        <f t="shared" si="16"/>
        <v>1.7000000000000001E-2</v>
      </c>
      <c r="G54" s="6"/>
      <c r="K54" s="7" t="str">
        <f t="shared" si="17"/>
        <v>2024Q3</v>
      </c>
      <c r="L54" s="6"/>
      <c r="M54" s="9">
        <f t="shared" si="18"/>
        <v>7.2130000000000001</v>
      </c>
      <c r="N54" s="6"/>
      <c r="O54" s="6"/>
      <c r="P54" s="9">
        <f t="shared" si="19"/>
        <v>1.6E-2</v>
      </c>
      <c r="Q54" s="6"/>
    </row>
    <row r="55" spans="1:17" ht="15.5" thickTop="1" thickBot="1" x14ac:dyDescent="0.4">
      <c r="A55" s="7" t="str">
        <f t="shared" si="14"/>
        <v>2024Q4</v>
      </c>
      <c r="B55" s="6"/>
      <c r="C55" s="9">
        <f t="shared" si="15"/>
        <v>8.1479999999999997</v>
      </c>
      <c r="D55" s="6"/>
      <c r="E55" s="6"/>
      <c r="F55" s="9">
        <f t="shared" si="16"/>
        <v>1.7000000000000001E-2</v>
      </c>
      <c r="G55" s="6"/>
      <c r="K55" s="7" t="str">
        <f t="shared" si="17"/>
        <v>2024Q4</v>
      </c>
      <c r="L55" s="6"/>
      <c r="M55" s="9">
        <f t="shared" si="18"/>
        <v>7.266</v>
      </c>
      <c r="N55" s="6"/>
      <c r="O55" s="6"/>
      <c r="P55" s="9">
        <f t="shared" si="19"/>
        <v>1.4999999999999999E-2</v>
      </c>
      <c r="Q55" s="6"/>
    </row>
    <row r="56" spans="1:17" ht="15.5" thickTop="1" thickBot="1" x14ac:dyDescent="0.4">
      <c r="A56" s="7" t="str">
        <f t="shared" si="14"/>
        <v>2025Q1</v>
      </c>
      <c r="B56" s="6"/>
      <c r="C56" s="9">
        <f t="shared" si="15"/>
        <v>6.7519999999999998</v>
      </c>
      <c r="D56" s="6"/>
      <c r="E56" s="6"/>
      <c r="F56" s="9">
        <f t="shared" si="16"/>
        <v>1.7000000000000001E-2</v>
      </c>
      <c r="G56" s="6"/>
      <c r="K56" s="7" t="str">
        <f t="shared" si="17"/>
        <v>2025Q1</v>
      </c>
      <c r="L56" s="6"/>
      <c r="M56" s="9">
        <f t="shared" si="18"/>
        <v>5.8579999999999997</v>
      </c>
      <c r="N56" s="6"/>
      <c r="O56" s="6"/>
      <c r="P56" s="9">
        <f t="shared" si="19"/>
        <v>1.4999999999999999E-2</v>
      </c>
      <c r="Q56" s="6"/>
    </row>
    <row r="57" spans="1:17" ht="15.5" thickTop="1" thickBot="1" x14ac:dyDescent="0.4">
      <c r="A57" s="7" t="str">
        <f t="shared" si="14"/>
        <v>2025Q2</v>
      </c>
      <c r="B57" s="6"/>
      <c r="C57" s="9">
        <f t="shared" si="15"/>
        <v>8.2780000000000005</v>
      </c>
      <c r="D57" s="6"/>
      <c r="E57" s="6"/>
      <c r="F57" s="9">
        <f t="shared" si="16"/>
        <v>1.7999999999999999E-2</v>
      </c>
      <c r="G57" s="6"/>
      <c r="K57" s="7" t="str">
        <f t="shared" si="17"/>
        <v>2025Q2</v>
      </c>
      <c r="L57" s="6"/>
      <c r="M57" s="9">
        <f t="shared" si="18"/>
        <v>7.3730000000000002</v>
      </c>
      <c r="N57" s="6"/>
      <c r="O57" s="6"/>
      <c r="P57" s="9">
        <f t="shared" si="19"/>
        <v>1.6E-2</v>
      </c>
      <c r="Q57" s="6"/>
    </row>
    <row r="58" spans="1:17" ht="15.5" thickTop="1" thickBot="1" x14ac:dyDescent="0.4">
      <c r="A58" s="7" t="str">
        <f t="shared" si="14"/>
        <v>2025Q3</v>
      </c>
      <c r="B58" s="6"/>
      <c r="C58" s="9">
        <f t="shared" si="15"/>
        <v>7.7649999999999997</v>
      </c>
      <c r="D58" s="6"/>
      <c r="E58" s="6"/>
      <c r="F58" s="9">
        <f t="shared" si="16"/>
        <v>1.7000000000000001E-2</v>
      </c>
      <c r="G58" s="6"/>
      <c r="K58" s="7" t="str">
        <f t="shared" si="17"/>
        <v>2025Q3</v>
      </c>
      <c r="L58" s="6"/>
      <c r="M58" s="9">
        <f t="shared" si="18"/>
        <v>6.8490000000000002</v>
      </c>
      <c r="N58" s="6"/>
      <c r="O58" s="6"/>
      <c r="P58" s="9">
        <f t="shared" si="19"/>
        <v>1.4999999999999999E-2</v>
      </c>
      <c r="Q58" s="6"/>
    </row>
    <row r="59" spans="1:17" ht="15.5" thickTop="1" thickBot="1" x14ac:dyDescent="0.4">
      <c r="A59" s="7" t="str">
        <f t="shared" si="14"/>
        <v>2025Q4</v>
      </c>
      <c r="B59" s="6"/>
      <c r="C59" s="9">
        <f t="shared" si="15"/>
        <v>7.8280000000000003</v>
      </c>
      <c r="D59" s="6"/>
      <c r="E59" s="6"/>
      <c r="F59" s="9">
        <f t="shared" si="16"/>
        <v>1.7999999999999999E-2</v>
      </c>
      <c r="G59" s="6"/>
      <c r="K59" s="7" t="str">
        <f t="shared" si="17"/>
        <v>2025Q4</v>
      </c>
      <c r="L59" s="6"/>
      <c r="M59" s="9">
        <f t="shared" si="18"/>
        <v>6.9029999999999996</v>
      </c>
      <c r="N59" s="6"/>
      <c r="O59" s="6"/>
      <c r="P59" s="9">
        <f t="shared" si="19"/>
        <v>1.6E-2</v>
      </c>
      <c r="Q59" s="6"/>
    </row>
    <row r="60" spans="1:17" ht="15.5" thickTop="1" thickBot="1" x14ac:dyDescent="0.4">
      <c r="A60" s="7" t="str">
        <f t="shared" si="14"/>
        <v>2026Q1</v>
      </c>
      <c r="B60" s="6"/>
      <c r="C60" s="9">
        <f t="shared" si="15"/>
        <v>6.43</v>
      </c>
      <c r="D60" s="6"/>
      <c r="E60" s="6"/>
      <c r="F60" s="9">
        <f t="shared" si="16"/>
        <v>1.7999999999999999E-2</v>
      </c>
      <c r="G60" s="6"/>
      <c r="K60" s="7" t="str">
        <f t="shared" si="17"/>
        <v>2026Q1</v>
      </c>
      <c r="L60" s="6"/>
      <c r="M60" s="9">
        <f t="shared" si="18"/>
        <v>5.4969999999999999</v>
      </c>
      <c r="N60" s="6"/>
      <c r="O60" s="6"/>
      <c r="P60" s="9">
        <f t="shared" si="19"/>
        <v>1.6E-2</v>
      </c>
      <c r="Q60" s="6"/>
    </row>
    <row r="61" spans="1:17" ht="15.5" thickTop="1" thickBot="1" x14ac:dyDescent="0.4">
      <c r="A61" s="7" t="str">
        <f t="shared" si="14"/>
        <v>2026Q2</v>
      </c>
      <c r="B61" s="6"/>
      <c r="C61" s="9">
        <f t="shared" si="15"/>
        <v>7.9539999999999997</v>
      </c>
      <c r="D61" s="6"/>
      <c r="E61" s="6"/>
      <c r="F61" s="9">
        <f t="shared" si="16"/>
        <v>1.9E-2</v>
      </c>
      <c r="G61" s="6"/>
      <c r="K61" s="7" t="str">
        <f t="shared" si="17"/>
        <v>2026Q2</v>
      </c>
      <c r="L61" s="6"/>
      <c r="M61" s="9">
        <f t="shared" si="18"/>
        <v>7.0129999999999999</v>
      </c>
      <c r="N61" s="6"/>
      <c r="O61" s="6"/>
      <c r="P61" s="9">
        <f t="shared" si="19"/>
        <v>1.7000000000000001E-2</v>
      </c>
      <c r="Q61" s="6"/>
    </row>
    <row r="62" spans="1:17" ht="15.5" thickTop="1" thickBot="1" x14ac:dyDescent="0.4">
      <c r="A62" s="7" t="str">
        <f t="shared" si="14"/>
        <v>2026Q3</v>
      </c>
      <c r="B62" s="6"/>
      <c r="C62" s="9">
        <f t="shared" si="15"/>
        <v>7.4390000000000001</v>
      </c>
      <c r="D62" s="6"/>
      <c r="E62" s="6"/>
      <c r="F62" s="9">
        <f t="shared" si="16"/>
        <v>1.7999999999999999E-2</v>
      </c>
      <c r="G62" s="6"/>
      <c r="K62" s="7" t="str">
        <f t="shared" si="17"/>
        <v>2026Q3</v>
      </c>
      <c r="L62" s="6"/>
      <c r="M62" s="9">
        <f t="shared" si="18"/>
        <v>6.49</v>
      </c>
      <c r="N62" s="6"/>
      <c r="O62" s="6"/>
      <c r="P62" s="9">
        <f t="shared" si="19"/>
        <v>1.4999999999999999E-2</v>
      </c>
      <c r="Q62" s="6"/>
    </row>
    <row r="63" spans="1:17" ht="15.5" thickTop="1" thickBot="1" x14ac:dyDescent="0.4">
      <c r="A63" s="7" t="str">
        <f t="shared" si="14"/>
        <v>2026Q4</v>
      </c>
      <c r="B63" s="6"/>
      <c r="C63" s="9">
        <f t="shared" si="15"/>
        <v>7.5</v>
      </c>
      <c r="D63" s="6"/>
      <c r="E63" s="6"/>
      <c r="F63" s="9">
        <f t="shared" si="16"/>
        <v>1.7999999999999999E-2</v>
      </c>
      <c r="G63" s="6"/>
      <c r="K63" s="7" t="str">
        <f t="shared" si="17"/>
        <v>2026Q4</v>
      </c>
      <c r="L63" s="6"/>
      <c r="M63" s="9">
        <f t="shared" si="18"/>
        <v>6.5439999999999996</v>
      </c>
      <c r="N63" s="6"/>
      <c r="O63" s="6"/>
      <c r="P63" s="9">
        <f t="shared" si="19"/>
        <v>1.4999999999999999E-2</v>
      </c>
      <c r="Q63" s="6"/>
    </row>
    <row r="64" spans="1:17" ht="15.5" thickTop="1" thickBot="1" x14ac:dyDescent="0.4">
      <c r="A64" s="7" t="str">
        <f t="shared" si="14"/>
        <v>2027Q1</v>
      </c>
      <c r="B64" s="6"/>
      <c r="C64" s="9">
        <f t="shared" si="15"/>
        <v>6.101</v>
      </c>
      <c r="D64" s="6"/>
      <c r="E64" s="6"/>
      <c r="F64" s="9">
        <f t="shared" si="16"/>
        <v>1.7000000000000001E-2</v>
      </c>
      <c r="G64" s="6"/>
      <c r="K64" s="7" t="str">
        <f t="shared" si="17"/>
        <v>2027Q1</v>
      </c>
      <c r="L64" s="6"/>
      <c r="M64" s="9">
        <f t="shared" si="18"/>
        <v>5.1390000000000002</v>
      </c>
      <c r="N64" s="6"/>
      <c r="O64" s="6"/>
      <c r="P64" s="9">
        <f t="shared" si="19"/>
        <v>1.4999999999999999E-2</v>
      </c>
      <c r="Q64" s="6"/>
    </row>
    <row r="65" spans="1:17" ht="15.5" thickTop="1" thickBot="1" x14ac:dyDescent="0.4">
      <c r="A65" s="7" t="str">
        <f t="shared" si="14"/>
        <v>2027Q2</v>
      </c>
      <c r="B65" s="6"/>
      <c r="C65" s="9">
        <f t="shared" si="15"/>
        <v>7.6219999999999999</v>
      </c>
      <c r="D65" s="6"/>
      <c r="E65" s="6"/>
      <c r="F65" s="9">
        <f t="shared" si="16"/>
        <v>1.7999999999999999E-2</v>
      </c>
      <c r="G65" s="6"/>
      <c r="K65" s="7" t="str">
        <f t="shared" si="17"/>
        <v>2027Q2</v>
      </c>
      <c r="L65" s="6"/>
      <c r="M65" s="9">
        <f t="shared" si="18"/>
        <v>6.6539999999999999</v>
      </c>
      <c r="N65" s="6"/>
      <c r="O65" s="6"/>
      <c r="P65" s="9">
        <f t="shared" si="19"/>
        <v>1.6E-2</v>
      </c>
      <c r="Q65" s="6"/>
    </row>
    <row r="66" spans="1:17" ht="15.5" thickTop="1" thickBot="1" x14ac:dyDescent="0.4">
      <c r="A66" s="7" t="str">
        <f t="shared" si="14"/>
        <v>2027Q3</v>
      </c>
      <c r="B66" s="6"/>
      <c r="C66" s="9">
        <f t="shared" si="15"/>
        <v>7.1040000000000001</v>
      </c>
      <c r="D66" s="6"/>
      <c r="E66" s="6"/>
      <c r="F66" s="9">
        <f t="shared" si="16"/>
        <v>1.7000000000000001E-2</v>
      </c>
      <c r="G66" s="6"/>
      <c r="K66" s="7" t="str">
        <f t="shared" si="17"/>
        <v>2027Q3</v>
      </c>
      <c r="L66" s="6"/>
      <c r="M66" s="9">
        <f t="shared" si="18"/>
        <v>6.1310000000000002</v>
      </c>
      <c r="N66" s="6"/>
      <c r="O66" s="6"/>
      <c r="P66" s="9">
        <f t="shared" si="19"/>
        <v>1.4999999999999999E-2</v>
      </c>
      <c r="Q66" s="6"/>
    </row>
    <row r="67" spans="1:17" ht="15.5" thickTop="1" thickBot="1" x14ac:dyDescent="0.4">
      <c r="A67" s="7" t="str">
        <f t="shared" si="14"/>
        <v>2027Q4</v>
      </c>
      <c r="B67" s="6"/>
      <c r="C67" s="9">
        <f t="shared" si="15"/>
        <v>7.1630000000000003</v>
      </c>
      <c r="D67" s="6"/>
      <c r="E67" s="6"/>
      <c r="F67" s="9">
        <f t="shared" si="16"/>
        <v>1.7999999999999999E-2</v>
      </c>
      <c r="G67" s="6"/>
      <c r="K67" s="7" t="str">
        <f t="shared" si="17"/>
        <v>2027Q4</v>
      </c>
      <c r="L67" s="6"/>
      <c r="M67" s="9">
        <f t="shared" si="18"/>
        <v>6.1840000000000002</v>
      </c>
      <c r="N67" s="6"/>
      <c r="O67" s="6"/>
      <c r="P67" s="9">
        <f t="shared" si="19"/>
        <v>1.6E-2</v>
      </c>
      <c r="Q67" s="6"/>
    </row>
    <row r="68" spans="1:17" ht="15.5" thickTop="1" thickBot="1" x14ac:dyDescent="0.4">
      <c r="A68" s="7" t="str">
        <f t="shared" si="14"/>
        <v>2028Q1</v>
      </c>
      <c r="B68" s="6"/>
      <c r="C68" s="9">
        <f t="shared" si="15"/>
        <v>5.7619999999999996</v>
      </c>
      <c r="D68" s="6"/>
      <c r="E68" s="6"/>
      <c r="F68" s="9">
        <f t="shared" si="16"/>
        <v>1.7999999999999999E-2</v>
      </c>
      <c r="G68" s="6"/>
      <c r="K68" s="7" t="str">
        <f t="shared" si="17"/>
        <v>2028Q1</v>
      </c>
      <c r="L68" s="6"/>
      <c r="M68" s="9">
        <f t="shared" si="18"/>
        <v>4.7779999999999996</v>
      </c>
      <c r="N68" s="6"/>
      <c r="O68" s="6"/>
      <c r="P68" s="9">
        <f t="shared" si="19"/>
        <v>1.6E-2</v>
      </c>
      <c r="Q68" s="6"/>
    </row>
    <row r="69" spans="1:17" ht="15.5" thickTop="1" thickBot="1" x14ac:dyDescent="0.4">
      <c r="A69" s="7" t="str">
        <f t="shared" si="14"/>
        <v>2028Q2</v>
      </c>
      <c r="B69" s="6"/>
      <c r="C69" s="9">
        <f t="shared" si="15"/>
        <v>7.28</v>
      </c>
      <c r="D69" s="6"/>
      <c r="E69" s="6"/>
      <c r="F69" s="9">
        <f t="shared" si="16"/>
        <v>1.9E-2</v>
      </c>
      <c r="G69" s="6"/>
      <c r="K69" s="7" t="str">
        <f t="shared" si="17"/>
        <v>2028Q2</v>
      </c>
      <c r="L69" s="6"/>
      <c r="M69" s="9">
        <f t="shared" si="18"/>
        <v>6.2919999999999998</v>
      </c>
      <c r="N69" s="6"/>
      <c r="O69" s="6"/>
      <c r="P69" s="9">
        <f t="shared" si="19"/>
        <v>1.6E-2</v>
      </c>
      <c r="Q69" s="6"/>
    </row>
    <row r="70" spans="1:17" ht="15.5" thickTop="1" thickBot="1" x14ac:dyDescent="0.4">
      <c r="A70" s="7" t="str">
        <f t="shared" si="14"/>
        <v>2028Q3</v>
      </c>
      <c r="B70" s="6"/>
      <c r="C70" s="9">
        <f t="shared" si="15"/>
        <v>6.76</v>
      </c>
      <c r="D70" s="6"/>
      <c r="E70" s="6"/>
      <c r="F70" s="9">
        <f t="shared" si="16"/>
        <v>1.7999999999999999E-2</v>
      </c>
      <c r="G70" s="6"/>
      <c r="K70" s="7" t="str">
        <f t="shared" si="17"/>
        <v>2028Q3</v>
      </c>
      <c r="L70" s="6"/>
      <c r="M70" s="9">
        <f t="shared" si="18"/>
        <v>5.7679999999999998</v>
      </c>
      <c r="N70" s="6"/>
      <c r="O70" s="6"/>
      <c r="P70" s="9">
        <f t="shared" si="19"/>
        <v>1.4999999999999999E-2</v>
      </c>
      <c r="Q70" s="6"/>
    </row>
    <row r="71" spans="1:17" ht="15.5" thickTop="1" thickBot="1" x14ac:dyDescent="0.4">
      <c r="A71" s="7" t="str">
        <f t="shared" si="14"/>
        <v>2028Q4</v>
      </c>
      <c r="B71" s="6"/>
      <c r="C71" s="9">
        <f t="shared" si="15"/>
        <v>6.8170000000000002</v>
      </c>
      <c r="D71" s="6"/>
      <c r="E71" s="6"/>
      <c r="F71" s="9">
        <f t="shared" si="16"/>
        <v>1.7999999999999999E-2</v>
      </c>
      <c r="G71" s="6"/>
      <c r="K71" s="7" t="str">
        <f t="shared" si="17"/>
        <v>2028Q4</v>
      </c>
      <c r="L71" s="6"/>
      <c r="M71" s="9">
        <f t="shared" si="18"/>
        <v>5.8220000000000001</v>
      </c>
      <c r="N71" s="6"/>
      <c r="O71" s="6"/>
      <c r="P71" s="9">
        <f t="shared" si="19"/>
        <v>1.4999999999999999E-2</v>
      </c>
      <c r="Q71" s="6"/>
    </row>
    <row r="72" spans="1:17" ht="15.5" thickTop="1" thickBot="1" x14ac:dyDescent="0.4">
      <c r="A72" s="7" t="str">
        <f t="shared" si="14"/>
        <v>2029Q1</v>
      </c>
      <c r="B72" s="6"/>
      <c r="C72" s="9">
        <f t="shared" si="15"/>
        <v>5.4130000000000003</v>
      </c>
      <c r="D72" s="6"/>
      <c r="E72" s="6"/>
      <c r="F72" s="9">
        <f t="shared" si="16"/>
        <v>1.7999999999999999E-2</v>
      </c>
      <c r="G72" s="6"/>
      <c r="K72" s="7" t="str">
        <f t="shared" si="17"/>
        <v>2029Q1</v>
      </c>
      <c r="L72" s="6"/>
      <c r="M72" s="9">
        <f t="shared" si="18"/>
        <v>4.4139999999999997</v>
      </c>
      <c r="N72" s="6"/>
      <c r="O72" s="6"/>
      <c r="P72" s="9">
        <f t="shared" si="19"/>
        <v>1.4999999999999999E-2</v>
      </c>
      <c r="Q72" s="6"/>
    </row>
    <row r="73" spans="1:17" ht="15.5" thickTop="1" thickBot="1" x14ac:dyDescent="0.4">
      <c r="A73" s="7" t="str">
        <f t="shared" si="14"/>
        <v>2029Q2</v>
      </c>
      <c r="B73" s="6"/>
      <c r="C73" s="9">
        <f t="shared" si="15"/>
        <v>6.931</v>
      </c>
      <c r="D73" s="6"/>
      <c r="E73" s="6"/>
      <c r="F73" s="9">
        <f t="shared" si="16"/>
        <v>1.9E-2</v>
      </c>
      <c r="G73" s="6"/>
      <c r="K73" s="7" t="str">
        <f t="shared" si="17"/>
        <v>2029Q2</v>
      </c>
      <c r="L73" s="6"/>
      <c r="M73" s="9">
        <f t="shared" si="18"/>
        <v>5.9290000000000003</v>
      </c>
      <c r="N73" s="6"/>
      <c r="O73" s="6"/>
      <c r="P73" s="9">
        <f t="shared" si="19"/>
        <v>1.6E-2</v>
      </c>
      <c r="Q73" s="6"/>
    </row>
    <row r="74" spans="1:17" ht="15.5" thickTop="1" thickBot="1" x14ac:dyDescent="0.4">
      <c r="A74" s="7" t="str">
        <f t="shared" si="14"/>
        <v>2029Q3</v>
      </c>
      <c r="B74" s="6"/>
      <c r="C74" s="9">
        <f t="shared" si="15"/>
        <v>6.4089999999999998</v>
      </c>
      <c r="D74" s="6"/>
      <c r="E74" s="6"/>
      <c r="F74" s="9">
        <f t="shared" si="16"/>
        <v>1.7999999999999999E-2</v>
      </c>
      <c r="G74" s="6"/>
      <c r="K74" s="7" t="str">
        <f t="shared" si="17"/>
        <v>2029Q3</v>
      </c>
      <c r="L74" s="6"/>
      <c r="M74" s="9">
        <f t="shared" si="18"/>
        <v>5.4039999999999999</v>
      </c>
      <c r="N74" s="6"/>
      <c r="O74" s="6"/>
      <c r="P74" s="9">
        <f t="shared" si="19"/>
        <v>1.4999999999999999E-2</v>
      </c>
      <c r="Q74" s="6"/>
    </row>
    <row r="75" spans="1:17" ht="15.5" thickTop="1" thickBot="1" x14ac:dyDescent="0.4">
      <c r="A75" s="7" t="str">
        <f t="shared" si="14"/>
        <v>2029Q4</v>
      </c>
      <c r="B75" s="6"/>
      <c r="C75" s="9">
        <f t="shared" si="15"/>
        <v>6.4630000000000001</v>
      </c>
      <c r="D75" s="6"/>
      <c r="E75" s="6"/>
      <c r="F75" s="9">
        <f t="shared" si="16"/>
        <v>1.7999999999999999E-2</v>
      </c>
      <c r="G75" s="6"/>
      <c r="K75" s="7" t="str">
        <f t="shared" si="17"/>
        <v>2029Q4</v>
      </c>
      <c r="L75" s="6"/>
      <c r="M75" s="9">
        <f t="shared" si="18"/>
        <v>5.4550000000000001</v>
      </c>
      <c r="N75" s="6"/>
      <c r="O75" s="6"/>
      <c r="P75" s="9">
        <f t="shared" si="19"/>
        <v>1.4E-2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76"/>
  <sheetViews>
    <sheetView zoomScale="80" zoomScaleNormal="80" workbookViewId="0">
      <selection activeCell="L3" sqref="L3:N34"/>
    </sheetView>
  </sheetViews>
  <sheetFormatPr defaultColWidth="9.1796875" defaultRowHeight="12" x14ac:dyDescent="0.3"/>
  <cols>
    <col min="1" max="1" width="7.179687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2" t="s">
        <v>3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59">
        <v>113.25371813058241</v>
      </c>
      <c r="M3" s="59">
        <v>104.36634582958514</v>
      </c>
      <c r="N3" s="59">
        <v>122.1410904315797</v>
      </c>
      <c r="O3" s="1">
        <f t="shared" ref="O3:O34" si="0">ROUND(M3,3)</f>
        <v>104.366</v>
      </c>
      <c r="P3" s="1">
        <f t="shared" ref="P3:P34" si="1">ROUND(L3,3)</f>
        <v>113.254</v>
      </c>
      <c r="Q3" s="1">
        <f t="shared" ref="Q3:Q34" si="2">ROUND(N3,3)</f>
        <v>122.14100000000001</v>
      </c>
      <c r="R3" s="14" t="str">
        <f>K3</f>
        <v>2022Q1</v>
      </c>
      <c r="S3" s="42">
        <v>0.19714911375858238</v>
      </c>
      <c r="T3" s="42">
        <v>0.17679565907010783</v>
      </c>
      <c r="U3" s="42">
        <v>0.21750256844705693</v>
      </c>
      <c r="V3" s="1">
        <f t="shared" ref="V3:V34" si="3">ROUND(T3,3)</f>
        <v>0.17699999999999999</v>
      </c>
      <c r="W3" s="1">
        <f t="shared" ref="W3:W34" si="4">ROUND(S3,3)</f>
        <v>0.19700000000000001</v>
      </c>
      <c r="X3" s="1">
        <f t="shared" ref="X3:X34" si="5">ROUND(U3,3)</f>
        <v>0.218</v>
      </c>
    </row>
    <row r="4" spans="1:30" ht="15.5" thickTop="1" thickBot="1" x14ac:dyDescent="0.4">
      <c r="A4" s="5" t="str">
        <f>K3</f>
        <v>2022Q1</v>
      </c>
      <c r="B4" s="2">
        <f>O3</f>
        <v>104.366</v>
      </c>
      <c r="C4" s="3">
        <f>P3</f>
        <v>113.254</v>
      </c>
      <c r="D4" s="2">
        <f>Q3</f>
        <v>122.14100000000001</v>
      </c>
      <c r="E4" s="2">
        <f>V3</f>
        <v>0.17699999999999999</v>
      </c>
      <c r="F4" s="3">
        <f>W3</f>
        <v>0.19700000000000001</v>
      </c>
      <c r="G4" s="2">
        <f>X3</f>
        <v>0.218</v>
      </c>
      <c r="K4" s="14" t="s">
        <v>70</v>
      </c>
      <c r="L4" s="59">
        <v>126.75624081738296</v>
      </c>
      <c r="M4" s="59">
        <v>115.87373387707174</v>
      </c>
      <c r="N4" s="59">
        <v>137.63874775769418</v>
      </c>
      <c r="O4" s="1">
        <f t="shared" si="0"/>
        <v>115.874</v>
      </c>
      <c r="P4" s="1">
        <f t="shared" si="1"/>
        <v>126.756</v>
      </c>
      <c r="Q4" s="1">
        <f t="shared" si="2"/>
        <v>137.63900000000001</v>
      </c>
      <c r="R4" s="14" t="str">
        <f t="shared" ref="R4:R34" si="6">K4</f>
        <v>2022Q2</v>
      </c>
      <c r="S4" s="42">
        <v>0.20267091995183698</v>
      </c>
      <c r="T4" s="42">
        <v>0.17052154242027717</v>
      </c>
      <c r="U4" s="42">
        <v>0.23482029748339678</v>
      </c>
      <c r="V4" s="1">
        <f t="shared" si="3"/>
        <v>0.17100000000000001</v>
      </c>
      <c r="W4" s="1">
        <f t="shared" si="4"/>
        <v>0.20300000000000001</v>
      </c>
      <c r="X4" s="1">
        <f t="shared" si="5"/>
        <v>0.23499999999999999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115.874</v>
      </c>
      <c r="C5" s="3">
        <f t="shared" si="8"/>
        <v>126.756</v>
      </c>
      <c r="D5" s="2">
        <f t="shared" si="8"/>
        <v>137.63900000000001</v>
      </c>
      <c r="E5" s="2">
        <f t="shared" ref="E5:G20" si="9">V4</f>
        <v>0.17100000000000001</v>
      </c>
      <c r="F5" s="3">
        <f t="shared" si="9"/>
        <v>0.20300000000000001</v>
      </c>
      <c r="G5" s="2">
        <f t="shared" si="9"/>
        <v>0.23499999999999999</v>
      </c>
      <c r="I5" s="1">
        <f>SUM(F5:F8)</f>
        <v>0.81200000000000006</v>
      </c>
      <c r="K5" s="14" t="s">
        <v>71</v>
      </c>
      <c r="L5" s="59">
        <v>124.07799379458578</v>
      </c>
      <c r="M5" s="59">
        <v>112.72733972792155</v>
      </c>
      <c r="N5" s="59">
        <v>135.42864786125003</v>
      </c>
      <c r="O5" s="1">
        <f t="shared" si="0"/>
        <v>112.727</v>
      </c>
      <c r="P5" s="1">
        <f t="shared" si="1"/>
        <v>124.078</v>
      </c>
      <c r="Q5" s="1">
        <f t="shared" si="2"/>
        <v>135.429</v>
      </c>
      <c r="R5" s="14" t="str">
        <f t="shared" si="6"/>
        <v>2022Q3</v>
      </c>
      <c r="S5" s="42">
        <v>0.20239375740411555</v>
      </c>
      <c r="T5" s="42">
        <v>0.16300329640472097</v>
      </c>
      <c r="U5" s="42">
        <v>0.24178421840351014</v>
      </c>
      <c r="V5" s="1">
        <f t="shared" si="3"/>
        <v>0.16300000000000001</v>
      </c>
      <c r="W5" s="1">
        <f t="shared" si="4"/>
        <v>0.20200000000000001</v>
      </c>
      <c r="X5" s="1">
        <f t="shared" si="5"/>
        <v>0.24199999999999999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112.727</v>
      </c>
      <c r="C6" s="3">
        <f t="shared" si="8"/>
        <v>124.078</v>
      </c>
      <c r="D6" s="2">
        <f t="shared" si="8"/>
        <v>135.429</v>
      </c>
      <c r="E6" s="2">
        <f t="shared" si="9"/>
        <v>0.16300000000000001</v>
      </c>
      <c r="F6" s="3">
        <f t="shared" si="9"/>
        <v>0.20200000000000001</v>
      </c>
      <c r="G6" s="2">
        <f t="shared" si="9"/>
        <v>0.24199999999999999</v>
      </c>
      <c r="I6" s="1">
        <f>SUM(F9:F12)</f>
        <v>0.83599999999999997</v>
      </c>
      <c r="K6" s="14" t="s">
        <v>72</v>
      </c>
      <c r="L6" s="59">
        <v>124.59371783647131</v>
      </c>
      <c r="M6" s="59">
        <v>113.12271442189987</v>
      </c>
      <c r="N6" s="59">
        <v>136.06472125104276</v>
      </c>
      <c r="O6" s="1">
        <f t="shared" si="0"/>
        <v>113.123</v>
      </c>
      <c r="P6" s="1">
        <f t="shared" si="1"/>
        <v>124.59399999999999</v>
      </c>
      <c r="Q6" s="1">
        <f t="shared" si="2"/>
        <v>136.065</v>
      </c>
      <c r="R6" s="14" t="str">
        <f t="shared" si="6"/>
        <v>2022Q4</v>
      </c>
      <c r="S6" s="42">
        <v>0.20510083730328696</v>
      </c>
      <c r="T6" s="42">
        <v>0.15910064057972642</v>
      </c>
      <c r="U6" s="42">
        <v>0.25110103402684747</v>
      </c>
      <c r="V6" s="1">
        <f t="shared" si="3"/>
        <v>0.159</v>
      </c>
      <c r="W6" s="1">
        <f t="shared" si="4"/>
        <v>0.20499999999999999</v>
      </c>
      <c r="X6" s="1">
        <f t="shared" si="5"/>
        <v>0.251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113.123</v>
      </c>
      <c r="C7" s="3">
        <f t="shared" si="8"/>
        <v>124.59399999999999</v>
      </c>
      <c r="D7" s="2">
        <f t="shared" si="8"/>
        <v>136.065</v>
      </c>
      <c r="E7" s="2">
        <f t="shared" si="9"/>
        <v>0.159</v>
      </c>
      <c r="F7" s="3">
        <f t="shared" si="9"/>
        <v>0.20499999999999999</v>
      </c>
      <c r="G7" s="2">
        <f t="shared" si="9"/>
        <v>0.251</v>
      </c>
      <c r="I7" s="1">
        <f>SUM(F13:F16)</f>
        <v>0.86</v>
      </c>
      <c r="K7" s="14" t="s">
        <v>73</v>
      </c>
      <c r="L7" s="59">
        <v>114.60468108881994</v>
      </c>
      <c r="M7" s="59">
        <v>103.10212980188361</v>
      </c>
      <c r="N7" s="59">
        <v>126.10723237575627</v>
      </c>
      <c r="O7" s="1">
        <f t="shared" si="0"/>
        <v>103.102</v>
      </c>
      <c r="P7" s="1">
        <f t="shared" si="1"/>
        <v>114.605</v>
      </c>
      <c r="Q7" s="1">
        <f t="shared" si="2"/>
        <v>126.107</v>
      </c>
      <c r="R7" s="14" t="str">
        <f t="shared" si="6"/>
        <v>2023Q1</v>
      </c>
      <c r="S7" s="42">
        <v>0.20194371454199048</v>
      </c>
      <c r="T7" s="42">
        <v>0.1503837983413539</v>
      </c>
      <c r="U7" s="42">
        <v>0.253503630742627</v>
      </c>
      <c r="V7" s="1">
        <f t="shared" si="3"/>
        <v>0.15</v>
      </c>
      <c r="W7" s="1">
        <f t="shared" si="4"/>
        <v>0.20200000000000001</v>
      </c>
      <c r="X7" s="1">
        <f t="shared" si="5"/>
        <v>0.254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103.102</v>
      </c>
      <c r="C8" s="3">
        <f t="shared" si="8"/>
        <v>114.605</v>
      </c>
      <c r="D8" s="2">
        <f t="shared" si="8"/>
        <v>126.107</v>
      </c>
      <c r="E8" s="2">
        <f t="shared" si="9"/>
        <v>0.15</v>
      </c>
      <c r="F8" s="3">
        <f t="shared" si="9"/>
        <v>0.20200000000000001</v>
      </c>
      <c r="G8" s="2">
        <f t="shared" si="9"/>
        <v>0.254</v>
      </c>
      <c r="I8" s="1">
        <f>SUM(F17:F20)</f>
        <v>0.88400000000000001</v>
      </c>
      <c r="K8" s="14" t="s">
        <v>74</v>
      </c>
      <c r="L8" s="59">
        <v>127.52759640822975</v>
      </c>
      <c r="M8" s="59">
        <v>116.01673467032357</v>
      </c>
      <c r="N8" s="59">
        <v>139.03845814613592</v>
      </c>
      <c r="O8" s="1">
        <f t="shared" si="0"/>
        <v>116.017</v>
      </c>
      <c r="P8" s="1">
        <f t="shared" si="1"/>
        <v>127.52800000000001</v>
      </c>
      <c r="Q8" s="1">
        <f t="shared" si="2"/>
        <v>139.03800000000001</v>
      </c>
      <c r="R8" s="14" t="str">
        <f t="shared" si="6"/>
        <v>2023Q2</v>
      </c>
      <c r="S8" s="42">
        <v>0.20910957012780587</v>
      </c>
      <c r="T8" s="42">
        <v>0.15244302569959492</v>
      </c>
      <c r="U8" s="42">
        <v>0.26577611455601685</v>
      </c>
      <c r="V8" s="1">
        <f t="shared" si="3"/>
        <v>0.152</v>
      </c>
      <c r="W8" s="1">
        <f t="shared" si="4"/>
        <v>0.20899999999999999</v>
      </c>
      <c r="X8" s="1">
        <f t="shared" si="5"/>
        <v>0.26600000000000001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116.017</v>
      </c>
      <c r="C9" s="3">
        <f t="shared" si="8"/>
        <v>127.52800000000001</v>
      </c>
      <c r="D9" s="2">
        <f t="shared" si="8"/>
        <v>139.03800000000001</v>
      </c>
      <c r="E9" s="2">
        <f t="shared" si="9"/>
        <v>0.152</v>
      </c>
      <c r="F9" s="3">
        <f t="shared" si="9"/>
        <v>0.20899999999999999</v>
      </c>
      <c r="G9" s="2">
        <f t="shared" si="9"/>
        <v>0.26600000000000001</v>
      </c>
      <c r="I9" s="1">
        <f>SUM(F21:F24)</f>
        <v>0.90800000000000003</v>
      </c>
      <c r="K9" s="14" t="s">
        <v>75</v>
      </c>
      <c r="L9" s="59">
        <v>124.55160911951684</v>
      </c>
      <c r="M9" s="59">
        <v>113.03855541572202</v>
      </c>
      <c r="N9" s="59">
        <v>136.06466282331166</v>
      </c>
      <c r="O9" s="1">
        <f t="shared" si="0"/>
        <v>113.039</v>
      </c>
      <c r="P9" s="1">
        <f t="shared" si="1"/>
        <v>124.55200000000001</v>
      </c>
      <c r="Q9" s="1">
        <f t="shared" si="2"/>
        <v>136.065</v>
      </c>
      <c r="R9" s="14" t="str">
        <f t="shared" si="6"/>
        <v>2023Q3</v>
      </c>
      <c r="S9" s="42">
        <v>0.20806130457751934</v>
      </c>
      <c r="T9" s="42">
        <v>0.14675108675941911</v>
      </c>
      <c r="U9" s="42">
        <v>0.26937152239561951</v>
      </c>
      <c r="V9" s="1">
        <f t="shared" si="3"/>
        <v>0.14699999999999999</v>
      </c>
      <c r="W9" s="1">
        <f t="shared" si="4"/>
        <v>0.20799999999999999</v>
      </c>
      <c r="X9" s="1">
        <f t="shared" si="5"/>
        <v>0.26900000000000002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113.039</v>
      </c>
      <c r="C10" s="3">
        <f t="shared" si="8"/>
        <v>124.55200000000001</v>
      </c>
      <c r="D10" s="2">
        <f t="shared" si="8"/>
        <v>136.065</v>
      </c>
      <c r="E10" s="2">
        <f t="shared" si="9"/>
        <v>0.14699999999999999</v>
      </c>
      <c r="F10" s="3">
        <f t="shared" si="9"/>
        <v>0.20799999999999999</v>
      </c>
      <c r="G10" s="2">
        <f t="shared" si="9"/>
        <v>0.26900000000000002</v>
      </c>
      <c r="I10" s="1">
        <f>SUM(F25:F28)</f>
        <v>0.93099999999999994</v>
      </c>
      <c r="K10" s="14" t="s">
        <v>76</v>
      </c>
      <c r="L10" s="59">
        <v>124.91438606146012</v>
      </c>
      <c r="M10" s="59">
        <v>113.40075401013111</v>
      </c>
      <c r="N10" s="59">
        <v>136.42801811278915</v>
      </c>
      <c r="O10" s="1">
        <f t="shared" si="0"/>
        <v>113.401</v>
      </c>
      <c r="P10" s="1">
        <f t="shared" si="1"/>
        <v>124.914</v>
      </c>
      <c r="Q10" s="1">
        <f t="shared" si="2"/>
        <v>136.428</v>
      </c>
      <c r="R10" s="14" t="str">
        <f t="shared" si="6"/>
        <v>2023Q4</v>
      </c>
      <c r="S10" s="42">
        <v>0.21113005234582863</v>
      </c>
      <c r="T10" s="42">
        <v>0.14548670083536999</v>
      </c>
      <c r="U10" s="42">
        <v>0.27677340385628724</v>
      </c>
      <c r="V10" s="1">
        <f t="shared" si="3"/>
        <v>0.14499999999999999</v>
      </c>
      <c r="W10" s="1">
        <f t="shared" si="4"/>
        <v>0.21099999999999999</v>
      </c>
      <c r="X10" s="1">
        <f t="shared" si="5"/>
        <v>0.27700000000000002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113.401</v>
      </c>
      <c r="C11" s="3">
        <f t="shared" si="8"/>
        <v>124.914</v>
      </c>
      <c r="D11" s="2">
        <f t="shared" si="8"/>
        <v>136.428</v>
      </c>
      <c r="E11" s="2">
        <f t="shared" si="9"/>
        <v>0.14499999999999999</v>
      </c>
      <c r="F11" s="3">
        <f t="shared" si="9"/>
        <v>0.21099999999999999</v>
      </c>
      <c r="G11" s="2">
        <f t="shared" si="9"/>
        <v>0.27700000000000002</v>
      </c>
      <c r="I11" s="1">
        <f>SUM(F29:F32)</f>
        <v>0.95499999999999996</v>
      </c>
      <c r="K11" s="14" t="s">
        <v>77</v>
      </c>
      <c r="L11" s="59">
        <v>114.84678145430614</v>
      </c>
      <c r="M11" s="59">
        <v>103.33299679316708</v>
      </c>
      <c r="N11" s="59">
        <v>126.36056611544521</v>
      </c>
      <c r="O11" s="1">
        <f t="shared" si="0"/>
        <v>103.333</v>
      </c>
      <c r="P11" s="1">
        <f t="shared" si="1"/>
        <v>114.84699999999999</v>
      </c>
      <c r="Q11" s="1">
        <f t="shared" si="2"/>
        <v>126.361</v>
      </c>
      <c r="R11" s="14" t="str">
        <f t="shared" si="6"/>
        <v>2024Q1</v>
      </c>
      <c r="S11" s="42">
        <v>0.20780329771027978</v>
      </c>
      <c r="T11" s="42">
        <v>0.13810326022296152</v>
      </c>
      <c r="U11" s="42">
        <v>0.27750333519759801</v>
      </c>
      <c r="V11" s="1">
        <f t="shared" si="3"/>
        <v>0.13800000000000001</v>
      </c>
      <c r="W11" s="1">
        <f t="shared" si="4"/>
        <v>0.20799999999999999</v>
      </c>
      <c r="X11" s="1">
        <f t="shared" si="5"/>
        <v>0.27800000000000002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103.333</v>
      </c>
      <c r="C12" s="3">
        <f t="shared" si="8"/>
        <v>114.84699999999999</v>
      </c>
      <c r="D12" s="2">
        <f t="shared" si="8"/>
        <v>126.361</v>
      </c>
      <c r="E12" s="2">
        <f t="shared" si="9"/>
        <v>0.13800000000000001</v>
      </c>
      <c r="F12" s="3">
        <f t="shared" si="9"/>
        <v>0.20799999999999999</v>
      </c>
      <c r="G12" s="2">
        <f t="shared" si="9"/>
        <v>0.27800000000000002</v>
      </c>
      <c r="K12" s="14" t="s">
        <v>78</v>
      </c>
      <c r="L12" s="59">
        <v>127.72933701175147</v>
      </c>
      <c r="M12" s="59">
        <v>116.21551208019198</v>
      </c>
      <c r="N12" s="59">
        <v>139.24316194331095</v>
      </c>
      <c r="O12" s="1">
        <f t="shared" si="0"/>
        <v>116.21599999999999</v>
      </c>
      <c r="P12" s="1">
        <f t="shared" si="1"/>
        <v>127.729</v>
      </c>
      <c r="Q12" s="1">
        <f t="shared" si="2"/>
        <v>139.24299999999999</v>
      </c>
      <c r="R12" s="14" t="str">
        <f t="shared" si="6"/>
        <v>2024Q2</v>
      </c>
      <c r="S12" s="42">
        <v>0.21504871516823759</v>
      </c>
      <c r="T12" s="42">
        <v>0.14151206825731055</v>
      </c>
      <c r="U12" s="42">
        <v>0.28858536207916463</v>
      </c>
      <c r="V12" s="1">
        <f t="shared" si="3"/>
        <v>0.14199999999999999</v>
      </c>
      <c r="W12" s="1">
        <f t="shared" si="4"/>
        <v>0.215</v>
      </c>
      <c r="X12" s="1">
        <f t="shared" si="5"/>
        <v>0.28899999999999998</v>
      </c>
    </row>
    <row r="13" spans="1:30" ht="15.5" thickTop="1" thickBot="1" x14ac:dyDescent="0.4">
      <c r="A13" s="5" t="str">
        <f t="shared" si="7"/>
        <v>2024Q2</v>
      </c>
      <c r="B13" s="2">
        <f t="shared" si="8"/>
        <v>116.21599999999999</v>
      </c>
      <c r="C13" s="3">
        <f t="shared" si="8"/>
        <v>127.729</v>
      </c>
      <c r="D13" s="2">
        <f t="shared" si="8"/>
        <v>139.24299999999999</v>
      </c>
      <c r="E13" s="2">
        <f t="shared" si="9"/>
        <v>0.14199999999999999</v>
      </c>
      <c r="F13" s="3">
        <f t="shared" si="9"/>
        <v>0.215</v>
      </c>
      <c r="G13" s="2">
        <f t="shared" si="9"/>
        <v>0.28899999999999998</v>
      </c>
      <c r="K13" s="14" t="s">
        <v>79</v>
      </c>
      <c r="L13" s="59">
        <v>124.73261719454487</v>
      </c>
      <c r="M13" s="59">
        <v>113.21878163642896</v>
      </c>
      <c r="N13" s="59">
        <v>136.24645275266079</v>
      </c>
      <c r="O13" s="1">
        <f t="shared" si="0"/>
        <v>113.21899999999999</v>
      </c>
      <c r="P13" s="1">
        <f t="shared" si="1"/>
        <v>124.733</v>
      </c>
      <c r="Q13" s="1">
        <f t="shared" si="2"/>
        <v>136.24600000000001</v>
      </c>
      <c r="R13" s="14" t="str">
        <f t="shared" si="6"/>
        <v>2024Q3</v>
      </c>
      <c r="S13" s="42">
        <v>0.21396313297845329</v>
      </c>
      <c r="T13" s="42">
        <v>0.13678186424443087</v>
      </c>
      <c r="U13" s="42">
        <v>0.29114440171247569</v>
      </c>
      <c r="V13" s="1">
        <f t="shared" si="3"/>
        <v>0.13700000000000001</v>
      </c>
      <c r="W13" s="1">
        <f t="shared" si="4"/>
        <v>0.214</v>
      </c>
      <c r="X13" s="1">
        <f t="shared" si="5"/>
        <v>0.29099999999999998</v>
      </c>
    </row>
    <row r="14" spans="1:30" ht="15.5" thickTop="1" thickBot="1" x14ac:dyDescent="0.4">
      <c r="A14" s="5" t="str">
        <f t="shared" si="7"/>
        <v>2024Q3</v>
      </c>
      <c r="B14" s="2">
        <f t="shared" si="8"/>
        <v>113.21899999999999</v>
      </c>
      <c r="C14" s="3">
        <f t="shared" si="8"/>
        <v>124.733</v>
      </c>
      <c r="D14" s="2">
        <f t="shared" si="8"/>
        <v>136.24600000000001</v>
      </c>
      <c r="E14" s="2">
        <f t="shared" si="9"/>
        <v>0.13700000000000001</v>
      </c>
      <c r="F14" s="3">
        <f t="shared" si="9"/>
        <v>0.214</v>
      </c>
      <c r="G14" s="2">
        <f t="shared" si="9"/>
        <v>0.29099999999999998</v>
      </c>
      <c r="K14" s="14" t="s">
        <v>84</v>
      </c>
      <c r="L14" s="59">
        <v>125.0847439810655</v>
      </c>
      <c r="M14" s="59">
        <v>113.57090561880986</v>
      </c>
      <c r="N14" s="59">
        <v>136.59858234332117</v>
      </c>
      <c r="O14" s="1">
        <f t="shared" si="0"/>
        <v>113.571</v>
      </c>
      <c r="P14" s="1">
        <f t="shared" si="1"/>
        <v>125.08499999999999</v>
      </c>
      <c r="Q14" s="1">
        <f t="shared" si="2"/>
        <v>136.59899999999999</v>
      </c>
      <c r="R14" s="14" t="str">
        <f t="shared" si="6"/>
        <v>2024Q4</v>
      </c>
      <c r="S14" s="42">
        <v>0.21704938324570974</v>
      </c>
      <c r="T14" s="42">
        <v>0.13638732576758425</v>
      </c>
      <c r="U14" s="42">
        <v>0.29771144072383521</v>
      </c>
      <c r="V14" s="1">
        <f t="shared" si="3"/>
        <v>0.13600000000000001</v>
      </c>
      <c r="W14" s="1">
        <f t="shared" si="4"/>
        <v>0.217</v>
      </c>
      <c r="X14" s="1">
        <f t="shared" si="5"/>
        <v>0.29799999999999999</v>
      </c>
    </row>
    <row r="15" spans="1:30" ht="15.5" thickTop="1" thickBot="1" x14ac:dyDescent="0.4">
      <c r="A15" s="5" t="str">
        <f t="shared" si="7"/>
        <v>2024Q4</v>
      </c>
      <c r="B15" s="2">
        <f t="shared" si="8"/>
        <v>113.571</v>
      </c>
      <c r="C15" s="3">
        <f t="shared" si="8"/>
        <v>125.08499999999999</v>
      </c>
      <c r="D15" s="2">
        <f t="shared" si="8"/>
        <v>136.59899999999999</v>
      </c>
      <c r="E15" s="2">
        <f t="shared" si="9"/>
        <v>0.13600000000000001</v>
      </c>
      <c r="F15" s="3">
        <f t="shared" si="9"/>
        <v>0.217</v>
      </c>
      <c r="G15" s="2">
        <f t="shared" si="9"/>
        <v>0.29799999999999999</v>
      </c>
      <c r="K15" s="14" t="s">
        <v>81</v>
      </c>
      <c r="L15" s="59">
        <v>115.01166846328132</v>
      </c>
      <c r="M15" s="59">
        <v>103.49782936106791</v>
      </c>
      <c r="N15" s="59">
        <v>126.52550756549473</v>
      </c>
      <c r="O15" s="1">
        <f t="shared" si="0"/>
        <v>103.498</v>
      </c>
      <c r="P15" s="1">
        <f t="shared" si="1"/>
        <v>115.012</v>
      </c>
      <c r="Q15" s="1">
        <f t="shared" si="2"/>
        <v>126.526</v>
      </c>
      <c r="R15" s="14" t="str">
        <f t="shared" si="6"/>
        <v>2025Q1</v>
      </c>
      <c r="S15" s="42">
        <v>0.2137144194714625</v>
      </c>
      <c r="T15" s="42">
        <v>0.1297159942200998</v>
      </c>
      <c r="U15" s="42">
        <v>0.29771284472282517</v>
      </c>
      <c r="V15" s="1">
        <f t="shared" si="3"/>
        <v>0.13</v>
      </c>
      <c r="W15" s="1">
        <f t="shared" si="4"/>
        <v>0.214</v>
      </c>
      <c r="X15" s="1">
        <f t="shared" si="5"/>
        <v>0.29799999999999999</v>
      </c>
    </row>
    <row r="16" spans="1:30" ht="15.5" thickTop="1" thickBot="1" x14ac:dyDescent="0.4">
      <c r="A16" s="5" t="str">
        <f t="shared" si="7"/>
        <v>2025Q1</v>
      </c>
      <c r="B16" s="2">
        <f t="shared" si="8"/>
        <v>103.498</v>
      </c>
      <c r="C16" s="3">
        <f t="shared" si="8"/>
        <v>115.012</v>
      </c>
      <c r="D16" s="2">
        <f t="shared" si="8"/>
        <v>126.526</v>
      </c>
      <c r="E16" s="2">
        <f t="shared" si="9"/>
        <v>0.13</v>
      </c>
      <c r="F16" s="3">
        <f t="shared" si="9"/>
        <v>0.214</v>
      </c>
      <c r="G16" s="2">
        <f t="shared" si="9"/>
        <v>0.29799999999999999</v>
      </c>
      <c r="K16" s="14" t="s">
        <v>82</v>
      </c>
      <c r="L16" s="59">
        <v>127.89141365205735</v>
      </c>
      <c r="M16" s="59">
        <v>116.3775743545835</v>
      </c>
      <c r="N16" s="59">
        <v>139.40525294953119</v>
      </c>
      <c r="O16" s="1">
        <f t="shared" si="0"/>
        <v>116.378</v>
      </c>
      <c r="P16" s="1">
        <f t="shared" si="1"/>
        <v>127.89100000000001</v>
      </c>
      <c r="Q16" s="1">
        <f t="shared" si="2"/>
        <v>139.405</v>
      </c>
      <c r="R16" s="14" t="str">
        <f t="shared" si="6"/>
        <v>2025Q2</v>
      </c>
      <c r="S16" s="42">
        <v>0.22096368723436094</v>
      </c>
      <c r="T16" s="42">
        <v>0.13375630535221475</v>
      </c>
      <c r="U16" s="42">
        <v>0.30817106911650716</v>
      </c>
      <c r="V16" s="1">
        <f t="shared" si="3"/>
        <v>0.13400000000000001</v>
      </c>
      <c r="W16" s="1">
        <f t="shared" si="4"/>
        <v>0.221</v>
      </c>
      <c r="X16" s="1">
        <f t="shared" si="5"/>
        <v>0.308</v>
      </c>
    </row>
    <row r="17" spans="1:24" ht="15.5" thickTop="1" thickBot="1" x14ac:dyDescent="0.4">
      <c r="A17" s="5" t="str">
        <f t="shared" si="7"/>
        <v>2025Q2</v>
      </c>
      <c r="B17" s="2">
        <f t="shared" si="8"/>
        <v>116.378</v>
      </c>
      <c r="C17" s="3">
        <f t="shared" si="8"/>
        <v>127.89100000000001</v>
      </c>
      <c r="D17" s="2">
        <f t="shared" si="8"/>
        <v>139.405</v>
      </c>
      <c r="E17" s="2">
        <f t="shared" si="9"/>
        <v>0.13400000000000001</v>
      </c>
      <c r="F17" s="3">
        <f t="shared" si="9"/>
        <v>0.221</v>
      </c>
      <c r="G17" s="2">
        <f t="shared" si="9"/>
        <v>0.308</v>
      </c>
      <c r="K17" s="14" t="s">
        <v>83</v>
      </c>
      <c r="L17" s="59">
        <v>124.89325016804798</v>
      </c>
      <c r="M17" s="59">
        <v>113.37941081904872</v>
      </c>
      <c r="N17" s="59">
        <v>136.40708951704727</v>
      </c>
      <c r="O17" s="1">
        <f t="shared" si="0"/>
        <v>113.379</v>
      </c>
      <c r="P17" s="1">
        <f t="shared" si="1"/>
        <v>124.893</v>
      </c>
      <c r="Q17" s="1">
        <f t="shared" si="2"/>
        <v>136.40700000000001</v>
      </c>
      <c r="R17" s="14" t="str">
        <f t="shared" si="6"/>
        <v>2025Q3</v>
      </c>
      <c r="S17" s="42">
        <v>0.21987629914889373</v>
      </c>
      <c r="T17" s="42">
        <v>0.12957398373208209</v>
      </c>
      <c r="U17" s="42">
        <v>0.31017861456570534</v>
      </c>
      <c r="V17" s="1">
        <f t="shared" si="3"/>
        <v>0.13</v>
      </c>
      <c r="W17" s="1">
        <f t="shared" si="4"/>
        <v>0.22</v>
      </c>
      <c r="X17" s="1">
        <f t="shared" si="5"/>
        <v>0.31</v>
      </c>
    </row>
    <row r="18" spans="1:24" ht="15.5" thickTop="1" thickBot="1" x14ac:dyDescent="0.4">
      <c r="A18" s="5" t="str">
        <f t="shared" si="7"/>
        <v>2025Q3</v>
      </c>
      <c r="B18" s="2">
        <f t="shared" si="8"/>
        <v>113.379</v>
      </c>
      <c r="C18" s="3">
        <f t="shared" si="8"/>
        <v>124.893</v>
      </c>
      <c r="D18" s="2">
        <f t="shared" si="8"/>
        <v>136.40700000000001</v>
      </c>
      <c r="E18" s="2">
        <f t="shared" si="9"/>
        <v>0.13</v>
      </c>
      <c r="F18" s="3">
        <f t="shared" si="9"/>
        <v>0.22</v>
      </c>
      <c r="G18" s="2">
        <f t="shared" si="9"/>
        <v>0.31</v>
      </c>
      <c r="K18" s="14" t="s">
        <v>80</v>
      </c>
      <c r="L18" s="59">
        <v>125.24463535299155</v>
      </c>
      <c r="M18" s="59">
        <v>113.73079599039572</v>
      </c>
      <c r="N18" s="59">
        <v>136.7584747155874</v>
      </c>
      <c r="O18" s="1">
        <f t="shared" si="0"/>
        <v>113.73099999999999</v>
      </c>
      <c r="P18" s="1">
        <f t="shared" si="1"/>
        <v>125.245</v>
      </c>
      <c r="Q18" s="1">
        <f t="shared" si="2"/>
        <v>136.75800000000001</v>
      </c>
      <c r="R18" s="14" t="str">
        <f t="shared" si="6"/>
        <v>2025Q4</v>
      </c>
      <c r="S18" s="42">
        <v>0.22296339642937846</v>
      </c>
      <c r="T18" s="42">
        <v>0.12966873322595998</v>
      </c>
      <c r="U18" s="42">
        <v>0.31625805963279691</v>
      </c>
      <c r="V18" s="1">
        <f t="shared" si="3"/>
        <v>0.13</v>
      </c>
      <c r="W18" s="1">
        <f t="shared" si="4"/>
        <v>0.223</v>
      </c>
      <c r="X18" s="1">
        <f t="shared" si="5"/>
        <v>0.316</v>
      </c>
    </row>
    <row r="19" spans="1:24" ht="15.5" thickTop="1" thickBot="1" x14ac:dyDescent="0.4">
      <c r="A19" s="5" t="str">
        <f t="shared" si="7"/>
        <v>2025Q4</v>
      </c>
      <c r="B19" s="2">
        <f t="shared" si="8"/>
        <v>113.73099999999999</v>
      </c>
      <c r="C19" s="3">
        <f t="shared" si="8"/>
        <v>125.245</v>
      </c>
      <c r="D19" s="2">
        <f t="shared" si="8"/>
        <v>136.75800000000001</v>
      </c>
      <c r="E19" s="2">
        <f t="shared" si="9"/>
        <v>0.13</v>
      </c>
      <c r="F19" s="3">
        <f t="shared" si="9"/>
        <v>0.223</v>
      </c>
      <c r="G19" s="2">
        <f t="shared" si="9"/>
        <v>0.316</v>
      </c>
      <c r="K19" s="14" t="s">
        <v>92</v>
      </c>
      <c r="L19" s="59">
        <v>115.17117887964473</v>
      </c>
      <c r="M19" s="59">
        <v>103.65733951346103</v>
      </c>
      <c r="N19" s="59">
        <v>126.68501824582842</v>
      </c>
      <c r="O19" s="1">
        <f t="shared" si="0"/>
        <v>103.657</v>
      </c>
      <c r="P19" s="1">
        <f t="shared" si="1"/>
        <v>115.17100000000001</v>
      </c>
      <c r="Q19" s="1">
        <f t="shared" si="2"/>
        <v>126.685</v>
      </c>
      <c r="R19" s="14" t="str">
        <f t="shared" si="6"/>
        <v>2026Q1</v>
      </c>
      <c r="S19" s="42">
        <v>0.21962803538334211</v>
      </c>
      <c r="T19" s="42">
        <v>0.12343407658096175</v>
      </c>
      <c r="U19" s="42">
        <v>0.31582199418572243</v>
      </c>
      <c r="V19" s="1">
        <f t="shared" si="3"/>
        <v>0.123</v>
      </c>
      <c r="W19" s="1">
        <f t="shared" si="4"/>
        <v>0.22</v>
      </c>
      <c r="X19" s="1">
        <f t="shared" si="5"/>
        <v>0.316</v>
      </c>
    </row>
    <row r="20" spans="1:24" ht="15.5" thickTop="1" thickBot="1" x14ac:dyDescent="0.4">
      <c r="A20" s="5" t="str">
        <f t="shared" si="7"/>
        <v>2026Q1</v>
      </c>
      <c r="B20" s="2">
        <f t="shared" si="8"/>
        <v>103.657</v>
      </c>
      <c r="C20" s="3">
        <f t="shared" si="8"/>
        <v>115.17100000000001</v>
      </c>
      <c r="D20" s="2">
        <f t="shared" si="8"/>
        <v>126.685</v>
      </c>
      <c r="E20" s="2">
        <f t="shared" si="9"/>
        <v>0.123</v>
      </c>
      <c r="F20" s="3">
        <f t="shared" si="9"/>
        <v>0.22</v>
      </c>
      <c r="G20" s="2">
        <f t="shared" si="9"/>
        <v>0.316</v>
      </c>
      <c r="K20" s="14" t="s">
        <v>93</v>
      </c>
      <c r="L20" s="59">
        <v>128.05072837420269</v>
      </c>
      <c r="M20" s="59">
        <v>116.53688900707223</v>
      </c>
      <c r="N20" s="59">
        <v>139.56456774133318</v>
      </c>
      <c r="O20" s="1">
        <f t="shared" si="0"/>
        <v>116.53700000000001</v>
      </c>
      <c r="P20" s="1">
        <f t="shared" si="1"/>
        <v>128.05099999999999</v>
      </c>
      <c r="Q20" s="1">
        <f t="shared" si="2"/>
        <v>139.565</v>
      </c>
      <c r="R20" s="14" t="str">
        <f t="shared" si="6"/>
        <v>2026Q2</v>
      </c>
      <c r="S20" s="42">
        <v>0.22687748947730263</v>
      </c>
      <c r="T20" s="42">
        <v>0.12786909385687975</v>
      </c>
      <c r="U20" s="42">
        <v>0.32588588509772554</v>
      </c>
      <c r="V20" s="1">
        <f t="shared" si="3"/>
        <v>0.128</v>
      </c>
      <c r="W20" s="1">
        <f t="shared" si="4"/>
        <v>0.22700000000000001</v>
      </c>
      <c r="X20" s="1">
        <f t="shared" si="5"/>
        <v>0.32600000000000001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116.53700000000001</v>
      </c>
      <c r="C21" s="3">
        <f t="shared" si="10"/>
        <v>128.05099999999999</v>
      </c>
      <c r="D21" s="2">
        <f t="shared" si="10"/>
        <v>139.565</v>
      </c>
      <c r="E21" s="2">
        <f t="shared" ref="E21:G35" si="11">V20</f>
        <v>0.128</v>
      </c>
      <c r="F21" s="3">
        <f t="shared" si="11"/>
        <v>0.22700000000000001</v>
      </c>
      <c r="G21" s="2">
        <f t="shared" si="11"/>
        <v>0.32600000000000001</v>
      </c>
      <c r="K21" s="14" t="s">
        <v>94</v>
      </c>
      <c r="L21" s="59">
        <v>125.05246436343715</v>
      </c>
      <c r="M21" s="59">
        <v>113.53862499605685</v>
      </c>
      <c r="N21" s="59">
        <v>136.56630373081745</v>
      </c>
      <c r="O21" s="1">
        <f t="shared" si="0"/>
        <v>113.539</v>
      </c>
      <c r="P21" s="1">
        <f t="shared" si="1"/>
        <v>125.05200000000001</v>
      </c>
      <c r="Q21" s="1">
        <f t="shared" si="2"/>
        <v>136.566</v>
      </c>
      <c r="R21" s="14" t="str">
        <f t="shared" si="6"/>
        <v>2026Q3</v>
      </c>
      <c r="S21" s="42">
        <v>0.22579001399759893</v>
      </c>
      <c r="T21" s="42">
        <v>0.12404500650350883</v>
      </c>
      <c r="U21" s="42">
        <v>0.327535021491689</v>
      </c>
      <c r="V21" s="1">
        <f t="shared" si="3"/>
        <v>0.124</v>
      </c>
      <c r="W21" s="1">
        <f t="shared" si="4"/>
        <v>0.22600000000000001</v>
      </c>
      <c r="X21" s="1">
        <f t="shared" si="5"/>
        <v>0.32800000000000001</v>
      </c>
    </row>
    <row r="22" spans="1:24" ht="15.5" thickTop="1" thickBot="1" x14ac:dyDescent="0.4">
      <c r="A22" s="5" t="str">
        <f t="shared" si="7"/>
        <v>2026Q3</v>
      </c>
      <c r="B22" s="2">
        <f t="shared" si="10"/>
        <v>113.539</v>
      </c>
      <c r="C22" s="3">
        <f t="shared" si="10"/>
        <v>125.05200000000001</v>
      </c>
      <c r="D22" s="2">
        <f t="shared" si="10"/>
        <v>136.566</v>
      </c>
      <c r="E22" s="2">
        <f t="shared" si="11"/>
        <v>0.124</v>
      </c>
      <c r="F22" s="3">
        <f t="shared" si="11"/>
        <v>0.22600000000000001</v>
      </c>
      <c r="G22" s="2">
        <f t="shared" si="11"/>
        <v>0.32800000000000001</v>
      </c>
      <c r="K22" s="14" t="s">
        <v>95</v>
      </c>
      <c r="L22" s="59">
        <v>125.40379790848651</v>
      </c>
      <c r="M22" s="59">
        <v>113.88995854104029</v>
      </c>
      <c r="N22" s="59">
        <v>136.91763727593275</v>
      </c>
      <c r="O22" s="1">
        <f t="shared" si="0"/>
        <v>113.89</v>
      </c>
      <c r="P22" s="1">
        <f t="shared" si="1"/>
        <v>125.404</v>
      </c>
      <c r="Q22" s="1">
        <f t="shared" si="2"/>
        <v>136.91800000000001</v>
      </c>
      <c r="R22" s="14" t="str">
        <f t="shared" si="6"/>
        <v>2026Q4</v>
      </c>
      <c r="S22" s="42">
        <v>0.22887715226831087</v>
      </c>
      <c r="T22" s="42">
        <v>0.12446723438216768</v>
      </c>
      <c r="U22" s="42">
        <v>0.33328707015445402</v>
      </c>
      <c r="V22" s="1">
        <f t="shared" si="3"/>
        <v>0.124</v>
      </c>
      <c r="W22" s="1">
        <f t="shared" si="4"/>
        <v>0.22900000000000001</v>
      </c>
      <c r="X22" s="1">
        <f t="shared" si="5"/>
        <v>0.33300000000000002</v>
      </c>
    </row>
    <row r="23" spans="1:24" ht="15.5" thickTop="1" thickBot="1" x14ac:dyDescent="0.4">
      <c r="A23" s="5" t="str">
        <f t="shared" si="7"/>
        <v>2026Q4</v>
      </c>
      <c r="B23" s="2">
        <f t="shared" si="10"/>
        <v>113.89</v>
      </c>
      <c r="C23" s="3">
        <f t="shared" si="10"/>
        <v>125.404</v>
      </c>
      <c r="D23" s="2">
        <f t="shared" si="10"/>
        <v>136.91800000000001</v>
      </c>
      <c r="E23" s="2">
        <f t="shared" si="11"/>
        <v>0.124</v>
      </c>
      <c r="F23" s="3">
        <f t="shared" si="11"/>
        <v>0.22900000000000001</v>
      </c>
      <c r="G23" s="2">
        <f t="shared" si="11"/>
        <v>0.33300000000000002</v>
      </c>
      <c r="K23" s="14" t="s">
        <v>96</v>
      </c>
      <c r="L23" s="59">
        <v>115.33031490808588</v>
      </c>
      <c r="M23" s="59">
        <v>103.81647554062226</v>
      </c>
      <c r="N23" s="59">
        <v>126.8441542755495</v>
      </c>
      <c r="O23" s="1">
        <f t="shared" si="0"/>
        <v>103.816</v>
      </c>
      <c r="P23" s="1">
        <f t="shared" si="1"/>
        <v>115.33</v>
      </c>
      <c r="Q23" s="1">
        <f t="shared" si="2"/>
        <v>126.84399999999999</v>
      </c>
      <c r="R23" s="14" t="str">
        <f t="shared" si="6"/>
        <v>2027Q1</v>
      </c>
      <c r="S23" s="42">
        <v>0.22554177199676498</v>
      </c>
      <c r="T23" s="42">
        <v>0.11853328992285421</v>
      </c>
      <c r="U23" s="42">
        <v>0.33255025407067573</v>
      </c>
      <c r="V23" s="1">
        <f t="shared" si="3"/>
        <v>0.11899999999999999</v>
      </c>
      <c r="W23" s="1">
        <f t="shared" si="4"/>
        <v>0.22600000000000001</v>
      </c>
      <c r="X23" s="1">
        <f t="shared" si="5"/>
        <v>0.33300000000000002</v>
      </c>
    </row>
    <row r="24" spans="1:24" ht="15.5" thickTop="1" thickBot="1" x14ac:dyDescent="0.4">
      <c r="A24" s="5" t="str">
        <f t="shared" si="7"/>
        <v>2027Q1</v>
      </c>
      <c r="B24" s="2">
        <f t="shared" si="10"/>
        <v>103.816</v>
      </c>
      <c r="C24" s="3">
        <f t="shared" si="10"/>
        <v>115.33</v>
      </c>
      <c r="D24" s="2">
        <f t="shared" si="10"/>
        <v>126.84399999999999</v>
      </c>
      <c r="E24" s="2">
        <f t="shared" si="11"/>
        <v>0.11899999999999999</v>
      </c>
      <c r="F24" s="3">
        <f t="shared" si="11"/>
        <v>0.22600000000000001</v>
      </c>
      <c r="G24" s="2">
        <f t="shared" si="11"/>
        <v>0.33300000000000002</v>
      </c>
      <c r="K24" s="14" t="s">
        <v>97</v>
      </c>
      <c r="L24" s="59">
        <v>128.20985077588114</v>
      </c>
      <c r="M24" s="59">
        <v>116.69601140841294</v>
      </c>
      <c r="N24" s="59">
        <v>139.72369014334936</v>
      </c>
      <c r="O24" s="1">
        <f t="shared" si="0"/>
        <v>116.696</v>
      </c>
      <c r="P24" s="1">
        <f t="shared" si="1"/>
        <v>128.21</v>
      </c>
      <c r="Q24" s="1">
        <f t="shared" si="2"/>
        <v>139.72399999999999</v>
      </c>
      <c r="R24" s="14" t="str">
        <f t="shared" si="6"/>
        <v>2027Q2</v>
      </c>
      <c r="S24" s="42">
        <v>0.23279123510800212</v>
      </c>
      <c r="T24" s="42">
        <v>0.12324581267998357</v>
      </c>
      <c r="U24" s="42">
        <v>0.34233665753602072</v>
      </c>
      <c r="V24" s="1">
        <f t="shared" si="3"/>
        <v>0.123</v>
      </c>
      <c r="W24" s="1">
        <f t="shared" si="4"/>
        <v>0.23300000000000001</v>
      </c>
      <c r="X24" s="1">
        <f t="shared" si="5"/>
        <v>0.34200000000000003</v>
      </c>
    </row>
    <row r="25" spans="1:24" ht="15.5" thickTop="1" thickBot="1" x14ac:dyDescent="0.4">
      <c r="A25" s="5" t="str">
        <f t="shared" si="7"/>
        <v>2027Q2</v>
      </c>
      <c r="B25" s="2">
        <f t="shared" si="10"/>
        <v>116.696</v>
      </c>
      <c r="C25" s="3">
        <f t="shared" si="10"/>
        <v>128.21</v>
      </c>
      <c r="D25" s="2">
        <f t="shared" si="10"/>
        <v>139.72399999999999</v>
      </c>
      <c r="E25" s="2">
        <f t="shared" si="11"/>
        <v>0.123</v>
      </c>
      <c r="F25" s="3">
        <f t="shared" si="11"/>
        <v>0.23300000000000001</v>
      </c>
      <c r="G25" s="2">
        <f t="shared" si="11"/>
        <v>0.34200000000000003</v>
      </c>
      <c r="K25" s="14" t="s">
        <v>98</v>
      </c>
      <c r="L25" s="59">
        <v>125.21157976514255</v>
      </c>
      <c r="M25" s="59">
        <v>113.69774039767312</v>
      </c>
      <c r="N25" s="59">
        <v>136.72541913261196</v>
      </c>
      <c r="O25" s="1">
        <f t="shared" si="0"/>
        <v>113.69799999999999</v>
      </c>
      <c r="P25" s="1">
        <f t="shared" si="1"/>
        <v>125.212</v>
      </c>
      <c r="Q25" s="1">
        <f t="shared" si="2"/>
        <v>136.72499999999999</v>
      </c>
      <c r="R25" s="14" t="str">
        <f t="shared" si="6"/>
        <v>2027Q3</v>
      </c>
      <c r="S25" s="42">
        <v>0.23170375539895524</v>
      </c>
      <c r="T25" s="42">
        <v>0.11967883010261397</v>
      </c>
      <c r="U25" s="42">
        <v>0.34372868069529644</v>
      </c>
      <c r="V25" s="1">
        <f t="shared" si="3"/>
        <v>0.12</v>
      </c>
      <c r="W25" s="1">
        <f t="shared" si="4"/>
        <v>0.23200000000000001</v>
      </c>
      <c r="X25" s="1">
        <f t="shared" si="5"/>
        <v>0.34399999999999997</v>
      </c>
    </row>
    <row r="26" spans="1:24" ht="15.5" thickTop="1" thickBot="1" x14ac:dyDescent="0.4">
      <c r="A26" s="5" t="str">
        <f t="shared" si="7"/>
        <v>2027Q3</v>
      </c>
      <c r="B26" s="2">
        <f t="shared" si="10"/>
        <v>113.69799999999999</v>
      </c>
      <c r="C26" s="3">
        <f t="shared" si="10"/>
        <v>125.212</v>
      </c>
      <c r="D26" s="2">
        <f t="shared" si="10"/>
        <v>136.72499999999999</v>
      </c>
      <c r="E26" s="2">
        <f t="shared" si="11"/>
        <v>0.12</v>
      </c>
      <c r="F26" s="3">
        <f t="shared" si="11"/>
        <v>0.23200000000000001</v>
      </c>
      <c r="G26" s="2">
        <f t="shared" si="11"/>
        <v>0.34399999999999997</v>
      </c>
      <c r="K26" s="14" t="s">
        <v>99</v>
      </c>
      <c r="L26" s="59">
        <v>125.56290971435455</v>
      </c>
      <c r="M26" s="59">
        <v>114.0490703468848</v>
      </c>
      <c r="N26" s="59">
        <v>137.07674908182432</v>
      </c>
      <c r="O26" s="1">
        <f t="shared" si="0"/>
        <v>114.04900000000001</v>
      </c>
      <c r="P26" s="1">
        <f t="shared" si="1"/>
        <v>125.563</v>
      </c>
      <c r="Q26" s="1">
        <f t="shared" si="2"/>
        <v>137.077</v>
      </c>
      <c r="R26" s="14" t="str">
        <f t="shared" si="6"/>
        <v>2027Q4</v>
      </c>
      <c r="S26" s="42">
        <v>0.23479089565334191</v>
      </c>
      <c r="T26" s="42">
        <v>0.12034017170291994</v>
      </c>
      <c r="U26" s="42">
        <v>0.34924161960376388</v>
      </c>
      <c r="V26" s="1">
        <f t="shared" si="3"/>
        <v>0.12</v>
      </c>
      <c r="W26" s="1">
        <f t="shared" si="4"/>
        <v>0.23499999999999999</v>
      </c>
      <c r="X26" s="1">
        <f t="shared" si="5"/>
        <v>0.34899999999999998</v>
      </c>
    </row>
    <row r="27" spans="1:24" ht="15.5" thickTop="1" thickBot="1" x14ac:dyDescent="0.4">
      <c r="A27" s="5" t="str">
        <f t="shared" si="7"/>
        <v>2027Q4</v>
      </c>
      <c r="B27" s="2">
        <f t="shared" si="10"/>
        <v>114.04900000000001</v>
      </c>
      <c r="C27" s="3">
        <f t="shared" si="10"/>
        <v>125.563</v>
      </c>
      <c r="D27" s="2">
        <f t="shared" si="10"/>
        <v>137.077</v>
      </c>
      <c r="E27" s="2">
        <f t="shared" si="11"/>
        <v>0.12</v>
      </c>
      <c r="F27" s="3">
        <f t="shared" si="11"/>
        <v>0.23499999999999999</v>
      </c>
      <c r="G27" s="2">
        <f t="shared" si="11"/>
        <v>0.34899999999999998</v>
      </c>
      <c r="K27" s="14" t="s">
        <v>100</v>
      </c>
      <c r="L27" s="59">
        <v>115.48942486679729</v>
      </c>
      <c r="M27" s="59">
        <v>103.97558549932747</v>
      </c>
      <c r="N27" s="59">
        <v>127.00326423426714</v>
      </c>
      <c r="O27" s="1">
        <f t="shared" si="0"/>
        <v>103.976</v>
      </c>
      <c r="P27" s="1">
        <f t="shared" si="1"/>
        <v>115.489</v>
      </c>
      <c r="Q27" s="1">
        <f t="shared" si="2"/>
        <v>127.003</v>
      </c>
      <c r="R27" s="14" t="str">
        <f t="shared" si="6"/>
        <v>2028Q1</v>
      </c>
      <c r="S27" s="42">
        <v>0.2314555144513997</v>
      </c>
      <c r="T27" s="42">
        <v>0.11462935072049005</v>
      </c>
      <c r="U27" s="42">
        <v>0.34828167818230932</v>
      </c>
      <c r="V27" s="1">
        <f t="shared" si="3"/>
        <v>0.115</v>
      </c>
      <c r="W27" s="1">
        <f t="shared" si="4"/>
        <v>0.23100000000000001</v>
      </c>
      <c r="X27" s="1">
        <f t="shared" si="5"/>
        <v>0.34799999999999998</v>
      </c>
    </row>
    <row r="28" spans="1:24" ht="15.5" thickTop="1" thickBot="1" x14ac:dyDescent="0.4">
      <c r="A28" s="5" t="str">
        <f t="shared" si="7"/>
        <v>2028Q1</v>
      </c>
      <c r="B28" s="2">
        <f t="shared" si="10"/>
        <v>103.976</v>
      </c>
      <c r="C28" s="3">
        <f t="shared" si="10"/>
        <v>115.489</v>
      </c>
      <c r="D28" s="2">
        <f t="shared" si="10"/>
        <v>127.003</v>
      </c>
      <c r="E28" s="2">
        <f t="shared" si="11"/>
        <v>0.115</v>
      </c>
      <c r="F28" s="3">
        <f t="shared" si="11"/>
        <v>0.23100000000000001</v>
      </c>
      <c r="G28" s="2">
        <f t="shared" si="11"/>
        <v>0.34799999999999998</v>
      </c>
      <c r="K28" s="14" t="s">
        <v>101</v>
      </c>
      <c r="L28" s="59">
        <v>128.3689597857211</v>
      </c>
      <c r="M28" s="59">
        <v>116.85512041825125</v>
      </c>
      <c r="N28" s="59">
        <v>139.88279915319094</v>
      </c>
      <c r="O28" s="1">
        <f t="shared" si="0"/>
        <v>116.855</v>
      </c>
      <c r="P28" s="1">
        <f t="shared" si="1"/>
        <v>128.369</v>
      </c>
      <c r="Q28" s="1">
        <f t="shared" si="2"/>
        <v>139.88300000000001</v>
      </c>
      <c r="R28" s="14" t="str">
        <f t="shared" si="6"/>
        <v>2028Q2</v>
      </c>
      <c r="S28" s="42">
        <v>0.23870497799901749</v>
      </c>
      <c r="T28" s="42">
        <v>0.11955072144845906</v>
      </c>
      <c r="U28" s="42">
        <v>0.35785923454957597</v>
      </c>
      <c r="V28" s="1">
        <f t="shared" si="3"/>
        <v>0.12</v>
      </c>
      <c r="W28" s="1">
        <f t="shared" si="4"/>
        <v>0.23899999999999999</v>
      </c>
      <c r="X28" s="1">
        <f t="shared" si="5"/>
        <v>0.35799999999999998</v>
      </c>
    </row>
    <row r="29" spans="1:24" ht="15.5" thickTop="1" thickBot="1" x14ac:dyDescent="0.4">
      <c r="A29" s="5" t="str">
        <f t="shared" si="7"/>
        <v>2028Q2</v>
      </c>
      <c r="B29" s="2">
        <f t="shared" si="10"/>
        <v>116.855</v>
      </c>
      <c r="C29" s="3">
        <f t="shared" si="10"/>
        <v>128.369</v>
      </c>
      <c r="D29" s="2">
        <f t="shared" si="10"/>
        <v>139.88300000000001</v>
      </c>
      <c r="E29" s="2">
        <f t="shared" si="11"/>
        <v>0.12</v>
      </c>
      <c r="F29" s="3">
        <f t="shared" si="11"/>
        <v>0.23899999999999999</v>
      </c>
      <c r="G29" s="2">
        <f t="shared" si="11"/>
        <v>0.35799999999999998</v>
      </c>
      <c r="K29" s="14" t="s">
        <v>102</v>
      </c>
      <c r="L29" s="59">
        <v>125.37068828755382</v>
      </c>
      <c r="M29" s="59">
        <v>113.85684892008396</v>
      </c>
      <c r="N29" s="59">
        <v>136.88452765502367</v>
      </c>
      <c r="O29" s="1">
        <f t="shared" si="0"/>
        <v>113.857</v>
      </c>
      <c r="P29" s="1">
        <f t="shared" si="1"/>
        <v>125.371</v>
      </c>
      <c r="Q29" s="1">
        <f t="shared" si="2"/>
        <v>136.88499999999999</v>
      </c>
      <c r="R29" s="14" t="str">
        <f t="shared" si="6"/>
        <v>2028Q3</v>
      </c>
      <c r="S29" s="42">
        <v>0.23761749808529645</v>
      </c>
      <c r="T29" s="42">
        <v>0.11617977258423502</v>
      </c>
      <c r="U29" s="42">
        <v>0.35905522358635783</v>
      </c>
      <c r="V29" s="1">
        <f t="shared" si="3"/>
        <v>0.11600000000000001</v>
      </c>
      <c r="W29" s="1">
        <f t="shared" si="4"/>
        <v>0.23799999999999999</v>
      </c>
      <c r="X29" s="1">
        <f t="shared" si="5"/>
        <v>0.35899999999999999</v>
      </c>
    </row>
    <row r="30" spans="1:24" ht="15.5" thickTop="1" thickBot="1" x14ac:dyDescent="0.4">
      <c r="A30" s="5" t="str">
        <f t="shared" si="7"/>
        <v>2028Q3</v>
      </c>
      <c r="B30" s="2">
        <f t="shared" si="10"/>
        <v>113.857</v>
      </c>
      <c r="C30" s="3">
        <f t="shared" si="10"/>
        <v>125.371</v>
      </c>
      <c r="D30" s="2">
        <f t="shared" si="10"/>
        <v>136.88499999999999</v>
      </c>
      <c r="E30" s="2">
        <f t="shared" si="11"/>
        <v>0.11600000000000001</v>
      </c>
      <c r="F30" s="3">
        <f t="shared" si="11"/>
        <v>0.23799999999999999</v>
      </c>
      <c r="G30" s="2">
        <f t="shared" si="11"/>
        <v>0.35899999999999999</v>
      </c>
      <c r="K30" s="14" t="s">
        <v>103</v>
      </c>
      <c r="L30" s="59">
        <v>125.72201798637711</v>
      </c>
      <c r="M30" s="59">
        <v>114.20817861890725</v>
      </c>
      <c r="N30" s="59">
        <v>137.235857353847</v>
      </c>
      <c r="O30" s="1">
        <f t="shared" si="0"/>
        <v>114.208</v>
      </c>
      <c r="P30" s="1">
        <f t="shared" si="1"/>
        <v>125.72199999999999</v>
      </c>
      <c r="Q30" s="1">
        <f t="shared" si="2"/>
        <v>137.23599999999999</v>
      </c>
      <c r="R30" s="14" t="str">
        <f t="shared" si="6"/>
        <v>2028Q4</v>
      </c>
      <c r="S30" s="42">
        <v>0.24070463843568071</v>
      </c>
      <c r="T30" s="42">
        <v>0.11702559616809842</v>
      </c>
      <c r="U30" s="42">
        <v>0.36438368070326299</v>
      </c>
      <c r="V30" s="1">
        <f t="shared" si="3"/>
        <v>0.11700000000000001</v>
      </c>
      <c r="W30" s="1">
        <f t="shared" si="4"/>
        <v>0.24099999999999999</v>
      </c>
      <c r="X30" s="1">
        <f t="shared" si="5"/>
        <v>0.36399999999999999</v>
      </c>
    </row>
    <row r="31" spans="1:24" ht="15.5" thickTop="1" thickBot="1" x14ac:dyDescent="0.4">
      <c r="A31" s="5" t="str">
        <f t="shared" si="7"/>
        <v>2028Q4</v>
      </c>
      <c r="B31" s="2">
        <f t="shared" si="10"/>
        <v>114.208</v>
      </c>
      <c r="C31" s="3">
        <f t="shared" si="10"/>
        <v>125.72199999999999</v>
      </c>
      <c r="D31" s="2">
        <f t="shared" si="10"/>
        <v>137.23599999999999</v>
      </c>
      <c r="E31" s="2">
        <f t="shared" si="11"/>
        <v>0.11700000000000001</v>
      </c>
      <c r="F31" s="3">
        <f t="shared" si="11"/>
        <v>0.24099999999999999</v>
      </c>
      <c r="G31" s="2">
        <f t="shared" si="11"/>
        <v>0.36399999999999999</v>
      </c>
      <c r="K31" s="14" t="s">
        <v>104</v>
      </c>
      <c r="L31" s="59">
        <v>115.64853301019693</v>
      </c>
      <c r="M31" s="59">
        <v>104.13469364272707</v>
      </c>
      <c r="N31" s="59">
        <v>127.1623723776668</v>
      </c>
      <c r="O31" s="1">
        <f t="shared" si="0"/>
        <v>104.13500000000001</v>
      </c>
      <c r="P31" s="1">
        <f t="shared" si="1"/>
        <v>115.649</v>
      </c>
      <c r="Q31" s="1">
        <f t="shared" si="2"/>
        <v>127.16200000000001</v>
      </c>
      <c r="R31" s="14" t="str">
        <f t="shared" si="6"/>
        <v>2029Q1</v>
      </c>
      <c r="S31" s="42">
        <v>0.23736925718871305</v>
      </c>
      <c r="T31" s="42">
        <v>0.11148879874777765</v>
      </c>
      <c r="U31" s="42">
        <v>0.36324971562964842</v>
      </c>
      <c r="V31" s="1">
        <f t="shared" si="3"/>
        <v>0.111</v>
      </c>
      <c r="W31" s="1">
        <f t="shared" si="4"/>
        <v>0.23699999999999999</v>
      </c>
      <c r="X31" s="1">
        <f t="shared" si="5"/>
        <v>0.36299999999999999</v>
      </c>
    </row>
    <row r="32" spans="1:24" ht="15.5" thickTop="1" thickBot="1" x14ac:dyDescent="0.4">
      <c r="A32" s="5" t="str">
        <f t="shared" si="7"/>
        <v>2029Q1</v>
      </c>
      <c r="B32" s="2">
        <f t="shared" si="10"/>
        <v>104.13500000000001</v>
      </c>
      <c r="C32" s="3">
        <f t="shared" si="10"/>
        <v>115.649</v>
      </c>
      <c r="D32" s="2">
        <f t="shared" si="10"/>
        <v>127.16200000000001</v>
      </c>
      <c r="E32" s="2">
        <f t="shared" si="11"/>
        <v>0.111</v>
      </c>
      <c r="F32" s="3">
        <f t="shared" si="11"/>
        <v>0.23699999999999999</v>
      </c>
      <c r="G32" s="2">
        <f t="shared" si="11"/>
        <v>0.36299999999999999</v>
      </c>
      <c r="K32" s="14" t="s">
        <v>105</v>
      </c>
      <c r="L32" s="59">
        <v>128.52806786304799</v>
      </c>
      <c r="M32" s="59">
        <v>117.01422849557815</v>
      </c>
      <c r="N32" s="59">
        <v>140.04190723051786</v>
      </c>
      <c r="O32" s="1">
        <f t="shared" si="0"/>
        <v>117.014</v>
      </c>
      <c r="P32" s="1">
        <f t="shared" si="1"/>
        <v>128.52799999999999</v>
      </c>
      <c r="Q32" s="1">
        <f t="shared" si="2"/>
        <v>140.042</v>
      </c>
      <c r="R32" s="14" t="str">
        <f t="shared" si="6"/>
        <v>2029Q2</v>
      </c>
      <c r="S32" s="42">
        <v>0.24461872075744898</v>
      </c>
      <c r="T32" s="42">
        <v>0.11657468872742506</v>
      </c>
      <c r="U32" s="42">
        <v>0.37266275278747296</v>
      </c>
      <c r="V32" s="1">
        <f t="shared" si="3"/>
        <v>0.11700000000000001</v>
      </c>
      <c r="W32" s="1">
        <f t="shared" si="4"/>
        <v>0.245</v>
      </c>
      <c r="X32" s="1">
        <f t="shared" si="5"/>
        <v>0.373</v>
      </c>
    </row>
    <row r="33" spans="1:24" ht="15.5" thickTop="1" thickBot="1" x14ac:dyDescent="0.4">
      <c r="A33" s="5" t="str">
        <f t="shared" si="7"/>
        <v>2029Q2</v>
      </c>
      <c r="B33" s="2">
        <f t="shared" si="10"/>
        <v>117.014</v>
      </c>
      <c r="C33" s="3">
        <f t="shared" si="10"/>
        <v>128.52799999999999</v>
      </c>
      <c r="D33" s="2">
        <f t="shared" si="10"/>
        <v>140.042</v>
      </c>
      <c r="E33" s="2">
        <f t="shared" si="11"/>
        <v>0.11700000000000001</v>
      </c>
      <c r="F33" s="3">
        <f t="shared" si="11"/>
        <v>0.245</v>
      </c>
      <c r="G33" s="2">
        <f t="shared" si="11"/>
        <v>0.373</v>
      </c>
      <c r="K33" s="14" t="s">
        <v>106</v>
      </c>
      <c r="L33" s="59">
        <v>125.52979633093965</v>
      </c>
      <c r="M33" s="59">
        <v>114.01595696346979</v>
      </c>
      <c r="N33" s="59">
        <v>137.0436356984095</v>
      </c>
      <c r="O33" s="1">
        <f t="shared" si="0"/>
        <v>114.01600000000001</v>
      </c>
      <c r="P33" s="1">
        <f t="shared" si="1"/>
        <v>125.53</v>
      </c>
      <c r="Q33" s="1">
        <f t="shared" si="2"/>
        <v>137.04400000000001</v>
      </c>
      <c r="R33" s="14" t="str">
        <f t="shared" si="6"/>
        <v>2029Q3</v>
      </c>
      <c r="S33" s="42">
        <v>0.24353124083382297</v>
      </c>
      <c r="T33" s="42">
        <v>0.11335959084946738</v>
      </c>
      <c r="U33" s="42">
        <v>0.37370289081817848</v>
      </c>
      <c r="V33" s="1">
        <f t="shared" si="3"/>
        <v>0.113</v>
      </c>
      <c r="W33" s="1">
        <f t="shared" si="4"/>
        <v>0.24399999999999999</v>
      </c>
      <c r="X33" s="1">
        <f t="shared" si="5"/>
        <v>0.374</v>
      </c>
    </row>
    <row r="34" spans="1:24" ht="15.5" thickTop="1" thickBot="1" x14ac:dyDescent="0.4">
      <c r="A34" s="5" t="str">
        <f t="shared" si="7"/>
        <v>2029Q3</v>
      </c>
      <c r="B34" s="2">
        <f t="shared" si="10"/>
        <v>114.01600000000001</v>
      </c>
      <c r="C34" s="3">
        <f t="shared" si="10"/>
        <v>125.53</v>
      </c>
      <c r="D34" s="2">
        <f t="shared" si="10"/>
        <v>137.04400000000001</v>
      </c>
      <c r="E34" s="2">
        <f t="shared" si="11"/>
        <v>0.113</v>
      </c>
      <c r="F34" s="3">
        <f t="shared" si="11"/>
        <v>0.24399999999999999</v>
      </c>
      <c r="G34" s="2">
        <f t="shared" si="11"/>
        <v>0.374</v>
      </c>
      <c r="K34" s="14" t="s">
        <v>107</v>
      </c>
      <c r="L34" s="59">
        <v>125.88112601232763</v>
      </c>
      <c r="M34" s="59">
        <v>114.36728664485777</v>
      </c>
      <c r="N34" s="59">
        <v>137.3949653797975</v>
      </c>
      <c r="O34" s="1">
        <f t="shared" si="0"/>
        <v>114.367</v>
      </c>
      <c r="P34" s="1">
        <f t="shared" si="1"/>
        <v>125.881</v>
      </c>
      <c r="Q34" s="1">
        <f t="shared" si="2"/>
        <v>137.39500000000001</v>
      </c>
      <c r="R34" s="14" t="str">
        <f t="shared" si="6"/>
        <v>2029Q4</v>
      </c>
      <c r="S34" s="42">
        <v>0.24661838118885299</v>
      </c>
      <c r="T34" s="42">
        <v>0.11435333372421694</v>
      </c>
      <c r="U34" s="42">
        <v>0.37888342865348901</v>
      </c>
      <c r="V34" s="1">
        <f t="shared" si="3"/>
        <v>0.114</v>
      </c>
      <c r="W34" s="1">
        <f t="shared" si="4"/>
        <v>0.247</v>
      </c>
      <c r="X34" s="1">
        <f t="shared" si="5"/>
        <v>0.379</v>
      </c>
    </row>
    <row r="35" spans="1:24" ht="13" thickTop="1" thickBot="1" x14ac:dyDescent="0.35">
      <c r="A35" s="5" t="str">
        <f t="shared" si="7"/>
        <v>2029Q4</v>
      </c>
      <c r="B35" s="2">
        <f t="shared" si="10"/>
        <v>114.367</v>
      </c>
      <c r="C35" s="3">
        <f t="shared" si="10"/>
        <v>125.881</v>
      </c>
      <c r="D35" s="2">
        <f t="shared" si="10"/>
        <v>137.39500000000001</v>
      </c>
      <c r="E35" s="2">
        <f t="shared" si="11"/>
        <v>0.114</v>
      </c>
      <c r="F35" s="3">
        <f t="shared" si="11"/>
        <v>0.247</v>
      </c>
      <c r="G35" s="2">
        <f t="shared" si="11"/>
        <v>0.379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123.25775</v>
      </c>
      <c r="F38" s="1">
        <f>AVERAGE(F4:F35)</f>
        <v>0.22246875000000002</v>
      </c>
    </row>
    <row r="40" spans="1:24" ht="12.5" thickBot="1" x14ac:dyDescent="0.35"/>
    <row r="41" spans="1:24" ht="15.5" thickTop="1" thickBot="1" x14ac:dyDescent="0.4">
      <c r="A41" s="29" t="s">
        <v>56</v>
      </c>
      <c r="B41" s="30"/>
      <c r="C41" s="30"/>
      <c r="D41" s="30"/>
      <c r="E41" s="30"/>
      <c r="F41" s="30"/>
      <c r="G41" s="30"/>
      <c r="K41" s="29" t="s">
        <v>31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111.032</v>
      </c>
      <c r="D44" s="6"/>
      <c r="E44" s="6"/>
      <c r="F44" s="9">
        <f>ROUND(F4-((G4-F4)*(0.5/2)),3)</f>
        <v>0.192</v>
      </c>
      <c r="G44" s="6"/>
      <c r="K44" s="7" t="str">
        <f>A4</f>
        <v>2022Q1</v>
      </c>
      <c r="L44" s="6"/>
      <c r="M44" s="9">
        <f>ROUND(C4-((D4-C4)*(1/2)),3)</f>
        <v>108.81100000000001</v>
      </c>
      <c r="N44" s="6"/>
      <c r="O44" s="6"/>
      <c r="P44" s="9">
        <f>ROUND(F4-((G4-F4)*(1/2)),3)</f>
        <v>0.187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124.035</v>
      </c>
      <c r="D45" s="6"/>
      <c r="E45" s="6"/>
      <c r="F45" s="9">
        <f t="shared" ref="F45:F75" si="14">ROUND(F5-((G5-F5)*(0.5/2)),3)</f>
        <v>0.19500000000000001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121.315</v>
      </c>
      <c r="N45" s="6"/>
      <c r="O45" s="6"/>
      <c r="P45" s="9">
        <f t="shared" ref="P45:P75" si="17">ROUND(F5-((G5-F5)*(1/2)),3)</f>
        <v>0.187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121.24</v>
      </c>
      <c r="D46" s="6"/>
      <c r="E46" s="6"/>
      <c r="F46" s="9">
        <f t="shared" si="14"/>
        <v>0.192</v>
      </c>
      <c r="G46" s="6"/>
      <c r="K46" s="7" t="str">
        <f t="shared" si="15"/>
        <v>2022Q3</v>
      </c>
      <c r="L46" s="6"/>
      <c r="M46" s="9">
        <f t="shared" si="16"/>
        <v>118.40300000000001</v>
      </c>
      <c r="N46" s="6"/>
      <c r="O46" s="6"/>
      <c r="P46" s="9">
        <f t="shared" si="17"/>
        <v>0.182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121.726</v>
      </c>
      <c r="D47" s="6"/>
      <c r="E47" s="6"/>
      <c r="F47" s="9">
        <f t="shared" si="14"/>
        <v>0.19400000000000001</v>
      </c>
      <c r="G47" s="6"/>
      <c r="K47" s="7" t="str">
        <f t="shared" si="15"/>
        <v>2022Q4</v>
      </c>
      <c r="L47" s="6"/>
      <c r="M47" s="9">
        <f t="shared" si="16"/>
        <v>118.85899999999999</v>
      </c>
      <c r="N47" s="6"/>
      <c r="O47" s="6"/>
      <c r="P47" s="9">
        <f t="shared" si="17"/>
        <v>0.182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111.73</v>
      </c>
      <c r="D48" s="6"/>
      <c r="E48" s="6"/>
      <c r="F48" s="9">
        <f t="shared" si="14"/>
        <v>0.189</v>
      </c>
      <c r="G48" s="6"/>
      <c r="K48" s="7" t="str">
        <f t="shared" si="15"/>
        <v>2023Q1</v>
      </c>
      <c r="L48" s="6"/>
      <c r="M48" s="9">
        <f t="shared" si="16"/>
        <v>108.854</v>
      </c>
      <c r="N48" s="6"/>
      <c r="O48" s="6"/>
      <c r="P48" s="9">
        <f t="shared" si="17"/>
        <v>0.17599999999999999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124.651</v>
      </c>
      <c r="D49" s="6"/>
      <c r="E49" s="6"/>
      <c r="F49" s="9">
        <f t="shared" si="14"/>
        <v>0.19500000000000001</v>
      </c>
      <c r="G49" s="6"/>
      <c r="K49" s="7" t="str">
        <f t="shared" si="15"/>
        <v>2023Q2</v>
      </c>
      <c r="L49" s="6"/>
      <c r="M49" s="9">
        <f t="shared" si="16"/>
        <v>121.773</v>
      </c>
      <c r="N49" s="6"/>
      <c r="O49" s="6"/>
      <c r="P49" s="9">
        <f t="shared" si="17"/>
        <v>0.18099999999999999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121.67400000000001</v>
      </c>
      <c r="D50" s="6"/>
      <c r="E50" s="6"/>
      <c r="F50" s="9">
        <f t="shared" si="14"/>
        <v>0.193</v>
      </c>
      <c r="G50" s="6"/>
      <c r="K50" s="7" t="str">
        <f t="shared" si="15"/>
        <v>2023Q3</v>
      </c>
      <c r="L50" s="6"/>
      <c r="M50" s="9">
        <f t="shared" si="16"/>
        <v>118.79600000000001</v>
      </c>
      <c r="N50" s="6"/>
      <c r="O50" s="6"/>
      <c r="P50" s="9">
        <f t="shared" si="17"/>
        <v>0.17799999999999999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122.036</v>
      </c>
      <c r="D51" s="6"/>
      <c r="E51" s="6"/>
      <c r="F51" s="9">
        <f t="shared" si="14"/>
        <v>0.19500000000000001</v>
      </c>
      <c r="G51" s="6"/>
      <c r="K51" s="7" t="str">
        <f t="shared" si="15"/>
        <v>2023Q4</v>
      </c>
      <c r="L51" s="6"/>
      <c r="M51" s="9">
        <f t="shared" si="16"/>
        <v>119.157</v>
      </c>
      <c r="N51" s="6"/>
      <c r="O51" s="6"/>
      <c r="P51" s="9">
        <f t="shared" si="17"/>
        <v>0.17799999999999999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111.96899999999999</v>
      </c>
      <c r="D52" s="6"/>
      <c r="E52" s="6"/>
      <c r="F52" s="9">
        <f t="shared" si="14"/>
        <v>0.191</v>
      </c>
      <c r="G52" s="6"/>
      <c r="K52" s="7" t="str">
        <f t="shared" si="15"/>
        <v>2024Q1</v>
      </c>
      <c r="L52" s="6"/>
      <c r="M52" s="9">
        <f t="shared" si="16"/>
        <v>109.09</v>
      </c>
      <c r="N52" s="6"/>
      <c r="O52" s="6"/>
      <c r="P52" s="9">
        <f t="shared" si="17"/>
        <v>0.17299999999999999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124.851</v>
      </c>
      <c r="D53" s="6"/>
      <c r="E53" s="6"/>
      <c r="F53" s="9">
        <f t="shared" si="14"/>
        <v>0.19700000000000001</v>
      </c>
      <c r="G53" s="6"/>
      <c r="K53" s="7" t="str">
        <f t="shared" si="15"/>
        <v>2024Q2</v>
      </c>
      <c r="L53" s="6"/>
      <c r="M53" s="9">
        <f t="shared" si="16"/>
        <v>121.97199999999999</v>
      </c>
      <c r="N53" s="6"/>
      <c r="O53" s="6"/>
      <c r="P53" s="9">
        <f t="shared" si="17"/>
        <v>0.17799999999999999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121.855</v>
      </c>
      <c r="D54" s="6"/>
      <c r="E54" s="6"/>
      <c r="F54" s="9">
        <f t="shared" si="14"/>
        <v>0.19500000000000001</v>
      </c>
      <c r="G54" s="6"/>
      <c r="K54" s="7" t="str">
        <f t="shared" si="15"/>
        <v>2024Q3</v>
      </c>
      <c r="L54" s="6"/>
      <c r="M54" s="9">
        <f t="shared" si="16"/>
        <v>118.977</v>
      </c>
      <c r="N54" s="6"/>
      <c r="O54" s="6"/>
      <c r="P54" s="9">
        <f t="shared" si="17"/>
        <v>0.17599999999999999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122.20699999999999</v>
      </c>
      <c r="D55" s="6"/>
      <c r="E55" s="6"/>
      <c r="F55" s="9">
        <f t="shared" si="14"/>
        <v>0.19700000000000001</v>
      </c>
      <c r="G55" s="6"/>
      <c r="K55" s="7" t="str">
        <f t="shared" si="15"/>
        <v>2024Q4</v>
      </c>
      <c r="L55" s="6"/>
      <c r="M55" s="9">
        <f t="shared" si="16"/>
        <v>119.328</v>
      </c>
      <c r="N55" s="6"/>
      <c r="O55" s="6"/>
      <c r="P55" s="9">
        <f t="shared" si="17"/>
        <v>0.17699999999999999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112.134</v>
      </c>
      <c r="D56" s="6"/>
      <c r="E56" s="6"/>
      <c r="F56" s="9">
        <f t="shared" si="14"/>
        <v>0.193</v>
      </c>
      <c r="G56" s="6"/>
      <c r="K56" s="7" t="str">
        <f t="shared" si="15"/>
        <v>2025Q1</v>
      </c>
      <c r="L56" s="6"/>
      <c r="M56" s="9">
        <f t="shared" si="16"/>
        <v>109.255</v>
      </c>
      <c r="N56" s="6"/>
      <c r="O56" s="6"/>
      <c r="P56" s="9">
        <f t="shared" si="17"/>
        <v>0.17199999999999999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125.01300000000001</v>
      </c>
      <c r="D57" s="6"/>
      <c r="E57" s="6"/>
      <c r="F57" s="9">
        <f t="shared" si="14"/>
        <v>0.19900000000000001</v>
      </c>
      <c r="G57" s="6"/>
      <c r="K57" s="7" t="str">
        <f t="shared" si="15"/>
        <v>2025Q2</v>
      </c>
      <c r="L57" s="6"/>
      <c r="M57" s="9">
        <f t="shared" si="16"/>
        <v>122.134</v>
      </c>
      <c r="N57" s="6"/>
      <c r="O57" s="6"/>
      <c r="P57" s="9">
        <f t="shared" si="17"/>
        <v>0.17799999999999999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122.015</v>
      </c>
      <c r="D58" s="6"/>
      <c r="E58" s="6"/>
      <c r="F58" s="9">
        <f t="shared" si="14"/>
        <v>0.19800000000000001</v>
      </c>
      <c r="G58" s="6"/>
      <c r="K58" s="7" t="str">
        <f t="shared" si="15"/>
        <v>2025Q3</v>
      </c>
      <c r="L58" s="6"/>
      <c r="M58" s="9">
        <f t="shared" si="16"/>
        <v>119.136</v>
      </c>
      <c r="N58" s="6"/>
      <c r="O58" s="6"/>
      <c r="P58" s="9">
        <f t="shared" si="17"/>
        <v>0.17499999999999999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122.367</v>
      </c>
      <c r="D59" s="6"/>
      <c r="E59" s="6"/>
      <c r="F59" s="9">
        <f t="shared" si="14"/>
        <v>0.2</v>
      </c>
      <c r="G59" s="6"/>
      <c r="K59" s="7" t="str">
        <f t="shared" si="15"/>
        <v>2025Q4</v>
      </c>
      <c r="L59" s="6"/>
      <c r="M59" s="9">
        <f t="shared" si="16"/>
        <v>119.489</v>
      </c>
      <c r="N59" s="6"/>
      <c r="O59" s="6"/>
      <c r="P59" s="9">
        <f t="shared" si="17"/>
        <v>0.17699999999999999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112.29300000000001</v>
      </c>
      <c r="D60" s="6"/>
      <c r="E60" s="6"/>
      <c r="F60" s="9">
        <f t="shared" si="14"/>
        <v>0.19600000000000001</v>
      </c>
      <c r="G60" s="6"/>
      <c r="K60" s="7" t="str">
        <f t="shared" si="15"/>
        <v>2026Q1</v>
      </c>
      <c r="L60" s="6"/>
      <c r="M60" s="9">
        <f t="shared" si="16"/>
        <v>109.414</v>
      </c>
      <c r="N60" s="6"/>
      <c r="O60" s="6"/>
      <c r="P60" s="9">
        <f t="shared" si="17"/>
        <v>0.17199999999999999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125.173</v>
      </c>
      <c r="D61" s="6"/>
      <c r="E61" s="6"/>
      <c r="F61" s="9">
        <f t="shared" si="14"/>
        <v>0.20200000000000001</v>
      </c>
      <c r="G61" s="6"/>
      <c r="K61" s="7" t="str">
        <f t="shared" si="15"/>
        <v>2026Q2</v>
      </c>
      <c r="L61" s="6"/>
      <c r="M61" s="9">
        <f t="shared" si="16"/>
        <v>122.294</v>
      </c>
      <c r="N61" s="6"/>
      <c r="O61" s="6"/>
      <c r="P61" s="9">
        <f t="shared" si="17"/>
        <v>0.17799999999999999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122.17400000000001</v>
      </c>
      <c r="D62" s="6"/>
      <c r="E62" s="6"/>
      <c r="F62" s="9">
        <f t="shared" si="14"/>
        <v>0.20100000000000001</v>
      </c>
      <c r="G62" s="6"/>
      <c r="K62" s="7" t="str">
        <f t="shared" si="15"/>
        <v>2026Q3</v>
      </c>
      <c r="L62" s="6"/>
      <c r="M62" s="9">
        <f t="shared" si="16"/>
        <v>119.295</v>
      </c>
      <c r="N62" s="6"/>
      <c r="O62" s="6"/>
      <c r="P62" s="9">
        <f t="shared" si="17"/>
        <v>0.17499999999999999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122.526</v>
      </c>
      <c r="D63" s="6"/>
      <c r="E63" s="6"/>
      <c r="F63" s="9">
        <f t="shared" si="14"/>
        <v>0.20300000000000001</v>
      </c>
      <c r="G63" s="6"/>
      <c r="K63" s="7" t="str">
        <f t="shared" si="15"/>
        <v>2026Q4</v>
      </c>
      <c r="L63" s="6"/>
      <c r="M63" s="9">
        <f t="shared" si="16"/>
        <v>119.64700000000001</v>
      </c>
      <c r="N63" s="6"/>
      <c r="O63" s="6"/>
      <c r="P63" s="9">
        <f t="shared" si="17"/>
        <v>0.17699999999999999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112.452</v>
      </c>
      <c r="D64" s="6"/>
      <c r="E64" s="6"/>
      <c r="F64" s="9">
        <f t="shared" si="14"/>
        <v>0.19900000000000001</v>
      </c>
      <c r="G64" s="6"/>
      <c r="K64" s="7" t="str">
        <f t="shared" si="15"/>
        <v>2027Q1</v>
      </c>
      <c r="L64" s="6"/>
      <c r="M64" s="9">
        <f t="shared" si="16"/>
        <v>109.57299999999999</v>
      </c>
      <c r="N64" s="6"/>
      <c r="O64" s="6"/>
      <c r="P64" s="9">
        <f t="shared" si="17"/>
        <v>0.17299999999999999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125.33199999999999</v>
      </c>
      <c r="D65" s="6"/>
      <c r="E65" s="6"/>
      <c r="F65" s="9">
        <f t="shared" si="14"/>
        <v>0.20599999999999999</v>
      </c>
      <c r="G65" s="6"/>
      <c r="K65" s="7" t="str">
        <f t="shared" si="15"/>
        <v>2027Q2</v>
      </c>
      <c r="L65" s="6"/>
      <c r="M65" s="9">
        <f t="shared" si="16"/>
        <v>122.453</v>
      </c>
      <c r="N65" s="6"/>
      <c r="O65" s="6"/>
      <c r="P65" s="9">
        <f t="shared" si="17"/>
        <v>0.17899999999999999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122.334</v>
      </c>
      <c r="D66" s="6"/>
      <c r="E66" s="6"/>
      <c r="F66" s="9">
        <f t="shared" si="14"/>
        <v>0.20399999999999999</v>
      </c>
      <c r="G66" s="6"/>
      <c r="K66" s="7" t="str">
        <f t="shared" si="15"/>
        <v>2027Q3</v>
      </c>
      <c r="L66" s="6"/>
      <c r="M66" s="9">
        <f t="shared" si="16"/>
        <v>119.456</v>
      </c>
      <c r="N66" s="6"/>
      <c r="O66" s="6"/>
      <c r="P66" s="9">
        <f t="shared" si="17"/>
        <v>0.17599999999999999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122.685</v>
      </c>
      <c r="D67" s="6"/>
      <c r="E67" s="6"/>
      <c r="F67" s="9">
        <f t="shared" si="14"/>
        <v>0.20699999999999999</v>
      </c>
      <c r="G67" s="6"/>
      <c r="K67" s="7" t="str">
        <f t="shared" si="15"/>
        <v>2027Q4</v>
      </c>
      <c r="L67" s="6"/>
      <c r="M67" s="9">
        <f t="shared" si="16"/>
        <v>119.806</v>
      </c>
      <c r="N67" s="6"/>
      <c r="O67" s="6"/>
      <c r="P67" s="9">
        <f t="shared" si="17"/>
        <v>0.17799999999999999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112.611</v>
      </c>
      <c r="D68" s="6"/>
      <c r="E68" s="6"/>
      <c r="F68" s="9">
        <f t="shared" si="14"/>
        <v>0.20200000000000001</v>
      </c>
      <c r="G68" s="6"/>
      <c r="K68" s="7" t="str">
        <f t="shared" si="15"/>
        <v>2028Q1</v>
      </c>
      <c r="L68" s="6"/>
      <c r="M68" s="9">
        <f t="shared" si="16"/>
        <v>109.732</v>
      </c>
      <c r="N68" s="6"/>
      <c r="O68" s="6"/>
      <c r="P68" s="9">
        <f t="shared" si="17"/>
        <v>0.17299999999999999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125.491</v>
      </c>
      <c r="D69" s="6"/>
      <c r="E69" s="6"/>
      <c r="F69" s="9">
        <f t="shared" si="14"/>
        <v>0.20899999999999999</v>
      </c>
      <c r="G69" s="6"/>
      <c r="K69" s="7" t="str">
        <f t="shared" si="15"/>
        <v>2028Q2</v>
      </c>
      <c r="L69" s="6"/>
      <c r="M69" s="9">
        <f t="shared" si="16"/>
        <v>122.61199999999999</v>
      </c>
      <c r="N69" s="6"/>
      <c r="O69" s="6"/>
      <c r="P69" s="9">
        <f t="shared" si="17"/>
        <v>0.18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122.49299999999999</v>
      </c>
      <c r="D70" s="6"/>
      <c r="E70" s="6"/>
      <c r="F70" s="9">
        <f t="shared" si="14"/>
        <v>0.20799999999999999</v>
      </c>
      <c r="G70" s="6"/>
      <c r="K70" s="7" t="str">
        <f t="shared" si="15"/>
        <v>2028Q3</v>
      </c>
      <c r="L70" s="6"/>
      <c r="M70" s="9">
        <f t="shared" si="16"/>
        <v>119.614</v>
      </c>
      <c r="N70" s="6"/>
      <c r="O70" s="6"/>
      <c r="P70" s="9">
        <f t="shared" si="17"/>
        <v>0.17799999999999999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122.84399999999999</v>
      </c>
      <c r="D71" s="6"/>
      <c r="E71" s="6"/>
      <c r="F71" s="9">
        <f t="shared" si="14"/>
        <v>0.21</v>
      </c>
      <c r="G71" s="6"/>
      <c r="K71" s="7" t="str">
        <f t="shared" si="15"/>
        <v>2028Q4</v>
      </c>
      <c r="L71" s="6"/>
      <c r="M71" s="9">
        <f t="shared" si="16"/>
        <v>119.965</v>
      </c>
      <c r="N71" s="6"/>
      <c r="O71" s="6"/>
      <c r="P71" s="9">
        <f t="shared" si="17"/>
        <v>0.18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112.771</v>
      </c>
      <c r="D72" s="6"/>
      <c r="E72" s="6"/>
      <c r="F72" s="9">
        <f t="shared" si="14"/>
        <v>0.20599999999999999</v>
      </c>
      <c r="G72" s="6"/>
      <c r="K72" s="7" t="str">
        <f t="shared" si="15"/>
        <v>2029Q1</v>
      </c>
      <c r="L72" s="6"/>
      <c r="M72" s="9">
        <f t="shared" si="16"/>
        <v>109.893</v>
      </c>
      <c r="N72" s="6"/>
      <c r="O72" s="6"/>
      <c r="P72" s="9">
        <f t="shared" si="17"/>
        <v>0.17399999999999999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125.65</v>
      </c>
      <c r="D73" s="6"/>
      <c r="E73" s="6"/>
      <c r="F73" s="9">
        <f t="shared" si="14"/>
        <v>0.21299999999999999</v>
      </c>
      <c r="G73" s="6"/>
      <c r="K73" s="7" t="str">
        <f t="shared" si="15"/>
        <v>2029Q2</v>
      </c>
      <c r="L73" s="6"/>
      <c r="M73" s="9">
        <f t="shared" si="16"/>
        <v>122.771</v>
      </c>
      <c r="N73" s="6"/>
      <c r="O73" s="6"/>
      <c r="P73" s="9">
        <f t="shared" si="17"/>
        <v>0.18099999999999999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122.652</v>
      </c>
      <c r="D74" s="6"/>
      <c r="E74" s="6"/>
      <c r="F74" s="9">
        <f t="shared" si="14"/>
        <v>0.21199999999999999</v>
      </c>
      <c r="G74" s="6"/>
      <c r="K74" s="7" t="str">
        <f t="shared" si="15"/>
        <v>2029Q3</v>
      </c>
      <c r="L74" s="6"/>
      <c r="M74" s="9">
        <f t="shared" si="16"/>
        <v>119.773</v>
      </c>
      <c r="N74" s="6"/>
      <c r="O74" s="6"/>
      <c r="P74" s="9">
        <f t="shared" si="17"/>
        <v>0.17899999999999999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123.003</v>
      </c>
      <c r="D75" s="6"/>
      <c r="E75" s="6"/>
      <c r="F75" s="9">
        <f t="shared" si="14"/>
        <v>0.214</v>
      </c>
      <c r="G75" s="6"/>
      <c r="K75" s="7" t="str">
        <f t="shared" si="15"/>
        <v>2029Q4</v>
      </c>
      <c r="L75" s="6"/>
      <c r="M75" s="9">
        <f t="shared" si="16"/>
        <v>120.124</v>
      </c>
      <c r="N75" s="6"/>
      <c r="O75" s="6"/>
      <c r="P75" s="9">
        <f t="shared" si="17"/>
        <v>0.18099999999999999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76"/>
  <sheetViews>
    <sheetView topLeftCell="J1"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453125" style="1" customWidth="1"/>
    <col min="14" max="15" width="9.1796875" style="1"/>
    <col min="16" max="16" width="19.81640625" style="1" customWidth="1"/>
    <col min="17" max="16384" width="9.1796875" style="1"/>
  </cols>
  <sheetData>
    <row r="1" spans="1:30" ht="13" thickTop="1" thickBot="1" x14ac:dyDescent="0.35">
      <c r="A1" s="32" t="s">
        <v>7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43">
        <v>2.4716583803322298E-2</v>
      </c>
      <c r="T3" s="43">
        <v>2.2396760791465825E-2</v>
      </c>
      <c r="U3" s="43">
        <v>2.7036406815178771E-2</v>
      </c>
      <c r="V3" s="1">
        <f t="shared" ref="V3:V34" si="3">ROUND(T3,3)</f>
        <v>2.1999999999999999E-2</v>
      </c>
      <c r="W3" s="1">
        <f t="shared" ref="W3:W34" si="4">ROUND(S3,3)</f>
        <v>2.5000000000000001E-2</v>
      </c>
      <c r="X3" s="1">
        <f t="shared" ref="X3:X34" si="5">ROUND(U3,3)</f>
        <v>2.7E-2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2.1999999999999999E-2</v>
      </c>
      <c r="F4" s="3">
        <f>W3</f>
        <v>2.5000000000000001E-2</v>
      </c>
      <c r="G4" s="2">
        <f>X3</f>
        <v>2.7E-2</v>
      </c>
      <c r="K4" s="14" t="s">
        <v>70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43">
        <v>2.5054970448045714E-2</v>
      </c>
      <c r="T4" s="43">
        <v>2.1311629019552213E-2</v>
      </c>
      <c r="U4" s="43">
        <v>2.8798311876539216E-2</v>
      </c>
      <c r="V4" s="1">
        <f t="shared" si="3"/>
        <v>2.1000000000000001E-2</v>
      </c>
      <c r="W4" s="1">
        <f t="shared" si="4"/>
        <v>2.5000000000000001E-2</v>
      </c>
      <c r="X4" s="1">
        <f t="shared" si="5"/>
        <v>2.9000000000000001E-2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2.1000000000000001E-2</v>
      </c>
      <c r="F5" s="3">
        <f t="shared" si="8"/>
        <v>2.5000000000000001E-2</v>
      </c>
      <c r="G5" s="2">
        <f t="shared" si="8"/>
        <v>2.9000000000000001E-2</v>
      </c>
      <c r="I5" s="1">
        <f>SUM(F5:F8)</f>
        <v>0.10100000000000001</v>
      </c>
      <c r="K5" s="14" t="s">
        <v>71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43">
        <v>2.4953840290337145E-2</v>
      </c>
      <c r="T5" s="43">
        <v>2.0328579985698984E-2</v>
      </c>
      <c r="U5" s="43">
        <v>2.9579100594975306E-2</v>
      </c>
      <c r="V5" s="1">
        <f t="shared" si="3"/>
        <v>0.02</v>
      </c>
      <c r="W5" s="1">
        <f t="shared" si="4"/>
        <v>2.5000000000000001E-2</v>
      </c>
      <c r="X5" s="1">
        <f t="shared" si="5"/>
        <v>0.03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0.02</v>
      </c>
      <c r="F6" s="3">
        <f t="shared" si="8"/>
        <v>2.5000000000000001E-2</v>
      </c>
      <c r="G6" s="2">
        <f t="shared" si="8"/>
        <v>0.03</v>
      </c>
      <c r="I6" s="1">
        <f>SUM(F9:F12)</f>
        <v>0.10299999999999999</v>
      </c>
      <c r="K6" s="14" t="s">
        <v>72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43">
        <v>2.5735637512156979E-2</v>
      </c>
      <c r="T6" s="43">
        <v>2.0331032945236496E-2</v>
      </c>
      <c r="U6" s="43">
        <v>3.1140242079077462E-2</v>
      </c>
      <c r="V6" s="1">
        <f t="shared" si="3"/>
        <v>0.02</v>
      </c>
      <c r="W6" s="1">
        <f t="shared" si="4"/>
        <v>2.5999999999999999E-2</v>
      </c>
      <c r="X6" s="1">
        <f t="shared" si="5"/>
        <v>3.1E-2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0.02</v>
      </c>
      <c r="F7" s="3">
        <f t="shared" si="8"/>
        <v>2.5999999999999999E-2</v>
      </c>
      <c r="G7" s="2">
        <f t="shared" si="8"/>
        <v>3.1E-2</v>
      </c>
      <c r="I7" s="1">
        <f>SUM(F13:F16)</f>
        <v>0.105</v>
      </c>
      <c r="K7" s="14" t="s">
        <v>73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43">
        <v>2.526130061388077E-2</v>
      </c>
      <c r="T7" s="43">
        <v>1.9189323898438547E-2</v>
      </c>
      <c r="U7" s="43">
        <v>3.1333277329322992E-2</v>
      </c>
      <c r="V7" s="1">
        <f t="shared" si="3"/>
        <v>1.9E-2</v>
      </c>
      <c r="W7" s="1">
        <f t="shared" si="4"/>
        <v>2.5000000000000001E-2</v>
      </c>
      <c r="X7" s="1">
        <f t="shared" si="5"/>
        <v>3.1E-2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1.9E-2</v>
      </c>
      <c r="F8" s="3">
        <f t="shared" si="8"/>
        <v>2.5000000000000001E-2</v>
      </c>
      <c r="G8" s="2">
        <f t="shared" si="8"/>
        <v>3.1E-2</v>
      </c>
      <c r="I8" s="1">
        <f>SUM(F17:F20)</f>
        <v>0.107</v>
      </c>
      <c r="K8" s="14" t="s">
        <v>74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43">
        <v>2.5524151947338692E-2</v>
      </c>
      <c r="T8" s="43">
        <v>1.8847007844228481E-2</v>
      </c>
      <c r="U8" s="43">
        <v>3.2201296050448906E-2</v>
      </c>
      <c r="V8" s="1">
        <f t="shared" si="3"/>
        <v>1.9E-2</v>
      </c>
      <c r="W8" s="1">
        <f t="shared" si="4"/>
        <v>2.5999999999999999E-2</v>
      </c>
      <c r="X8" s="1">
        <f t="shared" si="5"/>
        <v>3.2000000000000001E-2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1.9E-2</v>
      </c>
      <c r="F9" s="3">
        <f t="shared" si="8"/>
        <v>2.5999999999999999E-2</v>
      </c>
      <c r="G9" s="2">
        <f t="shared" si="8"/>
        <v>3.2000000000000001E-2</v>
      </c>
      <c r="I9" s="1">
        <f>SUM(F21:F24)</f>
        <v>0.109</v>
      </c>
      <c r="K9" s="14" t="s">
        <v>75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43">
        <v>2.5450052309871487E-2</v>
      </c>
      <c r="T9" s="43">
        <v>1.8219597962374868E-2</v>
      </c>
      <c r="U9" s="43">
        <v>3.2680506657368109E-2</v>
      </c>
      <c r="V9" s="1">
        <f t="shared" si="3"/>
        <v>1.7999999999999999E-2</v>
      </c>
      <c r="W9" s="1">
        <f t="shared" si="4"/>
        <v>2.5000000000000001E-2</v>
      </c>
      <c r="X9" s="1">
        <f t="shared" si="5"/>
        <v>3.3000000000000002E-2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1.7999999999999999E-2</v>
      </c>
      <c r="F10" s="3">
        <f t="shared" si="8"/>
        <v>2.5000000000000001E-2</v>
      </c>
      <c r="G10" s="2">
        <f t="shared" si="8"/>
        <v>3.3000000000000002E-2</v>
      </c>
      <c r="I10" s="1">
        <f>SUM(F25:F28)</f>
        <v>0.11</v>
      </c>
      <c r="K10" s="14" t="s">
        <v>76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43">
        <v>2.6222176585194146E-2</v>
      </c>
      <c r="T10" s="43">
        <v>1.8477379023600589E-2</v>
      </c>
      <c r="U10" s="43">
        <v>3.3966974146787704E-2</v>
      </c>
      <c r="V10" s="1">
        <f t="shared" si="3"/>
        <v>1.7999999999999999E-2</v>
      </c>
      <c r="W10" s="1">
        <f t="shared" si="4"/>
        <v>2.5999999999999999E-2</v>
      </c>
      <c r="X10" s="1">
        <f t="shared" si="5"/>
        <v>3.4000000000000002E-2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1.7999999999999999E-2</v>
      </c>
      <c r="F11" s="3">
        <f t="shared" si="8"/>
        <v>2.5999999999999999E-2</v>
      </c>
      <c r="G11" s="2">
        <f t="shared" si="8"/>
        <v>3.4000000000000002E-2</v>
      </c>
      <c r="I11" s="1">
        <f>SUM(F29:F32)</f>
        <v>0.113</v>
      </c>
      <c r="K11" s="14" t="s">
        <v>77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43">
        <v>2.5751301177599651E-2</v>
      </c>
      <c r="T11" s="43">
        <v>1.752441047413392E-2</v>
      </c>
      <c r="U11" s="43">
        <v>3.3978191881065378E-2</v>
      </c>
      <c r="V11" s="1">
        <f t="shared" si="3"/>
        <v>1.7999999999999999E-2</v>
      </c>
      <c r="W11" s="1">
        <f t="shared" si="4"/>
        <v>2.5999999999999999E-2</v>
      </c>
      <c r="X11" s="1">
        <f t="shared" si="5"/>
        <v>3.4000000000000002E-2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1.7999999999999999E-2</v>
      </c>
      <c r="F12" s="3">
        <f t="shared" si="8"/>
        <v>2.5999999999999999E-2</v>
      </c>
      <c r="G12" s="2">
        <f t="shared" si="8"/>
        <v>3.4000000000000002E-2</v>
      </c>
      <c r="K12" s="14" t="s">
        <v>78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43">
        <v>2.601291380703465E-2</v>
      </c>
      <c r="T12" s="43">
        <v>1.7330604525818655E-2</v>
      </c>
      <c r="U12" s="43">
        <v>3.4695223088250647E-2</v>
      </c>
      <c r="V12" s="1">
        <f t="shared" si="3"/>
        <v>1.7000000000000001E-2</v>
      </c>
      <c r="W12" s="1">
        <f t="shared" si="4"/>
        <v>2.5999999999999999E-2</v>
      </c>
      <c r="X12" s="1">
        <f t="shared" si="5"/>
        <v>3.5000000000000003E-2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1.7000000000000001E-2</v>
      </c>
      <c r="F13" s="3">
        <f t="shared" si="8"/>
        <v>2.5999999999999999E-2</v>
      </c>
      <c r="G13" s="2">
        <f t="shared" si="8"/>
        <v>3.5000000000000003E-2</v>
      </c>
      <c r="K13" s="14" t="s">
        <v>79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43">
        <v>2.5939257443231164E-2</v>
      </c>
      <c r="T13" s="43">
        <v>1.6824273726202561E-2</v>
      </c>
      <c r="U13" s="43">
        <v>3.5054241160259771E-2</v>
      </c>
      <c r="V13" s="1">
        <f t="shared" si="3"/>
        <v>1.7000000000000001E-2</v>
      </c>
      <c r="W13" s="1">
        <f t="shared" si="4"/>
        <v>2.5999999999999999E-2</v>
      </c>
      <c r="X13" s="1">
        <f t="shared" si="5"/>
        <v>3.5000000000000003E-2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1.7000000000000001E-2</v>
      </c>
      <c r="F14" s="3">
        <f t="shared" si="8"/>
        <v>2.5999999999999999E-2</v>
      </c>
      <c r="G14" s="2">
        <f t="shared" si="8"/>
        <v>3.5000000000000003E-2</v>
      </c>
      <c r="K14" s="14" t="s">
        <v>84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43">
        <v>2.6711223091846138E-2</v>
      </c>
      <c r="T14" s="43">
        <v>1.7183186568227229E-2</v>
      </c>
      <c r="U14" s="43">
        <v>3.6239259615465043E-2</v>
      </c>
      <c r="V14" s="1">
        <f t="shared" si="3"/>
        <v>1.7000000000000001E-2</v>
      </c>
      <c r="W14" s="1">
        <f t="shared" si="4"/>
        <v>2.7E-2</v>
      </c>
      <c r="X14" s="1">
        <f t="shared" si="5"/>
        <v>3.5999999999999997E-2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1.7000000000000001E-2</v>
      </c>
      <c r="F15" s="3">
        <f t="shared" si="8"/>
        <v>2.7E-2</v>
      </c>
      <c r="G15" s="2">
        <f t="shared" si="8"/>
        <v>3.5999999999999997E-2</v>
      </c>
      <c r="K15" s="14" t="s">
        <v>81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43">
        <v>2.6240404449258115E-2</v>
      </c>
      <c r="T15" s="43">
        <v>1.6316494455860343E-2</v>
      </c>
      <c r="U15" s="43">
        <v>3.6164314442655887E-2</v>
      </c>
      <c r="V15" s="1">
        <f t="shared" si="3"/>
        <v>1.6E-2</v>
      </c>
      <c r="W15" s="1">
        <f t="shared" si="4"/>
        <v>2.5999999999999999E-2</v>
      </c>
      <c r="X15" s="1">
        <f t="shared" si="5"/>
        <v>3.5999999999999997E-2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1.6E-2</v>
      </c>
      <c r="F16" s="3">
        <f t="shared" si="8"/>
        <v>2.5999999999999999E-2</v>
      </c>
      <c r="G16" s="2">
        <f t="shared" si="8"/>
        <v>3.5999999999999997E-2</v>
      </c>
      <c r="K16" s="14" t="s">
        <v>82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43">
        <v>2.6501996765178403E-2</v>
      </c>
      <c r="T16" s="43">
        <v>1.6197409716399099E-2</v>
      </c>
      <c r="U16" s="43">
        <v>3.6806583813957711E-2</v>
      </c>
      <c r="V16" s="1">
        <f t="shared" si="3"/>
        <v>1.6E-2</v>
      </c>
      <c r="W16" s="1">
        <f t="shared" si="4"/>
        <v>2.7E-2</v>
      </c>
      <c r="X16" s="1">
        <f t="shared" si="5"/>
        <v>3.6999999999999998E-2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1.6E-2</v>
      </c>
      <c r="F17" s="3">
        <f t="shared" si="8"/>
        <v>2.7E-2</v>
      </c>
      <c r="G17" s="2">
        <f t="shared" si="8"/>
        <v>3.6999999999999998E-2</v>
      </c>
      <c r="K17" s="14" t="s">
        <v>83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43">
        <v>2.6428347670622392E-2</v>
      </c>
      <c r="T17" s="43">
        <v>1.5756654575270545E-2</v>
      </c>
      <c r="U17" s="43">
        <v>3.7100040765974243E-2</v>
      </c>
      <c r="V17" s="1">
        <f t="shared" si="3"/>
        <v>1.6E-2</v>
      </c>
      <c r="W17" s="1">
        <f t="shared" si="4"/>
        <v>2.5999999999999999E-2</v>
      </c>
      <c r="X17" s="1">
        <f t="shared" si="5"/>
        <v>3.6999999999999998E-2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1.6E-2</v>
      </c>
      <c r="F18" s="3">
        <f t="shared" si="8"/>
        <v>2.5999999999999999E-2</v>
      </c>
      <c r="G18" s="2">
        <f t="shared" si="8"/>
        <v>3.6999999999999998E-2</v>
      </c>
      <c r="K18" s="14" t="s">
        <v>80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43">
        <v>2.7200310717917033E-2</v>
      </c>
      <c r="T18" s="43">
        <v>1.6173726716783476E-2</v>
      </c>
      <c r="U18" s="43">
        <v>3.8226894719050587E-2</v>
      </c>
      <c r="V18" s="1">
        <f t="shared" si="3"/>
        <v>1.6E-2</v>
      </c>
      <c r="W18" s="1">
        <f t="shared" si="4"/>
        <v>2.7E-2</v>
      </c>
      <c r="X18" s="1">
        <f t="shared" si="5"/>
        <v>3.7999999999999999E-2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1.6E-2</v>
      </c>
      <c r="F19" s="3">
        <f t="shared" si="8"/>
        <v>2.7E-2</v>
      </c>
      <c r="G19" s="2">
        <f t="shared" si="8"/>
        <v>3.7999999999999999E-2</v>
      </c>
      <c r="K19" s="14" t="s">
        <v>92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43">
        <v>2.6729493006218692E-2</v>
      </c>
      <c r="T19" s="43">
        <v>1.5359089528174948E-2</v>
      </c>
      <c r="U19" s="43">
        <v>3.809989648426243E-2</v>
      </c>
      <c r="V19" s="1">
        <f t="shared" si="3"/>
        <v>1.4999999999999999E-2</v>
      </c>
      <c r="W19" s="1">
        <f t="shared" si="4"/>
        <v>2.7E-2</v>
      </c>
      <c r="X19" s="1">
        <f t="shared" si="5"/>
        <v>3.7999999999999999E-2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1.4999999999999999E-2</v>
      </c>
      <c r="F20" s="3">
        <f t="shared" si="8"/>
        <v>2.7E-2</v>
      </c>
      <c r="G20" s="2">
        <f t="shared" si="8"/>
        <v>3.7999999999999999E-2</v>
      </c>
      <c r="K20" s="14" t="s">
        <v>93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43">
        <v>2.6991084989017533E-2</v>
      </c>
      <c r="T20" s="43">
        <v>1.5286957681907682E-2</v>
      </c>
      <c r="U20" s="43">
        <v>3.8695212296127386E-2</v>
      </c>
      <c r="V20" s="1">
        <f t="shared" si="3"/>
        <v>1.4999999999999999E-2</v>
      </c>
      <c r="W20" s="1">
        <f t="shared" si="4"/>
        <v>2.7E-2</v>
      </c>
      <c r="X20" s="1">
        <f t="shared" si="5"/>
        <v>3.9E-2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1.4999999999999999E-2</v>
      </c>
      <c r="F21" s="3">
        <f t="shared" si="9"/>
        <v>2.7E-2</v>
      </c>
      <c r="G21" s="2">
        <f t="shared" si="9"/>
        <v>3.9E-2</v>
      </c>
      <c r="K21" s="14" t="s">
        <v>94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43">
        <v>2.691743601366995E-2</v>
      </c>
      <c r="T21" s="43">
        <v>1.4888840222814437E-2</v>
      </c>
      <c r="U21" s="43">
        <v>3.8946031804525466E-2</v>
      </c>
      <c r="V21" s="1">
        <f t="shared" si="3"/>
        <v>1.4999999999999999E-2</v>
      </c>
      <c r="W21" s="1">
        <f t="shared" si="4"/>
        <v>2.7E-2</v>
      </c>
      <c r="X21" s="1">
        <f t="shared" si="5"/>
        <v>3.9E-2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1.4999999999999999E-2</v>
      </c>
      <c r="F22" s="3">
        <f t="shared" si="9"/>
        <v>2.7E-2</v>
      </c>
      <c r="G22" s="2">
        <f t="shared" si="9"/>
        <v>3.9E-2</v>
      </c>
      <c r="K22" s="14" t="s">
        <v>95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43">
        <v>2.7689399018305527E-2</v>
      </c>
      <c r="T22" s="43">
        <v>1.5344860249671558E-2</v>
      </c>
      <c r="U22" s="43">
        <v>4.0033937786939491E-2</v>
      </c>
      <c r="V22" s="1">
        <f t="shared" si="3"/>
        <v>1.4999999999999999E-2</v>
      </c>
      <c r="W22" s="1">
        <f t="shared" si="4"/>
        <v>2.8000000000000001E-2</v>
      </c>
      <c r="X22" s="1">
        <f t="shared" si="5"/>
        <v>0.04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1.4999999999999999E-2</v>
      </c>
      <c r="F23" s="3">
        <f t="shared" si="9"/>
        <v>2.8000000000000001E-2</v>
      </c>
      <c r="G23" s="2">
        <f t="shared" si="9"/>
        <v>0.04</v>
      </c>
      <c r="K23" s="14" t="s">
        <v>96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43">
        <v>2.721858132187285E-2</v>
      </c>
      <c r="T23" s="43">
        <v>1.4565986405830565E-2</v>
      </c>
      <c r="U23" s="43">
        <v>3.9871176237915126E-2</v>
      </c>
      <c r="V23" s="1">
        <f t="shared" si="3"/>
        <v>1.4999999999999999E-2</v>
      </c>
      <c r="W23" s="1">
        <f t="shared" si="4"/>
        <v>2.7E-2</v>
      </c>
      <c r="X23" s="1">
        <f t="shared" si="5"/>
        <v>0.04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1.4999999999999999E-2</v>
      </c>
      <c r="F24" s="3">
        <f t="shared" si="9"/>
        <v>2.7E-2</v>
      </c>
      <c r="G24" s="2">
        <f t="shared" si="9"/>
        <v>0.04</v>
      </c>
      <c r="K24" s="14" t="s">
        <v>97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43">
        <v>2.7480173299208831E-2</v>
      </c>
      <c r="T24" s="43">
        <v>1.4526846359280268E-2</v>
      </c>
      <c r="U24" s="43">
        <v>4.0433500239137402E-2</v>
      </c>
      <c r="V24" s="1">
        <f t="shared" si="3"/>
        <v>1.4999999999999999E-2</v>
      </c>
      <c r="W24" s="1">
        <f t="shared" si="4"/>
        <v>2.7E-2</v>
      </c>
      <c r="X24" s="1">
        <f t="shared" si="5"/>
        <v>0.04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1.4999999999999999E-2</v>
      </c>
      <c r="F25" s="3">
        <f t="shared" si="9"/>
        <v>2.7E-2</v>
      </c>
      <c r="G25" s="2">
        <f t="shared" si="9"/>
        <v>0.04</v>
      </c>
      <c r="K25" s="14" t="s">
        <v>98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43">
        <v>2.740652432581615E-2</v>
      </c>
      <c r="T25" s="43">
        <v>1.4159290670654658E-2</v>
      </c>
      <c r="U25" s="43">
        <v>4.0653757980977645E-2</v>
      </c>
      <c r="V25" s="1">
        <f t="shared" si="3"/>
        <v>1.4E-2</v>
      </c>
      <c r="W25" s="1">
        <f t="shared" si="4"/>
        <v>2.7E-2</v>
      </c>
      <c r="X25" s="1">
        <f t="shared" si="5"/>
        <v>4.1000000000000002E-2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1.4E-2</v>
      </c>
      <c r="F26" s="3">
        <f t="shared" si="9"/>
        <v>2.7E-2</v>
      </c>
      <c r="G26" s="2">
        <f t="shared" si="9"/>
        <v>4.1000000000000002E-2</v>
      </c>
      <c r="K26" s="14" t="s">
        <v>99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43">
        <v>2.8178487329752162E-2</v>
      </c>
      <c r="T26" s="43">
        <v>1.4643727626797378E-2</v>
      </c>
      <c r="U26" s="43">
        <v>4.1713247032706943E-2</v>
      </c>
      <c r="V26" s="1">
        <f t="shared" si="3"/>
        <v>1.4999999999999999E-2</v>
      </c>
      <c r="W26" s="1">
        <f t="shared" si="4"/>
        <v>2.8000000000000001E-2</v>
      </c>
      <c r="X26" s="1">
        <f t="shared" si="5"/>
        <v>4.2000000000000003E-2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1.4999999999999999E-2</v>
      </c>
      <c r="F27" s="3">
        <f t="shared" si="9"/>
        <v>2.8000000000000001E-2</v>
      </c>
      <c r="G27" s="2">
        <f t="shared" si="9"/>
        <v>4.2000000000000003E-2</v>
      </c>
      <c r="K27" s="14" t="s">
        <v>100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43">
        <v>2.7707669633569822E-2</v>
      </c>
      <c r="T27" s="43">
        <v>1.3891366187320984E-2</v>
      </c>
      <c r="U27" s="43">
        <v>4.1523973079818657E-2</v>
      </c>
      <c r="V27" s="1">
        <f t="shared" si="3"/>
        <v>1.4E-2</v>
      </c>
      <c r="W27" s="1">
        <f t="shared" si="4"/>
        <v>2.8000000000000001E-2</v>
      </c>
      <c r="X27" s="1">
        <f t="shared" si="5"/>
        <v>4.2000000000000003E-2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1.4E-2</v>
      </c>
      <c r="F28" s="3">
        <f t="shared" si="9"/>
        <v>2.8000000000000001E-2</v>
      </c>
      <c r="G28" s="2">
        <f t="shared" si="9"/>
        <v>4.2000000000000003E-2</v>
      </c>
      <c r="K28" s="14" t="s">
        <v>101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43">
        <v>2.7969261610816219E-2</v>
      </c>
      <c r="T28" s="43">
        <v>1.3877038165916086E-2</v>
      </c>
      <c r="U28" s="43">
        <v>4.2061485055716358E-2</v>
      </c>
      <c r="V28" s="1">
        <f t="shared" si="3"/>
        <v>1.4E-2</v>
      </c>
      <c r="W28" s="1">
        <f t="shared" si="4"/>
        <v>2.8000000000000001E-2</v>
      </c>
      <c r="X28" s="1">
        <f t="shared" si="5"/>
        <v>4.2000000000000003E-2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1.4E-2</v>
      </c>
      <c r="F29" s="3">
        <f t="shared" si="9"/>
        <v>2.8000000000000001E-2</v>
      </c>
      <c r="G29" s="2">
        <f t="shared" si="9"/>
        <v>4.2000000000000003E-2</v>
      </c>
      <c r="K29" s="14" t="s">
        <v>102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43">
        <v>2.7895612637455595E-2</v>
      </c>
      <c r="T29" s="43">
        <v>1.3532768827014204E-2</v>
      </c>
      <c r="U29" s="43">
        <v>4.225845644789699E-2</v>
      </c>
      <c r="V29" s="1">
        <f t="shared" si="3"/>
        <v>1.4E-2</v>
      </c>
      <c r="W29" s="1">
        <f t="shared" si="4"/>
        <v>2.8000000000000001E-2</v>
      </c>
      <c r="X29" s="1">
        <f t="shared" si="5"/>
        <v>4.2000000000000003E-2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1.4E-2</v>
      </c>
      <c r="F30" s="3">
        <f t="shared" si="9"/>
        <v>2.8000000000000001E-2</v>
      </c>
      <c r="G30" s="2">
        <f t="shared" si="9"/>
        <v>4.2000000000000003E-2</v>
      </c>
      <c r="K30" s="14" t="s">
        <v>103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43">
        <v>2.8667575641380134E-2</v>
      </c>
      <c r="T30" s="43">
        <v>1.4039116972563215E-2</v>
      </c>
      <c r="U30" s="43">
        <v>4.3296034310197046E-2</v>
      </c>
      <c r="V30" s="1">
        <f t="shared" si="3"/>
        <v>1.4E-2</v>
      </c>
      <c r="W30" s="1">
        <f t="shared" si="4"/>
        <v>2.9000000000000001E-2</v>
      </c>
      <c r="X30" s="1">
        <f t="shared" si="5"/>
        <v>4.2999999999999997E-2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1.4E-2</v>
      </c>
      <c r="F31" s="3">
        <f t="shared" si="9"/>
        <v>2.9000000000000001E-2</v>
      </c>
      <c r="G31" s="2">
        <f t="shared" si="9"/>
        <v>4.2999999999999997E-2</v>
      </c>
      <c r="K31" s="14" t="s">
        <v>104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43">
        <v>2.8196757945201906E-2</v>
      </c>
      <c r="T31" s="43">
        <v>1.3307422039009446E-2</v>
      </c>
      <c r="U31" s="43">
        <v>4.3086093851394364E-2</v>
      </c>
      <c r="V31" s="1">
        <f t="shared" si="3"/>
        <v>1.2999999999999999E-2</v>
      </c>
      <c r="W31" s="1">
        <f t="shared" si="4"/>
        <v>2.8000000000000001E-2</v>
      </c>
      <c r="X31" s="1">
        <f t="shared" si="5"/>
        <v>4.2999999999999997E-2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1.2999999999999999E-2</v>
      </c>
      <c r="F32" s="3">
        <f t="shared" si="9"/>
        <v>2.8000000000000001E-2</v>
      </c>
      <c r="G32" s="2">
        <f t="shared" si="9"/>
        <v>4.2999999999999997E-2</v>
      </c>
      <c r="K32" s="14" t="s">
        <v>105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43">
        <v>2.8458349922446832E-2</v>
      </c>
      <c r="T32" s="43">
        <v>1.3312629588650217E-2</v>
      </c>
      <c r="U32" s="43">
        <v>4.3604070256243452E-2</v>
      </c>
      <c r="V32" s="1">
        <f t="shared" si="3"/>
        <v>1.2999999999999999E-2</v>
      </c>
      <c r="W32" s="1">
        <f t="shared" si="4"/>
        <v>2.8000000000000001E-2</v>
      </c>
      <c r="X32" s="1">
        <f t="shared" si="5"/>
        <v>4.3999999999999997E-2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1.2999999999999999E-2</v>
      </c>
      <c r="F33" s="3">
        <f t="shared" si="9"/>
        <v>2.8000000000000001E-2</v>
      </c>
      <c r="G33" s="2">
        <f t="shared" si="9"/>
        <v>4.3999999999999997E-2</v>
      </c>
      <c r="K33" s="14" t="s">
        <v>106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43">
        <v>2.8384700949086735E-2</v>
      </c>
      <c r="T33" s="43">
        <v>1.2986864570824755E-2</v>
      </c>
      <c r="U33" s="43">
        <v>4.3782537327348721E-2</v>
      </c>
      <c r="V33" s="1">
        <f t="shared" si="3"/>
        <v>1.2999999999999999E-2</v>
      </c>
      <c r="W33" s="1">
        <f t="shared" si="4"/>
        <v>2.8000000000000001E-2</v>
      </c>
      <c r="X33" s="1">
        <f t="shared" si="5"/>
        <v>4.3999999999999997E-2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1.2999999999999999E-2</v>
      </c>
      <c r="F34" s="3">
        <f t="shared" si="9"/>
        <v>2.8000000000000001E-2</v>
      </c>
      <c r="G34" s="2">
        <f t="shared" si="9"/>
        <v>4.3999999999999997E-2</v>
      </c>
      <c r="K34" s="14" t="s">
        <v>107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43">
        <v>2.9156663953011083E-2</v>
      </c>
      <c r="T34" s="43">
        <v>1.3510773571384475E-2</v>
      </c>
      <c r="U34" s="43">
        <v>4.4802554334637687E-2</v>
      </c>
      <c r="V34" s="1">
        <f t="shared" si="3"/>
        <v>1.4E-2</v>
      </c>
      <c r="W34" s="1">
        <f t="shared" si="4"/>
        <v>2.9000000000000001E-2</v>
      </c>
      <c r="X34" s="1">
        <f t="shared" si="5"/>
        <v>4.4999999999999998E-2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1.4E-2</v>
      </c>
      <c r="F35" s="3">
        <f t="shared" si="9"/>
        <v>2.9000000000000001E-2</v>
      </c>
      <c r="G35" s="2">
        <f t="shared" si="9"/>
        <v>4.4999999999999998E-2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2.6812500000000017E-2</v>
      </c>
    </row>
    <row r="40" spans="1:24" ht="12.5" thickBot="1" x14ac:dyDescent="0.35"/>
    <row r="41" spans="1:24" ht="15.5" thickTop="1" thickBot="1" x14ac:dyDescent="0.4">
      <c r="A41" s="29" t="s">
        <v>57</v>
      </c>
      <c r="B41" s="30"/>
      <c r="C41" s="30"/>
      <c r="D41" s="30"/>
      <c r="E41" s="30"/>
      <c r="F41" s="30"/>
      <c r="G41" s="30"/>
      <c r="K41" s="29" t="s">
        <v>32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2.5000000000000001E-2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2.4E-2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2.4E-2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2.3E-2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2.4E-2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2.3E-2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2.5000000000000001E-2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2.4E-2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2.4E-2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2.1999999999999999E-2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2.5000000000000001E-2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2.3E-2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2.3E-2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2.1000000000000001E-2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2.4E-2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2.1999999999999999E-2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2.4E-2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2.1999999999999999E-2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2.4E-2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2.1999999999999999E-2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2.4E-2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2.1999999999999999E-2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2.5000000000000001E-2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2.3E-2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2.4E-2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2.1000000000000001E-2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2.5000000000000001E-2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2.1999999999999999E-2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2.3E-2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2.1000000000000001E-2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2.4E-2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2.1999999999999999E-2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2.4E-2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2.1999999999999999E-2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2.4E-2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2.1000000000000001E-2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2.4E-2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2.1000000000000001E-2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2.5000000000000001E-2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2.1999999999999999E-2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2.4E-2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2.1000000000000001E-2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2.4E-2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2.1000000000000001E-2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2.4E-2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0.02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2.5000000000000001E-2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2.1000000000000001E-2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2.5000000000000001E-2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2.1000000000000001E-2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2.5000000000000001E-2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2.1000000000000001E-2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2.5000000000000001E-2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2.1000000000000001E-2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2.5999999999999999E-2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2.1999999999999999E-2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2.4E-2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2.1000000000000001E-2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2.4E-2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0.02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2.4E-2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0.02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2.5000000000000001E-2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2.1000000000000001E-2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76"/>
  <sheetViews>
    <sheetView topLeftCell="J1"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3" t="s">
        <v>9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44">
        <v>0.24420746978399002</v>
      </c>
      <c r="T3" s="44">
        <v>0.23294055231881672</v>
      </c>
      <c r="U3" s="44">
        <v>0.25547438724916333</v>
      </c>
      <c r="V3" s="1">
        <f t="shared" ref="V3:V34" si="3">ROUND(T3,3)</f>
        <v>0.23300000000000001</v>
      </c>
      <c r="W3" s="1">
        <f t="shared" ref="W3:W34" si="4">ROUND(S3,3)</f>
        <v>0.24399999999999999</v>
      </c>
      <c r="X3" s="1">
        <f t="shared" ref="X3:X34" si="5">ROUND(U3,3)</f>
        <v>0.255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0.23300000000000001</v>
      </c>
      <c r="F4" s="3">
        <f>W3</f>
        <v>0.24399999999999999</v>
      </c>
      <c r="G4" s="2">
        <f>X3</f>
        <v>0.255</v>
      </c>
      <c r="K4" s="14" t="s">
        <v>70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44">
        <v>0.25026311243575705</v>
      </c>
      <c r="T4" s="44">
        <v>0.23662724610086938</v>
      </c>
      <c r="U4" s="44">
        <v>0.26389897877064472</v>
      </c>
      <c r="V4" s="1">
        <f t="shared" si="3"/>
        <v>0.23699999999999999</v>
      </c>
      <c r="W4" s="1">
        <f t="shared" si="4"/>
        <v>0.25</v>
      </c>
      <c r="X4" s="1">
        <f t="shared" si="5"/>
        <v>0.26400000000000001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0.23699999999999999</v>
      </c>
      <c r="F5" s="3">
        <f t="shared" si="8"/>
        <v>0.25</v>
      </c>
      <c r="G5" s="2">
        <f t="shared" si="8"/>
        <v>0.26400000000000001</v>
      </c>
      <c r="I5" s="1">
        <f>SUM(F5:F8)</f>
        <v>1.0110000000000001</v>
      </c>
      <c r="K5" s="14" t="s">
        <v>71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44">
        <v>0.25255218951280056</v>
      </c>
      <c r="T5" s="44">
        <v>0.23681899306193135</v>
      </c>
      <c r="U5" s="44">
        <v>0.26828538596366974</v>
      </c>
      <c r="V5" s="1">
        <f t="shared" si="3"/>
        <v>0.23699999999999999</v>
      </c>
      <c r="W5" s="1">
        <f t="shared" si="4"/>
        <v>0.253</v>
      </c>
      <c r="X5" s="1">
        <f t="shared" si="5"/>
        <v>0.26800000000000002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0.23699999999999999</v>
      </c>
      <c r="F6" s="3">
        <f t="shared" si="8"/>
        <v>0.253</v>
      </c>
      <c r="G6" s="2">
        <f t="shared" si="8"/>
        <v>0.26800000000000002</v>
      </c>
      <c r="I6" s="1">
        <f>SUM(F9:F12)</f>
        <v>1.05</v>
      </c>
      <c r="K6" s="14" t="s">
        <v>72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44">
        <v>0.25431641734079952</v>
      </c>
      <c r="T6" s="44">
        <v>0.23673781802385563</v>
      </c>
      <c r="U6" s="44">
        <v>0.2718950166577434</v>
      </c>
      <c r="V6" s="1">
        <f t="shared" si="3"/>
        <v>0.23699999999999999</v>
      </c>
      <c r="W6" s="1">
        <f t="shared" si="4"/>
        <v>0.254</v>
      </c>
      <c r="X6" s="1">
        <f t="shared" si="5"/>
        <v>0.27200000000000002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0.23699999999999999</v>
      </c>
      <c r="F7" s="3">
        <f t="shared" si="8"/>
        <v>0.254</v>
      </c>
      <c r="G7" s="2">
        <f t="shared" si="8"/>
        <v>0.27200000000000002</v>
      </c>
      <c r="I7" s="1">
        <f>SUM(F13:F16)</f>
        <v>1.0900000000000001</v>
      </c>
      <c r="K7" s="14" t="s">
        <v>73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44">
        <v>0.25431417304256637</v>
      </c>
      <c r="T7" s="44">
        <v>0.23506614506161108</v>
      </c>
      <c r="U7" s="44">
        <v>0.27356220102352163</v>
      </c>
      <c r="V7" s="1">
        <f t="shared" si="3"/>
        <v>0.23499999999999999</v>
      </c>
      <c r="W7" s="1">
        <f t="shared" si="4"/>
        <v>0.254</v>
      </c>
      <c r="X7" s="1">
        <f t="shared" si="5"/>
        <v>0.27400000000000002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0.23499999999999999</v>
      </c>
      <c r="F8" s="3">
        <f t="shared" si="8"/>
        <v>0.254</v>
      </c>
      <c r="G8" s="2">
        <f t="shared" si="8"/>
        <v>0.27400000000000002</v>
      </c>
      <c r="I8" s="1">
        <f>SUM(F17:F20)</f>
        <v>1.1300000000000001</v>
      </c>
      <c r="K8" s="14" t="s">
        <v>74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44">
        <v>0.26016286594344296</v>
      </c>
      <c r="T8" s="44">
        <v>0.23937908043961012</v>
      </c>
      <c r="U8" s="44">
        <v>0.28094665144727571</v>
      </c>
      <c r="V8" s="1">
        <f t="shared" si="3"/>
        <v>0.23899999999999999</v>
      </c>
      <c r="W8" s="1">
        <f t="shared" si="4"/>
        <v>0.26</v>
      </c>
      <c r="X8" s="1">
        <f t="shared" si="5"/>
        <v>0.28100000000000003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0.23899999999999999</v>
      </c>
      <c r="F9" s="3">
        <f t="shared" si="8"/>
        <v>0.26</v>
      </c>
      <c r="G9" s="2">
        <f t="shared" si="8"/>
        <v>0.28100000000000003</v>
      </c>
      <c r="I9" s="1">
        <f>SUM(F21:F24)</f>
        <v>1.17</v>
      </c>
      <c r="K9" s="14" t="s">
        <v>75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44">
        <v>0.26246161671226714</v>
      </c>
      <c r="T9" s="44">
        <v>0.24024799676562983</v>
      </c>
      <c r="U9" s="44">
        <v>0.28467523665890443</v>
      </c>
      <c r="V9" s="1">
        <f t="shared" si="3"/>
        <v>0.24</v>
      </c>
      <c r="W9" s="1">
        <f t="shared" si="4"/>
        <v>0.26200000000000001</v>
      </c>
      <c r="X9" s="1">
        <f t="shared" si="5"/>
        <v>0.28499999999999998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0.24</v>
      </c>
      <c r="F10" s="3">
        <f t="shared" si="8"/>
        <v>0.26200000000000001</v>
      </c>
      <c r="G10" s="2">
        <f t="shared" si="8"/>
        <v>0.28499999999999998</v>
      </c>
      <c r="I10" s="1">
        <f>SUM(F25:F28)</f>
        <v>1.21</v>
      </c>
      <c r="K10" s="14" t="s">
        <v>76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44">
        <v>0.26422539235169251</v>
      </c>
      <c r="T10" s="44">
        <v>0.2406685657018382</v>
      </c>
      <c r="U10" s="44">
        <v>0.28778221900154682</v>
      </c>
      <c r="V10" s="1">
        <f t="shared" si="3"/>
        <v>0.24099999999999999</v>
      </c>
      <c r="W10" s="1">
        <f t="shared" si="4"/>
        <v>0.26400000000000001</v>
      </c>
      <c r="X10" s="1">
        <f t="shared" si="5"/>
        <v>0.28799999999999998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0.24099999999999999</v>
      </c>
      <c r="F11" s="3">
        <f t="shared" si="8"/>
        <v>0.26400000000000001</v>
      </c>
      <c r="G11" s="2">
        <f t="shared" si="8"/>
        <v>0.28799999999999998</v>
      </c>
      <c r="I11" s="1">
        <f>SUM(F29:F32)</f>
        <v>1.25</v>
      </c>
      <c r="K11" s="14" t="s">
        <v>77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44">
        <v>0.26422316919063332</v>
      </c>
      <c r="T11" s="44">
        <v>0.23939569947428174</v>
      </c>
      <c r="U11" s="44">
        <v>0.2890506389069849</v>
      </c>
      <c r="V11" s="1">
        <f t="shared" si="3"/>
        <v>0.23899999999999999</v>
      </c>
      <c r="W11" s="1">
        <f t="shared" si="4"/>
        <v>0.26400000000000001</v>
      </c>
      <c r="X11" s="1">
        <f t="shared" si="5"/>
        <v>0.28899999999999998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0.23899999999999999</v>
      </c>
      <c r="F12" s="3">
        <f t="shared" si="8"/>
        <v>0.26400000000000001</v>
      </c>
      <c r="G12" s="2">
        <f t="shared" si="8"/>
        <v>0.28899999999999998</v>
      </c>
      <c r="K12" s="14" t="s">
        <v>78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44">
        <v>0.27007186110347048</v>
      </c>
      <c r="T12" s="44">
        <v>0.24403568582329274</v>
      </c>
      <c r="U12" s="44">
        <v>0.29610803638364824</v>
      </c>
      <c r="V12" s="1">
        <f t="shared" si="3"/>
        <v>0.24399999999999999</v>
      </c>
      <c r="W12" s="1">
        <f t="shared" si="4"/>
        <v>0.27</v>
      </c>
      <c r="X12" s="1">
        <f t="shared" si="5"/>
        <v>0.29599999999999999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0.24399999999999999</v>
      </c>
      <c r="F13" s="3">
        <f t="shared" si="8"/>
        <v>0.27</v>
      </c>
      <c r="G13" s="2">
        <f t="shared" si="8"/>
        <v>0.29599999999999999</v>
      </c>
      <c r="K13" s="14" t="s">
        <v>79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44">
        <v>0.27237061191847978</v>
      </c>
      <c r="T13" s="44">
        <v>0.24517940756994117</v>
      </c>
      <c r="U13" s="44">
        <v>0.29956181626701839</v>
      </c>
      <c r="V13" s="1">
        <f t="shared" si="3"/>
        <v>0.245</v>
      </c>
      <c r="W13" s="1">
        <f t="shared" si="4"/>
        <v>0.27200000000000002</v>
      </c>
      <c r="X13" s="1">
        <f t="shared" si="5"/>
        <v>0.3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0.245</v>
      </c>
      <c r="F14" s="3">
        <f t="shared" si="8"/>
        <v>0.27200000000000002</v>
      </c>
      <c r="G14" s="2">
        <f t="shared" si="8"/>
        <v>0.3</v>
      </c>
      <c r="K14" s="14" t="s">
        <v>84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44">
        <v>0.27413438755574626</v>
      </c>
      <c r="T14" s="44">
        <v>0.24583525745201643</v>
      </c>
      <c r="U14" s="44">
        <v>0.30243351765947613</v>
      </c>
      <c r="V14" s="1">
        <f t="shared" si="3"/>
        <v>0.246</v>
      </c>
      <c r="W14" s="1">
        <f t="shared" si="4"/>
        <v>0.27400000000000002</v>
      </c>
      <c r="X14" s="1">
        <f t="shared" si="5"/>
        <v>0.30199999999999999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0.246</v>
      </c>
      <c r="F15" s="3">
        <f t="shared" si="8"/>
        <v>0.27400000000000002</v>
      </c>
      <c r="G15" s="2">
        <f t="shared" si="8"/>
        <v>0.30199999999999999</v>
      </c>
      <c r="K15" s="14" t="s">
        <v>81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44">
        <v>0.27413216439478799</v>
      </c>
      <c r="T15" s="44">
        <v>0.24476687986812842</v>
      </c>
      <c r="U15" s="44">
        <v>0.30349744892144753</v>
      </c>
      <c r="V15" s="1">
        <f t="shared" si="3"/>
        <v>0.245</v>
      </c>
      <c r="W15" s="1">
        <f t="shared" si="4"/>
        <v>0.27400000000000002</v>
      </c>
      <c r="X15" s="1">
        <f t="shared" si="5"/>
        <v>0.30299999999999999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0.245</v>
      </c>
      <c r="F16" s="3">
        <f t="shared" si="8"/>
        <v>0.27400000000000002</v>
      </c>
      <c r="G16" s="2">
        <f t="shared" si="8"/>
        <v>0.30299999999999999</v>
      </c>
      <c r="K16" s="14" t="s">
        <v>82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44">
        <v>0.27998085630762037</v>
      </c>
      <c r="T16" s="44">
        <v>0.24958679264322181</v>
      </c>
      <c r="U16" s="44">
        <v>0.31037491997201894</v>
      </c>
      <c r="V16" s="1">
        <f t="shared" si="3"/>
        <v>0.25</v>
      </c>
      <c r="W16" s="1">
        <f t="shared" si="4"/>
        <v>0.28000000000000003</v>
      </c>
      <c r="X16" s="1">
        <f t="shared" si="5"/>
        <v>0.31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0.25</v>
      </c>
      <c r="F17" s="3">
        <f t="shared" si="8"/>
        <v>0.28000000000000003</v>
      </c>
      <c r="G17" s="2">
        <f t="shared" si="8"/>
        <v>0.31</v>
      </c>
      <c r="K17" s="14" t="s">
        <v>83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44">
        <v>0.28227960712262995</v>
      </c>
      <c r="T17" s="44">
        <v>0.25089046446566404</v>
      </c>
      <c r="U17" s="44">
        <v>0.31366874977959586</v>
      </c>
      <c r="V17" s="1">
        <f t="shared" si="3"/>
        <v>0.251</v>
      </c>
      <c r="W17" s="1">
        <f t="shared" si="4"/>
        <v>0.28199999999999997</v>
      </c>
      <c r="X17" s="1">
        <f t="shared" si="5"/>
        <v>0.314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0.251</v>
      </c>
      <c r="F18" s="3">
        <f t="shared" si="8"/>
        <v>0.28199999999999997</v>
      </c>
      <c r="G18" s="2">
        <f t="shared" si="8"/>
        <v>0.314</v>
      </c>
      <c r="K18" s="14" t="s">
        <v>80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44">
        <v>0.28404338275989643</v>
      </c>
      <c r="T18" s="44">
        <v>0.25168975162762319</v>
      </c>
      <c r="U18" s="44">
        <v>0.31639701389216968</v>
      </c>
      <c r="V18" s="1">
        <f t="shared" si="3"/>
        <v>0.252</v>
      </c>
      <c r="W18" s="1">
        <f t="shared" si="4"/>
        <v>0.28399999999999997</v>
      </c>
      <c r="X18" s="1">
        <f t="shared" si="5"/>
        <v>0.316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0.252</v>
      </c>
      <c r="F19" s="3">
        <f t="shared" si="8"/>
        <v>0.28399999999999997</v>
      </c>
      <c r="G19" s="2">
        <f t="shared" si="8"/>
        <v>0.316</v>
      </c>
      <c r="K19" s="14" t="s">
        <v>92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44">
        <v>0.28404115959893816</v>
      </c>
      <c r="T19" s="44">
        <v>0.25075097158284188</v>
      </c>
      <c r="U19" s="44">
        <v>0.31733134761503445</v>
      </c>
      <c r="V19" s="1">
        <f t="shared" si="3"/>
        <v>0.251</v>
      </c>
      <c r="W19" s="1">
        <f t="shared" si="4"/>
        <v>0.28399999999999997</v>
      </c>
      <c r="X19" s="1">
        <f t="shared" si="5"/>
        <v>0.317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0.251</v>
      </c>
      <c r="F20" s="3">
        <f t="shared" si="8"/>
        <v>0.28399999999999997</v>
      </c>
      <c r="G20" s="2">
        <f t="shared" si="8"/>
        <v>0.317</v>
      </c>
      <c r="K20" s="14" t="s">
        <v>93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44">
        <v>0.2898898515117706</v>
      </c>
      <c r="T20" s="44">
        <v>0.25568874350558335</v>
      </c>
      <c r="U20" s="44">
        <v>0.32409095951795786</v>
      </c>
      <c r="V20" s="1">
        <f t="shared" si="3"/>
        <v>0.25600000000000001</v>
      </c>
      <c r="W20" s="1">
        <f t="shared" si="4"/>
        <v>0.28999999999999998</v>
      </c>
      <c r="X20" s="1">
        <f t="shared" si="5"/>
        <v>0.32400000000000001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0.25600000000000001</v>
      </c>
      <c r="F21" s="3">
        <f t="shared" si="9"/>
        <v>0.28999999999999998</v>
      </c>
      <c r="G21" s="2">
        <f t="shared" si="9"/>
        <v>0.32400000000000001</v>
      </c>
      <c r="K21" s="14" t="s">
        <v>94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44">
        <v>0.29218860232678012</v>
      </c>
      <c r="T21" s="44">
        <v>0.25710021451037102</v>
      </c>
      <c r="U21" s="44">
        <v>0.32727699014318923</v>
      </c>
      <c r="V21" s="1">
        <f t="shared" si="3"/>
        <v>0.25700000000000001</v>
      </c>
      <c r="W21" s="1">
        <f t="shared" si="4"/>
        <v>0.29199999999999998</v>
      </c>
      <c r="X21" s="1">
        <f t="shared" si="5"/>
        <v>0.32700000000000001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0.25700000000000001</v>
      </c>
      <c r="F22" s="3">
        <f t="shared" si="9"/>
        <v>0.29199999999999998</v>
      </c>
      <c r="G22" s="2">
        <f t="shared" si="9"/>
        <v>0.32700000000000001</v>
      </c>
      <c r="K22" s="14" t="s">
        <v>95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44">
        <v>0.29395237796404661</v>
      </c>
      <c r="T22" s="44">
        <v>0.25799860027298094</v>
      </c>
      <c r="U22" s="44">
        <v>0.32990615565511228</v>
      </c>
      <c r="V22" s="1">
        <f t="shared" si="3"/>
        <v>0.25800000000000001</v>
      </c>
      <c r="W22" s="1">
        <f t="shared" si="4"/>
        <v>0.29399999999999998</v>
      </c>
      <c r="X22" s="1">
        <f t="shared" si="5"/>
        <v>0.33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0.25800000000000001</v>
      </c>
      <c r="F23" s="3">
        <f t="shared" si="9"/>
        <v>0.29399999999999998</v>
      </c>
      <c r="G23" s="2">
        <f t="shared" si="9"/>
        <v>0.33</v>
      </c>
      <c r="K23" s="14" t="s">
        <v>96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44">
        <v>0.29395015480308828</v>
      </c>
      <c r="T23" s="44">
        <v>0.25715133279799668</v>
      </c>
      <c r="U23" s="44">
        <v>0.33074897680817988</v>
      </c>
      <c r="V23" s="1">
        <f t="shared" si="3"/>
        <v>0.25700000000000001</v>
      </c>
      <c r="W23" s="1">
        <f t="shared" si="4"/>
        <v>0.29399999999999998</v>
      </c>
      <c r="X23" s="1">
        <f t="shared" si="5"/>
        <v>0.33100000000000002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0.25700000000000001</v>
      </c>
      <c r="F24" s="3">
        <f t="shared" si="9"/>
        <v>0.29399999999999998</v>
      </c>
      <c r="G24" s="2">
        <f t="shared" si="9"/>
        <v>0.33100000000000002</v>
      </c>
      <c r="K24" s="14" t="s">
        <v>97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44">
        <v>0.29979884671592072</v>
      </c>
      <c r="T24" s="44">
        <v>0.26217395506602681</v>
      </c>
      <c r="U24" s="44">
        <v>0.33742373836581463</v>
      </c>
      <c r="V24" s="1">
        <f t="shared" si="3"/>
        <v>0.26200000000000001</v>
      </c>
      <c r="W24" s="1">
        <f t="shared" si="4"/>
        <v>0.3</v>
      </c>
      <c r="X24" s="1">
        <f t="shared" si="5"/>
        <v>0.33700000000000002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0.26200000000000001</v>
      </c>
      <c r="F25" s="3">
        <f t="shared" si="9"/>
        <v>0.3</v>
      </c>
      <c r="G25" s="2">
        <f t="shared" si="9"/>
        <v>0.33700000000000002</v>
      </c>
      <c r="K25" s="14" t="s">
        <v>98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44">
        <v>0.3020975975309303</v>
      </c>
      <c r="T25" s="44">
        <v>0.26366438738176246</v>
      </c>
      <c r="U25" s="44">
        <v>0.34053080768009814</v>
      </c>
      <c r="V25" s="1">
        <f t="shared" si="3"/>
        <v>0.26400000000000001</v>
      </c>
      <c r="W25" s="1">
        <f t="shared" si="4"/>
        <v>0.30199999999999999</v>
      </c>
      <c r="X25" s="1">
        <f t="shared" si="5"/>
        <v>0.34100000000000003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0.26400000000000001</v>
      </c>
      <c r="F26" s="3">
        <f t="shared" si="9"/>
        <v>0.30199999999999999</v>
      </c>
      <c r="G26" s="2">
        <f t="shared" si="9"/>
        <v>0.34100000000000003</v>
      </c>
      <c r="K26" s="14" t="s">
        <v>99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44">
        <v>0.30386137316819672</v>
      </c>
      <c r="T26" s="44">
        <v>0.2646364982407487</v>
      </c>
      <c r="U26" s="44">
        <v>0.34308624809564475</v>
      </c>
      <c r="V26" s="1">
        <f t="shared" si="3"/>
        <v>0.26500000000000001</v>
      </c>
      <c r="W26" s="1">
        <f t="shared" si="4"/>
        <v>0.30399999999999999</v>
      </c>
      <c r="X26" s="1">
        <f t="shared" si="5"/>
        <v>0.34300000000000003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0.26500000000000001</v>
      </c>
      <c r="F27" s="3">
        <f t="shared" si="9"/>
        <v>0.30399999999999999</v>
      </c>
      <c r="G27" s="2">
        <f t="shared" si="9"/>
        <v>0.34300000000000003</v>
      </c>
      <c r="K27" s="14" t="s">
        <v>100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44">
        <v>0.30385915000723845</v>
      </c>
      <c r="T27" s="44">
        <v>0.26385827521958177</v>
      </c>
      <c r="U27" s="44">
        <v>0.34386002479489514</v>
      </c>
      <c r="V27" s="1">
        <f t="shared" si="3"/>
        <v>0.26400000000000001</v>
      </c>
      <c r="W27" s="1">
        <f t="shared" si="4"/>
        <v>0.30399999999999999</v>
      </c>
      <c r="X27" s="1">
        <f t="shared" si="5"/>
        <v>0.34399999999999997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0.26400000000000001</v>
      </c>
      <c r="F28" s="3">
        <f t="shared" si="9"/>
        <v>0.30399999999999999</v>
      </c>
      <c r="G28" s="2">
        <f t="shared" si="9"/>
        <v>0.34399999999999997</v>
      </c>
      <c r="K28" s="14" t="s">
        <v>101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44">
        <v>0.30970784192007095</v>
      </c>
      <c r="T28" s="44">
        <v>0.26894573752785844</v>
      </c>
      <c r="U28" s="44">
        <v>0.35046994631228334</v>
      </c>
      <c r="V28" s="1">
        <f t="shared" si="3"/>
        <v>0.26900000000000002</v>
      </c>
      <c r="W28" s="1">
        <f t="shared" si="4"/>
        <v>0.31</v>
      </c>
      <c r="X28" s="1">
        <f t="shared" si="5"/>
        <v>0.35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0.26900000000000002</v>
      </c>
      <c r="F29" s="3">
        <f t="shared" si="9"/>
        <v>0.31</v>
      </c>
      <c r="G29" s="2">
        <f t="shared" si="9"/>
        <v>0.35</v>
      </c>
      <c r="K29" s="14" t="s">
        <v>102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44">
        <v>0.31200659273508041</v>
      </c>
      <c r="T29" s="44">
        <v>0.27049721638243607</v>
      </c>
      <c r="U29" s="44">
        <v>0.35351596908772476</v>
      </c>
      <c r="V29" s="1">
        <f t="shared" si="3"/>
        <v>0.27</v>
      </c>
      <c r="W29" s="1">
        <f t="shared" si="4"/>
        <v>0.312</v>
      </c>
      <c r="X29" s="1">
        <f t="shared" si="5"/>
        <v>0.35399999999999998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0.27</v>
      </c>
      <c r="F30" s="3">
        <f t="shared" si="9"/>
        <v>0.312</v>
      </c>
      <c r="G30" s="2">
        <f t="shared" si="9"/>
        <v>0.35399999999999998</v>
      </c>
      <c r="K30" s="14" t="s">
        <v>103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44">
        <v>0.3137703683723469</v>
      </c>
      <c r="T30" s="44">
        <v>0.27152693697894192</v>
      </c>
      <c r="U30" s="44">
        <v>0.35601379976575187</v>
      </c>
      <c r="V30" s="1">
        <f t="shared" si="3"/>
        <v>0.27200000000000002</v>
      </c>
      <c r="W30" s="1">
        <f t="shared" si="4"/>
        <v>0.314</v>
      </c>
      <c r="X30" s="1">
        <f t="shared" si="5"/>
        <v>0.35599999999999998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0.27200000000000002</v>
      </c>
      <c r="F31" s="3">
        <f t="shared" si="9"/>
        <v>0.314</v>
      </c>
      <c r="G31" s="2">
        <f t="shared" si="9"/>
        <v>0.35599999999999998</v>
      </c>
      <c r="K31" s="14" t="s">
        <v>104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44">
        <v>0.31376814521138863</v>
      </c>
      <c r="T31" s="44">
        <v>0.27080319825933064</v>
      </c>
      <c r="U31" s="44">
        <v>0.35673309216344662</v>
      </c>
      <c r="V31" s="1">
        <f t="shared" si="3"/>
        <v>0.27100000000000002</v>
      </c>
      <c r="W31" s="1">
        <f t="shared" si="4"/>
        <v>0.314</v>
      </c>
      <c r="X31" s="1">
        <f t="shared" si="5"/>
        <v>0.35699999999999998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0.27100000000000002</v>
      </c>
      <c r="F32" s="3">
        <f t="shared" si="9"/>
        <v>0.314</v>
      </c>
      <c r="G32" s="2">
        <f t="shared" si="9"/>
        <v>0.35699999999999998</v>
      </c>
      <c r="K32" s="14" t="s">
        <v>105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44">
        <v>0.31961683712422106</v>
      </c>
      <c r="T32" s="44">
        <v>0.27594229262405479</v>
      </c>
      <c r="U32" s="44">
        <v>0.36329138162438723</v>
      </c>
      <c r="V32" s="1">
        <f t="shared" si="3"/>
        <v>0.27600000000000002</v>
      </c>
      <c r="W32" s="1">
        <f t="shared" si="4"/>
        <v>0.32</v>
      </c>
      <c r="X32" s="1">
        <f t="shared" si="5"/>
        <v>0.36299999999999999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0.27600000000000002</v>
      </c>
      <c r="F33" s="3">
        <f t="shared" si="9"/>
        <v>0.32</v>
      </c>
      <c r="G33" s="2">
        <f t="shared" si="9"/>
        <v>0.36299999999999999</v>
      </c>
      <c r="K33" s="14" t="s">
        <v>106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44">
        <v>0.32191558793923059</v>
      </c>
      <c r="T33" s="44">
        <v>0.27754279212917549</v>
      </c>
      <c r="U33" s="44">
        <v>0.36628838374928568</v>
      </c>
      <c r="V33" s="1">
        <f t="shared" si="3"/>
        <v>0.27800000000000002</v>
      </c>
      <c r="W33" s="1">
        <f t="shared" si="4"/>
        <v>0.32200000000000001</v>
      </c>
      <c r="X33" s="1">
        <f t="shared" si="5"/>
        <v>0.36599999999999999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0.27800000000000002</v>
      </c>
      <c r="F34" s="3">
        <f t="shared" si="9"/>
        <v>0.32200000000000001</v>
      </c>
      <c r="G34" s="2">
        <f t="shared" si="9"/>
        <v>0.36599999999999999</v>
      </c>
      <c r="K34" s="14" t="s">
        <v>107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44">
        <v>0.32367936357649707</v>
      </c>
      <c r="T34" s="44">
        <v>0.27861913522926512</v>
      </c>
      <c r="U34" s="44">
        <v>0.36873959192372902</v>
      </c>
      <c r="V34" s="1">
        <f t="shared" si="3"/>
        <v>0.27900000000000003</v>
      </c>
      <c r="W34" s="1">
        <f t="shared" si="4"/>
        <v>0.32400000000000001</v>
      </c>
      <c r="X34" s="1">
        <f t="shared" si="5"/>
        <v>0.36899999999999999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0.27900000000000003</v>
      </c>
      <c r="F35" s="3">
        <f t="shared" si="9"/>
        <v>0.32400000000000001</v>
      </c>
      <c r="G35" s="2">
        <f t="shared" si="9"/>
        <v>0.36899999999999999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0.2850312499999999</v>
      </c>
    </row>
    <row r="40" spans="1:24" ht="12.5" thickBot="1" x14ac:dyDescent="0.35"/>
    <row r="41" spans="1:24" ht="15.5" thickTop="1" thickBot="1" x14ac:dyDescent="0.4">
      <c r="A41" s="29" t="s">
        <v>58</v>
      </c>
      <c r="B41" s="30"/>
      <c r="C41" s="30"/>
      <c r="D41" s="30"/>
      <c r="E41" s="30"/>
      <c r="F41" s="30"/>
      <c r="G41" s="30"/>
      <c r="K41" s="29" t="s">
        <v>33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0.24099999999999999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0.23899999999999999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0.247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0.24299999999999999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0.249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0.246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0.25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0.245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0.249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0.24399999999999999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0.255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0.25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0.25600000000000001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0.251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0.25800000000000001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0.252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0.25800000000000001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0.252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0.26400000000000001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0.25700000000000001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0.26500000000000001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0.25800000000000001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0.26700000000000002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0.26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0.26700000000000002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0.26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0.27300000000000002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0.26500000000000001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0.27400000000000002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0.26600000000000001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0.27600000000000002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0.26800000000000002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0.27600000000000002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0.26800000000000002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0.28199999999999997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0.27300000000000002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0.28299999999999997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0.27500000000000002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0.28499999999999998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0.27600000000000002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0.28499999999999998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0.27600000000000002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0.29099999999999998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0.28199999999999997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0.29199999999999998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0.28299999999999997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0.29399999999999998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0.28499999999999998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0.29399999999999998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0.28399999999999997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0.3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0.28999999999999998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0.30199999999999999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0.29099999999999998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0.30399999999999999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0.29299999999999998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0.30299999999999999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0.29299999999999998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0.309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0.29899999999999999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0.311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0.3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0.313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0.30199999999999999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76"/>
  <sheetViews>
    <sheetView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54296875" style="1" customWidth="1"/>
    <col min="14" max="15" width="9.1796875" style="1"/>
    <col min="16" max="16" width="18.81640625" style="1" customWidth="1"/>
    <col min="17" max="16384" width="9.1796875" style="1"/>
  </cols>
  <sheetData>
    <row r="1" spans="1:30" ht="13" thickTop="1" thickBot="1" x14ac:dyDescent="0.35">
      <c r="A1" s="32" t="s">
        <v>10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60">
        <v>307.45785250319665</v>
      </c>
      <c r="M3" s="60">
        <v>287.4172583478358</v>
      </c>
      <c r="N3" s="60">
        <v>327.4984466585575</v>
      </c>
      <c r="O3" s="1">
        <f t="shared" ref="O3:O34" si="0">ROUND(M3,3)</f>
        <v>287.41699999999997</v>
      </c>
      <c r="P3" s="1">
        <f t="shared" ref="P3:P34" si="1">ROUND(L3,3)</f>
        <v>307.45800000000003</v>
      </c>
      <c r="Q3" s="1">
        <f t="shared" ref="Q3:Q34" si="2">ROUND(N3,3)</f>
        <v>327.49799999999999</v>
      </c>
      <c r="R3" s="14" t="str">
        <f>K3</f>
        <v>2022Q1</v>
      </c>
      <c r="S3" s="45">
        <v>0.80631540506779464</v>
      </c>
      <c r="T3" s="45">
        <v>0.7774082945394345</v>
      </c>
      <c r="U3" s="45">
        <v>0.83522251559615479</v>
      </c>
      <c r="V3" s="1">
        <f t="shared" ref="V3:V34" si="3">ROUND(T3,3)</f>
        <v>0.77700000000000002</v>
      </c>
      <c r="W3" s="1">
        <f t="shared" ref="W3:W34" si="4">ROUND(S3,3)</f>
        <v>0.80600000000000005</v>
      </c>
      <c r="X3" s="1">
        <f t="shared" ref="X3:X34" si="5">ROUND(U3,3)</f>
        <v>0.83499999999999996</v>
      </c>
    </row>
    <row r="4" spans="1:30" ht="15.5" thickTop="1" thickBot="1" x14ac:dyDescent="0.4">
      <c r="A4" s="5" t="str">
        <f>K3</f>
        <v>2022Q1</v>
      </c>
      <c r="B4" s="2">
        <f>O3</f>
        <v>287.41699999999997</v>
      </c>
      <c r="C4" s="3">
        <f>P3</f>
        <v>307.45800000000003</v>
      </c>
      <c r="D4" s="2">
        <f>Q3</f>
        <v>327.49799999999999</v>
      </c>
      <c r="E4" s="2">
        <f>V3</f>
        <v>0.77700000000000002</v>
      </c>
      <c r="F4" s="3">
        <f>W3</f>
        <v>0.80600000000000005</v>
      </c>
      <c r="G4" s="2">
        <f>X3</f>
        <v>0.83499999999999996</v>
      </c>
      <c r="K4" s="14" t="s">
        <v>70</v>
      </c>
      <c r="L4" s="60">
        <v>322.91666358209562</v>
      </c>
      <c r="M4" s="60">
        <v>296.02285654286158</v>
      </c>
      <c r="N4" s="60">
        <v>349.81047062132967</v>
      </c>
      <c r="O4" s="1">
        <f t="shared" si="0"/>
        <v>296.02300000000002</v>
      </c>
      <c r="P4" s="1">
        <f t="shared" si="1"/>
        <v>322.91699999999997</v>
      </c>
      <c r="Q4" s="1">
        <f t="shared" si="2"/>
        <v>349.81</v>
      </c>
      <c r="R4" s="14" t="str">
        <f t="shared" ref="R4:R34" si="6">K4</f>
        <v>2022Q2</v>
      </c>
      <c r="S4" s="45">
        <v>0.84031146115543798</v>
      </c>
      <c r="T4" s="45">
        <v>0.80692354998859595</v>
      </c>
      <c r="U4" s="45">
        <v>0.87369937232228001</v>
      </c>
      <c r="V4" s="1">
        <f t="shared" si="3"/>
        <v>0.80700000000000005</v>
      </c>
      <c r="W4" s="1">
        <f t="shared" si="4"/>
        <v>0.84</v>
      </c>
      <c r="X4" s="1">
        <f t="shared" si="5"/>
        <v>0.874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296.02300000000002</v>
      </c>
      <c r="C5" s="3">
        <f t="shared" si="8"/>
        <v>322.91699999999997</v>
      </c>
      <c r="D5" s="2">
        <f t="shared" si="8"/>
        <v>349.81</v>
      </c>
      <c r="E5" s="2">
        <f t="shared" ref="E5:G20" si="9">V4</f>
        <v>0.80700000000000005</v>
      </c>
      <c r="F5" s="3">
        <f t="shared" si="9"/>
        <v>0.84</v>
      </c>
      <c r="G5" s="2">
        <f t="shared" si="9"/>
        <v>0.874</v>
      </c>
      <c r="I5" s="1">
        <f>SUM(F5:F8)</f>
        <v>3.3620000000000001</v>
      </c>
      <c r="K5" s="14" t="s">
        <v>71</v>
      </c>
      <c r="L5" s="60">
        <v>321.05441020756803</v>
      </c>
      <c r="M5" s="60">
        <v>289.08632729593387</v>
      </c>
      <c r="N5" s="60">
        <v>353.02249311920218</v>
      </c>
      <c r="O5" s="1">
        <f t="shared" si="0"/>
        <v>289.08600000000001</v>
      </c>
      <c r="P5" s="1">
        <f t="shared" si="1"/>
        <v>321.05399999999997</v>
      </c>
      <c r="Q5" s="1">
        <f t="shared" si="2"/>
        <v>353.02199999999999</v>
      </c>
      <c r="R5" s="14" t="str">
        <f t="shared" si="6"/>
        <v>2022Q3</v>
      </c>
      <c r="S5" s="45">
        <v>0.83652356584351162</v>
      </c>
      <c r="T5" s="45">
        <v>0.79614613132934742</v>
      </c>
      <c r="U5" s="45">
        <v>0.87690100035767582</v>
      </c>
      <c r="V5" s="1">
        <f t="shared" si="3"/>
        <v>0.79600000000000004</v>
      </c>
      <c r="W5" s="1">
        <f t="shared" si="4"/>
        <v>0.83699999999999997</v>
      </c>
      <c r="X5" s="1">
        <f t="shared" si="5"/>
        <v>0.877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289.08600000000001</v>
      </c>
      <c r="C6" s="3">
        <f t="shared" si="8"/>
        <v>321.05399999999997</v>
      </c>
      <c r="D6" s="2">
        <f t="shared" si="8"/>
        <v>353.02199999999999</v>
      </c>
      <c r="E6" s="2">
        <f t="shared" si="9"/>
        <v>0.79600000000000004</v>
      </c>
      <c r="F6" s="3">
        <f t="shared" si="9"/>
        <v>0.83699999999999997</v>
      </c>
      <c r="G6" s="2">
        <f t="shared" si="9"/>
        <v>0.877</v>
      </c>
      <c r="I6" s="1">
        <f>SUM(F9:F12)</f>
        <v>3.4619999999999997</v>
      </c>
      <c r="K6" s="14" t="s">
        <v>72</v>
      </c>
      <c r="L6" s="60">
        <v>323.3517695096798</v>
      </c>
      <c r="M6" s="60">
        <v>287.30582432394306</v>
      </c>
      <c r="N6" s="60">
        <v>359.39771469541654</v>
      </c>
      <c r="O6" s="1">
        <f t="shared" si="0"/>
        <v>287.30599999999998</v>
      </c>
      <c r="P6" s="1">
        <f t="shared" si="1"/>
        <v>323.35199999999998</v>
      </c>
      <c r="Q6" s="1">
        <f t="shared" si="2"/>
        <v>359.39800000000002</v>
      </c>
      <c r="R6" s="14" t="str">
        <f t="shared" si="6"/>
        <v>2022Q4</v>
      </c>
      <c r="S6" s="45">
        <v>0.84563607105042315</v>
      </c>
      <c r="T6" s="45">
        <v>0.80068441505050969</v>
      </c>
      <c r="U6" s="45">
        <v>0.89058772705033662</v>
      </c>
      <c r="V6" s="1">
        <f t="shared" si="3"/>
        <v>0.80100000000000005</v>
      </c>
      <c r="W6" s="1">
        <f t="shared" si="4"/>
        <v>0.84599999999999997</v>
      </c>
      <c r="X6" s="1">
        <f t="shared" si="5"/>
        <v>0.89100000000000001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287.30599999999998</v>
      </c>
      <c r="C7" s="3">
        <f t="shared" si="8"/>
        <v>323.35199999999998</v>
      </c>
      <c r="D7" s="2">
        <f t="shared" si="8"/>
        <v>359.39800000000002</v>
      </c>
      <c r="E7" s="2">
        <f t="shared" si="9"/>
        <v>0.80100000000000005</v>
      </c>
      <c r="F7" s="3">
        <f t="shared" si="9"/>
        <v>0.84599999999999997</v>
      </c>
      <c r="G7" s="2">
        <f t="shared" si="9"/>
        <v>0.89100000000000001</v>
      </c>
      <c r="I7" s="1">
        <f>SUM(F13:F16)</f>
        <v>3.5649999999999999</v>
      </c>
      <c r="K7" s="14" t="s">
        <v>73</v>
      </c>
      <c r="L7" s="60">
        <v>303.77865589246466</v>
      </c>
      <c r="M7" s="60">
        <v>264.32164663205344</v>
      </c>
      <c r="N7" s="60">
        <v>343.23566515287587</v>
      </c>
      <c r="O7" s="1">
        <f t="shared" si="0"/>
        <v>264.322</v>
      </c>
      <c r="P7" s="1">
        <f t="shared" si="1"/>
        <v>303.779</v>
      </c>
      <c r="Q7" s="1">
        <f t="shared" si="2"/>
        <v>343.23599999999999</v>
      </c>
      <c r="R7" s="14" t="str">
        <f t="shared" si="6"/>
        <v>2023Q1</v>
      </c>
      <c r="S7" s="45">
        <v>0.83932676275032725</v>
      </c>
      <c r="T7" s="45">
        <v>0.78962372736504471</v>
      </c>
      <c r="U7" s="45">
        <v>0.88902979813560978</v>
      </c>
      <c r="V7" s="1">
        <f t="shared" si="3"/>
        <v>0.79</v>
      </c>
      <c r="W7" s="1">
        <f t="shared" si="4"/>
        <v>0.83899999999999997</v>
      </c>
      <c r="X7" s="1">
        <f t="shared" si="5"/>
        <v>0.88900000000000001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264.322</v>
      </c>
      <c r="C8" s="3">
        <f t="shared" si="8"/>
        <v>303.779</v>
      </c>
      <c r="D8" s="2">
        <f t="shared" si="8"/>
        <v>343.23599999999999</v>
      </c>
      <c r="E8" s="2">
        <f t="shared" si="9"/>
        <v>0.79</v>
      </c>
      <c r="F8" s="3">
        <f t="shared" si="9"/>
        <v>0.83899999999999997</v>
      </c>
      <c r="G8" s="2">
        <f t="shared" si="9"/>
        <v>0.88900000000000001</v>
      </c>
      <c r="I8" s="1">
        <f>SUM(F17:F20)</f>
        <v>3.6690000000000005</v>
      </c>
      <c r="K8" s="14" t="s">
        <v>74</v>
      </c>
      <c r="L8" s="60">
        <v>319.36201144725999</v>
      </c>
      <c r="M8" s="60">
        <v>276.98266506059531</v>
      </c>
      <c r="N8" s="60">
        <v>361.74135783392467</v>
      </c>
      <c r="O8" s="1">
        <f t="shared" si="0"/>
        <v>276.983</v>
      </c>
      <c r="P8" s="1">
        <f t="shared" si="1"/>
        <v>319.36200000000002</v>
      </c>
      <c r="Q8" s="1">
        <f t="shared" si="2"/>
        <v>361.74099999999999</v>
      </c>
      <c r="R8" s="14" t="str">
        <f t="shared" si="6"/>
        <v>2023Q2</v>
      </c>
      <c r="S8" s="45">
        <v>0.86248751916218547</v>
      </c>
      <c r="T8" s="45">
        <v>0.80872523300853416</v>
      </c>
      <c r="U8" s="45">
        <v>0.91624980531583677</v>
      </c>
      <c r="V8" s="1">
        <f t="shared" si="3"/>
        <v>0.80900000000000005</v>
      </c>
      <c r="W8" s="1">
        <f t="shared" si="4"/>
        <v>0.86199999999999999</v>
      </c>
      <c r="X8" s="1">
        <f t="shared" si="5"/>
        <v>0.91600000000000004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276.983</v>
      </c>
      <c r="C9" s="3">
        <f t="shared" si="8"/>
        <v>319.36200000000002</v>
      </c>
      <c r="D9" s="2">
        <f t="shared" si="8"/>
        <v>361.74099999999999</v>
      </c>
      <c r="E9" s="2">
        <f t="shared" si="9"/>
        <v>0.80900000000000005</v>
      </c>
      <c r="F9" s="3">
        <f t="shared" si="9"/>
        <v>0.86199999999999999</v>
      </c>
      <c r="G9" s="2">
        <f t="shared" si="9"/>
        <v>0.91600000000000004</v>
      </c>
      <c r="I9" s="1">
        <f>SUM(F21:F24)</f>
        <v>3.7719999999999998</v>
      </c>
      <c r="K9" s="14" t="s">
        <v>75</v>
      </c>
      <c r="L9" s="60">
        <v>317.61977316295889</v>
      </c>
      <c r="M9" s="60">
        <v>272.69668504341138</v>
      </c>
      <c r="N9" s="60">
        <v>362.54286128250641</v>
      </c>
      <c r="O9" s="1">
        <f t="shared" si="0"/>
        <v>272.697</v>
      </c>
      <c r="P9" s="1">
        <f t="shared" si="1"/>
        <v>317.62</v>
      </c>
      <c r="Q9" s="1">
        <f t="shared" si="2"/>
        <v>362.54300000000001</v>
      </c>
      <c r="R9" s="14" t="str">
        <f t="shared" si="6"/>
        <v>2023Q3</v>
      </c>
      <c r="S9" s="45">
        <v>0.86402785257961512</v>
      </c>
      <c r="T9" s="45">
        <v>0.8063661085274082</v>
      </c>
      <c r="U9" s="45">
        <v>0.92168959663182204</v>
      </c>
      <c r="V9" s="1">
        <f t="shared" si="3"/>
        <v>0.80600000000000005</v>
      </c>
      <c r="W9" s="1">
        <f t="shared" si="4"/>
        <v>0.86399999999999999</v>
      </c>
      <c r="X9" s="1">
        <f t="shared" si="5"/>
        <v>0.92200000000000004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272.697</v>
      </c>
      <c r="C10" s="3">
        <f t="shared" si="8"/>
        <v>317.62</v>
      </c>
      <c r="D10" s="2">
        <f t="shared" si="8"/>
        <v>362.54300000000001</v>
      </c>
      <c r="E10" s="2">
        <f t="shared" si="9"/>
        <v>0.80600000000000005</v>
      </c>
      <c r="F10" s="3">
        <f t="shared" si="9"/>
        <v>0.86399999999999999</v>
      </c>
      <c r="G10" s="2">
        <f t="shared" si="9"/>
        <v>0.92200000000000004</v>
      </c>
      <c r="I10" s="1">
        <f>SUM(F25:F28)</f>
        <v>3.8739999999999997</v>
      </c>
      <c r="K10" s="14" t="s">
        <v>76</v>
      </c>
      <c r="L10" s="60">
        <v>320.03278289258617</v>
      </c>
      <c r="M10" s="60">
        <v>272.87030051763554</v>
      </c>
      <c r="N10" s="60">
        <v>367.1952652675368</v>
      </c>
      <c r="O10" s="1">
        <f t="shared" si="0"/>
        <v>272.87</v>
      </c>
      <c r="P10" s="1">
        <f t="shared" si="1"/>
        <v>320.03300000000002</v>
      </c>
      <c r="Q10" s="1">
        <f t="shared" si="2"/>
        <v>367.19499999999999</v>
      </c>
      <c r="R10" s="14" t="str">
        <f t="shared" si="6"/>
        <v>2023Q4</v>
      </c>
      <c r="S10" s="45">
        <v>0.8705202160053277</v>
      </c>
      <c r="T10" s="45">
        <v>0.80926494563354801</v>
      </c>
      <c r="U10" s="45">
        <v>0.93177548637710739</v>
      </c>
      <c r="V10" s="1">
        <f t="shared" si="3"/>
        <v>0.80900000000000005</v>
      </c>
      <c r="W10" s="1">
        <f t="shared" si="4"/>
        <v>0.871</v>
      </c>
      <c r="X10" s="1">
        <f t="shared" si="5"/>
        <v>0.93200000000000005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272.87</v>
      </c>
      <c r="C11" s="3">
        <f t="shared" si="8"/>
        <v>320.03300000000002</v>
      </c>
      <c r="D11" s="2">
        <f t="shared" si="8"/>
        <v>367.19499999999999</v>
      </c>
      <c r="E11" s="2">
        <f t="shared" si="9"/>
        <v>0.80900000000000005</v>
      </c>
      <c r="F11" s="3">
        <f t="shared" si="9"/>
        <v>0.871</v>
      </c>
      <c r="G11" s="2">
        <f t="shared" si="9"/>
        <v>0.93200000000000005</v>
      </c>
      <c r="I11" s="1">
        <f>SUM(F29:F32)</f>
        <v>3.9770000000000003</v>
      </c>
      <c r="K11" s="14" t="s">
        <v>77</v>
      </c>
      <c r="L11" s="60">
        <v>300.57111377255262</v>
      </c>
      <c r="M11" s="60">
        <v>251.42043501764937</v>
      </c>
      <c r="N11" s="60">
        <v>349.72179252745588</v>
      </c>
      <c r="O11" s="1">
        <f t="shared" si="0"/>
        <v>251.42</v>
      </c>
      <c r="P11" s="1">
        <f t="shared" si="1"/>
        <v>300.57100000000003</v>
      </c>
      <c r="Q11" s="1">
        <f t="shared" si="2"/>
        <v>349.72199999999998</v>
      </c>
      <c r="R11" s="14" t="str">
        <f t="shared" si="6"/>
        <v>2024Q1</v>
      </c>
      <c r="S11" s="45">
        <v>0.86549935519919174</v>
      </c>
      <c r="T11" s="45">
        <v>0.8008228217947394</v>
      </c>
      <c r="U11" s="45">
        <v>0.93017588860364409</v>
      </c>
      <c r="V11" s="1">
        <f t="shared" si="3"/>
        <v>0.80100000000000005</v>
      </c>
      <c r="W11" s="1">
        <f t="shared" si="4"/>
        <v>0.86499999999999999</v>
      </c>
      <c r="X11" s="1">
        <f t="shared" si="5"/>
        <v>0.93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251.42</v>
      </c>
      <c r="C12" s="3">
        <f t="shared" si="8"/>
        <v>300.57100000000003</v>
      </c>
      <c r="D12" s="2">
        <f t="shared" si="8"/>
        <v>349.72199999999998</v>
      </c>
      <c r="E12" s="2">
        <f t="shared" si="9"/>
        <v>0.80100000000000005</v>
      </c>
      <c r="F12" s="3">
        <f t="shared" si="9"/>
        <v>0.86499999999999999</v>
      </c>
      <c r="G12" s="2">
        <f t="shared" si="9"/>
        <v>0.93</v>
      </c>
      <c r="K12" s="14" t="s">
        <v>78</v>
      </c>
      <c r="L12" s="60">
        <v>316.26186085385473</v>
      </c>
      <c r="M12" s="60">
        <v>265.3344229308185</v>
      </c>
      <c r="N12" s="60">
        <v>367.18929877689095</v>
      </c>
      <c r="O12" s="1">
        <f t="shared" si="0"/>
        <v>265.334</v>
      </c>
      <c r="P12" s="1">
        <f t="shared" si="1"/>
        <v>316.262</v>
      </c>
      <c r="Q12" s="1">
        <f t="shared" si="2"/>
        <v>367.18900000000002</v>
      </c>
      <c r="R12" s="14" t="str">
        <f t="shared" si="6"/>
        <v>2024Q2</v>
      </c>
      <c r="S12" s="45">
        <v>0.88802652110972513</v>
      </c>
      <c r="T12" s="45">
        <v>0.82011356357406651</v>
      </c>
      <c r="U12" s="45">
        <v>0.95593947864538376</v>
      </c>
      <c r="V12" s="1">
        <f t="shared" si="3"/>
        <v>0.82</v>
      </c>
      <c r="W12" s="1">
        <f t="shared" si="4"/>
        <v>0.88800000000000001</v>
      </c>
      <c r="X12" s="1">
        <f t="shared" si="5"/>
        <v>0.95599999999999996</v>
      </c>
    </row>
    <row r="13" spans="1:30" ht="15.5" thickTop="1" thickBot="1" x14ac:dyDescent="0.4">
      <c r="A13" s="5" t="str">
        <f t="shared" si="7"/>
        <v>2024Q2</v>
      </c>
      <c r="B13" s="2">
        <f t="shared" si="8"/>
        <v>265.334</v>
      </c>
      <c r="C13" s="3">
        <f t="shared" si="8"/>
        <v>316.262</v>
      </c>
      <c r="D13" s="2">
        <f t="shared" si="8"/>
        <v>367.18900000000002</v>
      </c>
      <c r="E13" s="2">
        <f t="shared" si="9"/>
        <v>0.82</v>
      </c>
      <c r="F13" s="3">
        <f t="shared" si="9"/>
        <v>0.88800000000000001</v>
      </c>
      <c r="G13" s="2">
        <f t="shared" si="9"/>
        <v>0.95599999999999996</v>
      </c>
      <c r="K13" s="14" t="s">
        <v>79</v>
      </c>
      <c r="L13" s="60">
        <v>314.62310852226688</v>
      </c>
      <c r="M13" s="60">
        <v>262.09958589829733</v>
      </c>
      <c r="N13" s="60">
        <v>367.14663114623642</v>
      </c>
      <c r="O13" s="1">
        <f t="shared" si="0"/>
        <v>262.10000000000002</v>
      </c>
      <c r="P13" s="1">
        <f t="shared" si="1"/>
        <v>314.62299999999999</v>
      </c>
      <c r="Q13" s="1">
        <f t="shared" si="2"/>
        <v>367.14699999999999</v>
      </c>
      <c r="R13" s="14" t="str">
        <f t="shared" si="6"/>
        <v>2024Q3</v>
      </c>
      <c r="S13" s="45">
        <v>0.88987842090859515</v>
      </c>
      <c r="T13" s="45">
        <v>0.81887042195396942</v>
      </c>
      <c r="U13" s="45">
        <v>0.96088641986322088</v>
      </c>
      <c r="V13" s="1">
        <f t="shared" si="3"/>
        <v>0.81899999999999995</v>
      </c>
      <c r="W13" s="1">
        <f t="shared" si="4"/>
        <v>0.89</v>
      </c>
      <c r="X13" s="1">
        <f t="shared" si="5"/>
        <v>0.96099999999999997</v>
      </c>
    </row>
    <row r="14" spans="1:30" ht="15.5" thickTop="1" thickBot="1" x14ac:dyDescent="0.4">
      <c r="A14" s="5" t="str">
        <f t="shared" si="7"/>
        <v>2024Q3</v>
      </c>
      <c r="B14" s="2">
        <f t="shared" si="8"/>
        <v>262.10000000000002</v>
      </c>
      <c r="C14" s="3">
        <f t="shared" si="8"/>
        <v>314.62299999999999</v>
      </c>
      <c r="D14" s="2">
        <f t="shared" si="8"/>
        <v>367.14699999999999</v>
      </c>
      <c r="E14" s="2">
        <f t="shared" si="9"/>
        <v>0.81899999999999995</v>
      </c>
      <c r="F14" s="3">
        <f t="shared" si="9"/>
        <v>0.89</v>
      </c>
      <c r="G14" s="2">
        <f t="shared" si="9"/>
        <v>0.96099999999999997</v>
      </c>
      <c r="K14" s="14" t="s">
        <v>84</v>
      </c>
      <c r="L14" s="60">
        <v>317.13584066722149</v>
      </c>
      <c r="M14" s="60">
        <v>263.17246863284851</v>
      </c>
      <c r="N14" s="60">
        <v>371.09921270159447</v>
      </c>
      <c r="O14" s="1">
        <f t="shared" si="0"/>
        <v>263.17200000000003</v>
      </c>
      <c r="P14" s="1">
        <f t="shared" si="1"/>
        <v>317.13600000000002</v>
      </c>
      <c r="Q14" s="1">
        <f t="shared" si="2"/>
        <v>371.09899999999999</v>
      </c>
      <c r="R14" s="14" t="str">
        <f t="shared" si="6"/>
        <v>2024Q4</v>
      </c>
      <c r="S14" s="45">
        <v>0.89621757242560529</v>
      </c>
      <c r="T14" s="45">
        <v>0.82224674169659651</v>
      </c>
      <c r="U14" s="45">
        <v>0.97018840315461408</v>
      </c>
      <c r="V14" s="1">
        <f t="shared" si="3"/>
        <v>0.82199999999999995</v>
      </c>
      <c r="W14" s="1">
        <f t="shared" si="4"/>
        <v>0.89600000000000002</v>
      </c>
      <c r="X14" s="1">
        <f t="shared" si="5"/>
        <v>0.97</v>
      </c>
    </row>
    <row r="15" spans="1:30" ht="15.5" thickTop="1" thickBot="1" x14ac:dyDescent="0.4">
      <c r="A15" s="5" t="str">
        <f t="shared" si="7"/>
        <v>2024Q4</v>
      </c>
      <c r="B15" s="2">
        <f t="shared" si="8"/>
        <v>263.17200000000003</v>
      </c>
      <c r="C15" s="3">
        <f t="shared" si="8"/>
        <v>317.13600000000002</v>
      </c>
      <c r="D15" s="2">
        <f t="shared" si="8"/>
        <v>371.09899999999999</v>
      </c>
      <c r="E15" s="2">
        <f t="shared" si="9"/>
        <v>0.82199999999999995</v>
      </c>
      <c r="F15" s="3">
        <f t="shared" si="9"/>
        <v>0.89600000000000002</v>
      </c>
      <c r="G15" s="2">
        <f t="shared" si="9"/>
        <v>0.97</v>
      </c>
      <c r="K15" s="14" t="s">
        <v>81</v>
      </c>
      <c r="L15" s="60">
        <v>297.77026729601164</v>
      </c>
      <c r="M15" s="60">
        <v>242.50344844464422</v>
      </c>
      <c r="N15" s="60">
        <v>353.03708614737906</v>
      </c>
      <c r="O15" s="1">
        <f t="shared" si="0"/>
        <v>242.50299999999999</v>
      </c>
      <c r="P15" s="1">
        <f t="shared" si="1"/>
        <v>297.77</v>
      </c>
      <c r="Q15" s="1">
        <f t="shared" si="2"/>
        <v>353.03699999999998</v>
      </c>
      <c r="R15" s="14" t="str">
        <f t="shared" si="6"/>
        <v>2025Q1</v>
      </c>
      <c r="S15" s="45">
        <v>0.89127205315298053</v>
      </c>
      <c r="T15" s="45">
        <v>0.81445124008453007</v>
      </c>
      <c r="U15" s="45">
        <v>0.96809286622143098</v>
      </c>
      <c r="V15" s="1">
        <f t="shared" si="3"/>
        <v>0.81399999999999995</v>
      </c>
      <c r="W15" s="1">
        <f t="shared" si="4"/>
        <v>0.89100000000000001</v>
      </c>
      <c r="X15" s="1">
        <f t="shared" si="5"/>
        <v>0.96799999999999997</v>
      </c>
    </row>
    <row r="16" spans="1:30" ht="15.5" thickTop="1" thickBot="1" x14ac:dyDescent="0.4">
      <c r="A16" s="5" t="str">
        <f t="shared" si="7"/>
        <v>2025Q1</v>
      </c>
      <c r="B16" s="2">
        <f t="shared" si="8"/>
        <v>242.50299999999999</v>
      </c>
      <c r="C16" s="3">
        <f t="shared" si="8"/>
        <v>297.77</v>
      </c>
      <c r="D16" s="2">
        <f t="shared" si="8"/>
        <v>353.03699999999998</v>
      </c>
      <c r="E16" s="2">
        <f t="shared" si="9"/>
        <v>0.81399999999999995</v>
      </c>
      <c r="F16" s="3">
        <f t="shared" si="9"/>
        <v>0.89100000000000001</v>
      </c>
      <c r="G16" s="2">
        <f t="shared" si="9"/>
        <v>0.96799999999999997</v>
      </c>
      <c r="K16" s="14" t="s">
        <v>82</v>
      </c>
      <c r="L16" s="60">
        <v>313.55361535284868</v>
      </c>
      <c r="M16" s="60">
        <v>257.10337545583758</v>
      </c>
      <c r="N16" s="60">
        <v>370.00385524985978</v>
      </c>
      <c r="O16" s="1">
        <f t="shared" si="0"/>
        <v>257.10300000000001</v>
      </c>
      <c r="P16" s="1">
        <f t="shared" si="1"/>
        <v>313.55399999999997</v>
      </c>
      <c r="Q16" s="1">
        <f t="shared" si="2"/>
        <v>370.00400000000002</v>
      </c>
      <c r="R16" s="14" t="str">
        <f t="shared" si="6"/>
        <v>2025Q2</v>
      </c>
      <c r="S16" s="45">
        <v>0.91376217007221894</v>
      </c>
      <c r="T16" s="45">
        <v>0.83419402497688422</v>
      </c>
      <c r="U16" s="45">
        <v>0.99333031516755366</v>
      </c>
      <c r="V16" s="1">
        <f t="shared" si="3"/>
        <v>0.83399999999999996</v>
      </c>
      <c r="W16" s="1">
        <f t="shared" si="4"/>
        <v>0.91400000000000003</v>
      </c>
      <c r="X16" s="1">
        <f t="shared" si="5"/>
        <v>0.99299999999999999</v>
      </c>
    </row>
    <row r="17" spans="1:24" ht="15.5" thickTop="1" thickBot="1" x14ac:dyDescent="0.4">
      <c r="A17" s="5" t="str">
        <f t="shared" si="7"/>
        <v>2025Q2</v>
      </c>
      <c r="B17" s="2">
        <f t="shared" si="8"/>
        <v>257.10300000000001</v>
      </c>
      <c r="C17" s="3">
        <f t="shared" si="8"/>
        <v>313.55399999999997</v>
      </c>
      <c r="D17" s="2">
        <f t="shared" si="8"/>
        <v>370.00400000000002</v>
      </c>
      <c r="E17" s="2">
        <f t="shared" si="9"/>
        <v>0.83399999999999996</v>
      </c>
      <c r="F17" s="3">
        <f t="shared" si="9"/>
        <v>0.91400000000000003</v>
      </c>
      <c r="G17" s="2">
        <f t="shared" si="9"/>
        <v>0.99299999999999999</v>
      </c>
      <c r="K17" s="14" t="s">
        <v>83</v>
      </c>
      <c r="L17" s="60">
        <v>312.00409632007955</v>
      </c>
      <c r="M17" s="60">
        <v>254.47674144097326</v>
      </c>
      <c r="N17" s="60">
        <v>369.53145119918582</v>
      </c>
      <c r="O17" s="1">
        <f t="shared" si="0"/>
        <v>254.477</v>
      </c>
      <c r="P17" s="1">
        <f t="shared" si="1"/>
        <v>312.00400000000002</v>
      </c>
      <c r="Q17" s="1">
        <f t="shared" si="2"/>
        <v>369.53100000000001</v>
      </c>
      <c r="R17" s="14" t="str">
        <f t="shared" si="6"/>
        <v>2025Q3</v>
      </c>
      <c r="S17" s="45">
        <v>0.91563228861036861</v>
      </c>
      <c r="T17" s="45">
        <v>0.83340825419570574</v>
      </c>
      <c r="U17" s="45">
        <v>0.99785632302503147</v>
      </c>
      <c r="V17" s="1">
        <f t="shared" si="3"/>
        <v>0.83299999999999996</v>
      </c>
      <c r="W17" s="1">
        <f t="shared" si="4"/>
        <v>0.91600000000000004</v>
      </c>
      <c r="X17" s="1">
        <f t="shared" si="5"/>
        <v>0.998</v>
      </c>
    </row>
    <row r="18" spans="1:24" ht="15.5" thickTop="1" thickBot="1" x14ac:dyDescent="0.4">
      <c r="A18" s="5" t="str">
        <f t="shared" si="7"/>
        <v>2025Q3</v>
      </c>
      <c r="B18" s="2">
        <f t="shared" si="8"/>
        <v>254.477</v>
      </c>
      <c r="C18" s="3">
        <f t="shared" si="8"/>
        <v>312.00400000000002</v>
      </c>
      <c r="D18" s="2">
        <f t="shared" si="8"/>
        <v>369.53100000000001</v>
      </c>
      <c r="E18" s="2">
        <f t="shared" si="9"/>
        <v>0.83299999999999996</v>
      </c>
      <c r="F18" s="3">
        <f t="shared" si="9"/>
        <v>0.91600000000000004</v>
      </c>
      <c r="G18" s="2">
        <f t="shared" si="9"/>
        <v>0.998</v>
      </c>
      <c r="K18" s="14" t="s">
        <v>80</v>
      </c>
      <c r="L18" s="60">
        <v>314.60281656151039</v>
      </c>
      <c r="M18" s="60">
        <v>256.09301890354169</v>
      </c>
      <c r="N18" s="60">
        <v>373.1126142194791</v>
      </c>
      <c r="O18" s="1">
        <f t="shared" si="0"/>
        <v>256.09300000000002</v>
      </c>
      <c r="P18" s="1">
        <f t="shared" si="1"/>
        <v>314.60300000000001</v>
      </c>
      <c r="Q18" s="1">
        <f t="shared" si="2"/>
        <v>373.113</v>
      </c>
      <c r="R18" s="14" t="str">
        <f t="shared" si="6"/>
        <v>2025Q4</v>
      </c>
      <c r="S18" s="45">
        <v>0.92196248111258938</v>
      </c>
      <c r="T18" s="45">
        <v>0.83716584495925517</v>
      </c>
      <c r="U18" s="45">
        <v>1.0067591172659236</v>
      </c>
      <c r="V18" s="1">
        <f t="shared" si="3"/>
        <v>0.83699999999999997</v>
      </c>
      <c r="W18" s="1">
        <f t="shared" si="4"/>
        <v>0.92200000000000004</v>
      </c>
      <c r="X18" s="1">
        <f t="shared" si="5"/>
        <v>1.0069999999999999</v>
      </c>
    </row>
    <row r="19" spans="1:24" ht="15.5" thickTop="1" thickBot="1" x14ac:dyDescent="0.4">
      <c r="A19" s="5" t="str">
        <f t="shared" si="7"/>
        <v>2025Q4</v>
      </c>
      <c r="B19" s="2">
        <f t="shared" si="8"/>
        <v>256.09300000000002</v>
      </c>
      <c r="C19" s="3">
        <f t="shared" si="8"/>
        <v>314.60300000000001</v>
      </c>
      <c r="D19" s="2">
        <f t="shared" si="8"/>
        <v>373.113</v>
      </c>
      <c r="E19" s="2">
        <f t="shared" si="9"/>
        <v>0.83699999999999997</v>
      </c>
      <c r="F19" s="3">
        <f t="shared" si="9"/>
        <v>0.92200000000000004</v>
      </c>
      <c r="G19" s="2">
        <f t="shared" si="9"/>
        <v>1.0069999999999999</v>
      </c>
      <c r="K19" s="14" t="s">
        <v>92</v>
      </c>
      <c r="L19" s="60">
        <v>295.32010410470679</v>
      </c>
      <c r="M19" s="60">
        <v>235.91256876837571</v>
      </c>
      <c r="N19" s="60">
        <v>354.72763944103787</v>
      </c>
      <c r="O19" s="1">
        <f t="shared" si="0"/>
        <v>235.91300000000001</v>
      </c>
      <c r="P19" s="1">
        <f t="shared" si="1"/>
        <v>295.32</v>
      </c>
      <c r="Q19" s="1">
        <f t="shared" si="2"/>
        <v>354.72800000000001</v>
      </c>
      <c r="R19" s="14" t="str">
        <f t="shared" si="6"/>
        <v>2026Q1</v>
      </c>
      <c r="S19" s="45">
        <v>0.91702136741077633</v>
      </c>
      <c r="T19" s="45">
        <v>0.82972784419441581</v>
      </c>
      <c r="U19" s="45">
        <v>1.0043148906271371</v>
      </c>
      <c r="V19" s="1">
        <f t="shared" si="3"/>
        <v>0.83</v>
      </c>
      <c r="W19" s="1">
        <f t="shared" si="4"/>
        <v>0.91700000000000004</v>
      </c>
      <c r="X19" s="1">
        <f t="shared" si="5"/>
        <v>1.004</v>
      </c>
    </row>
    <row r="20" spans="1:24" ht="15.5" thickTop="1" thickBot="1" x14ac:dyDescent="0.4">
      <c r="A20" s="5" t="str">
        <f t="shared" si="7"/>
        <v>2026Q1</v>
      </c>
      <c r="B20" s="2">
        <f t="shared" si="8"/>
        <v>235.91300000000001</v>
      </c>
      <c r="C20" s="3">
        <f t="shared" si="8"/>
        <v>295.32</v>
      </c>
      <c r="D20" s="2">
        <f t="shared" si="8"/>
        <v>354.72800000000001</v>
      </c>
      <c r="E20" s="2">
        <f t="shared" si="9"/>
        <v>0.83</v>
      </c>
      <c r="F20" s="3">
        <f t="shared" si="9"/>
        <v>0.91700000000000004</v>
      </c>
      <c r="G20" s="2">
        <f t="shared" si="9"/>
        <v>1.004</v>
      </c>
      <c r="K20" s="14" t="s">
        <v>93</v>
      </c>
      <c r="L20" s="60">
        <v>311.18329962203643</v>
      </c>
      <c r="M20" s="60">
        <v>250.95411707729465</v>
      </c>
      <c r="N20" s="60">
        <v>371.4124821667782</v>
      </c>
      <c r="O20" s="1">
        <f t="shared" si="0"/>
        <v>250.95400000000001</v>
      </c>
      <c r="P20" s="1">
        <f t="shared" si="1"/>
        <v>311.18299999999999</v>
      </c>
      <c r="Q20" s="1">
        <f t="shared" si="2"/>
        <v>371.41199999999998</v>
      </c>
      <c r="R20" s="14" t="str">
        <f t="shared" si="6"/>
        <v>2026Q2</v>
      </c>
      <c r="S20" s="45">
        <v>0.93950931790271963</v>
      </c>
      <c r="T20" s="45">
        <v>0.84978840074960893</v>
      </c>
      <c r="U20" s="45">
        <v>1.0292302350558302</v>
      </c>
      <c r="V20" s="1">
        <f t="shared" si="3"/>
        <v>0.85</v>
      </c>
      <c r="W20" s="1">
        <f t="shared" si="4"/>
        <v>0.94</v>
      </c>
      <c r="X20" s="1">
        <f t="shared" si="5"/>
        <v>1.0289999999999999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250.95400000000001</v>
      </c>
      <c r="C21" s="3">
        <f t="shared" si="10"/>
        <v>311.18299999999999</v>
      </c>
      <c r="D21" s="2">
        <f t="shared" si="10"/>
        <v>371.41199999999998</v>
      </c>
      <c r="E21" s="2">
        <f t="shared" ref="E21:G35" si="11">V20</f>
        <v>0.85</v>
      </c>
      <c r="F21" s="3">
        <f t="shared" si="11"/>
        <v>0.94</v>
      </c>
      <c r="G21" s="2">
        <f t="shared" si="11"/>
        <v>1.0289999999999999</v>
      </c>
      <c r="K21" s="14" t="s">
        <v>94</v>
      </c>
      <c r="L21" s="60">
        <v>309.71072418798121</v>
      </c>
      <c r="M21" s="60">
        <v>248.72848248763756</v>
      </c>
      <c r="N21" s="60">
        <v>370.69296588832486</v>
      </c>
      <c r="O21" s="1">
        <f t="shared" si="0"/>
        <v>248.72800000000001</v>
      </c>
      <c r="P21" s="1">
        <f t="shared" si="1"/>
        <v>309.71100000000001</v>
      </c>
      <c r="Q21" s="1">
        <f t="shared" si="2"/>
        <v>370.69299999999998</v>
      </c>
      <c r="R21" s="14" t="str">
        <f t="shared" si="6"/>
        <v>2026Q3</v>
      </c>
      <c r="S21" s="45">
        <v>0.94138050177551624</v>
      </c>
      <c r="T21" s="45">
        <v>0.84929614011770727</v>
      </c>
      <c r="U21" s="45">
        <v>1.033464863433325</v>
      </c>
      <c r="V21" s="1">
        <f t="shared" si="3"/>
        <v>0.84899999999999998</v>
      </c>
      <c r="W21" s="1">
        <f t="shared" si="4"/>
        <v>0.94099999999999995</v>
      </c>
      <c r="X21" s="1">
        <f t="shared" si="5"/>
        <v>1.0329999999999999</v>
      </c>
    </row>
    <row r="22" spans="1:24" ht="15.5" thickTop="1" thickBot="1" x14ac:dyDescent="0.4">
      <c r="A22" s="5" t="str">
        <f t="shared" si="7"/>
        <v>2026Q3</v>
      </c>
      <c r="B22" s="2">
        <f t="shared" si="10"/>
        <v>248.72800000000001</v>
      </c>
      <c r="C22" s="3">
        <f t="shared" si="10"/>
        <v>309.71100000000001</v>
      </c>
      <c r="D22" s="2">
        <f t="shared" si="10"/>
        <v>370.69299999999998</v>
      </c>
      <c r="E22" s="2">
        <f t="shared" si="11"/>
        <v>0.84899999999999998</v>
      </c>
      <c r="F22" s="3">
        <f t="shared" si="11"/>
        <v>0.94099999999999995</v>
      </c>
      <c r="G22" s="2">
        <f t="shared" si="11"/>
        <v>1.0329999999999999</v>
      </c>
      <c r="K22" s="14" t="s">
        <v>95</v>
      </c>
      <c r="L22" s="60">
        <v>312.38358977287703</v>
      </c>
      <c r="M22" s="60">
        <v>250.71029996555882</v>
      </c>
      <c r="N22" s="60">
        <v>374.05687958019524</v>
      </c>
      <c r="O22" s="1">
        <f t="shared" si="0"/>
        <v>250.71</v>
      </c>
      <c r="P22" s="1">
        <f t="shared" si="1"/>
        <v>312.38400000000001</v>
      </c>
      <c r="Q22" s="1">
        <f t="shared" si="2"/>
        <v>374.05700000000002</v>
      </c>
      <c r="R22" s="14" t="str">
        <f t="shared" si="6"/>
        <v>2026Q4</v>
      </c>
      <c r="S22" s="45">
        <v>0.94771017040236272</v>
      </c>
      <c r="T22" s="45">
        <v>0.85332153274335609</v>
      </c>
      <c r="U22" s="45">
        <v>1.0420988080613691</v>
      </c>
      <c r="V22" s="1">
        <f t="shared" si="3"/>
        <v>0.85299999999999998</v>
      </c>
      <c r="W22" s="1">
        <f t="shared" si="4"/>
        <v>0.94799999999999995</v>
      </c>
      <c r="X22" s="1">
        <f t="shared" si="5"/>
        <v>1.042</v>
      </c>
    </row>
    <row r="23" spans="1:24" ht="15.5" thickTop="1" thickBot="1" x14ac:dyDescent="0.4">
      <c r="A23" s="5" t="str">
        <f t="shared" si="7"/>
        <v>2026Q4</v>
      </c>
      <c r="B23" s="2">
        <f t="shared" si="10"/>
        <v>250.71</v>
      </c>
      <c r="C23" s="3">
        <f t="shared" si="10"/>
        <v>312.38400000000001</v>
      </c>
      <c r="D23" s="2">
        <f t="shared" si="10"/>
        <v>374.05700000000002</v>
      </c>
      <c r="E23" s="2">
        <f t="shared" si="11"/>
        <v>0.85299999999999998</v>
      </c>
      <c r="F23" s="3">
        <f t="shared" si="11"/>
        <v>0.94799999999999995</v>
      </c>
      <c r="G23" s="2">
        <f t="shared" si="11"/>
        <v>1.042</v>
      </c>
      <c r="K23" s="14" t="s">
        <v>96</v>
      </c>
      <c r="L23" s="60">
        <v>293.17232617016174</v>
      </c>
      <c r="M23" s="60">
        <v>230.86420028118567</v>
      </c>
      <c r="N23" s="60">
        <v>355.4804520591378</v>
      </c>
      <c r="O23" s="1">
        <f t="shared" si="0"/>
        <v>230.864</v>
      </c>
      <c r="P23" s="1">
        <f t="shared" si="1"/>
        <v>293.17200000000003</v>
      </c>
      <c r="Q23" s="1">
        <f t="shared" si="2"/>
        <v>355.48</v>
      </c>
      <c r="R23" s="14" t="str">
        <f t="shared" si="6"/>
        <v>2027Q1</v>
      </c>
      <c r="S23" s="45">
        <v>0.94276931431482003</v>
      </c>
      <c r="T23" s="45">
        <v>0.84613132551390391</v>
      </c>
      <c r="U23" s="45">
        <v>1.0394073031157363</v>
      </c>
      <c r="V23" s="1">
        <f t="shared" si="3"/>
        <v>0.84599999999999997</v>
      </c>
      <c r="W23" s="1">
        <f t="shared" si="4"/>
        <v>0.94299999999999995</v>
      </c>
      <c r="X23" s="1">
        <f t="shared" si="5"/>
        <v>1.0389999999999999</v>
      </c>
    </row>
    <row r="24" spans="1:24" ht="15.5" thickTop="1" thickBot="1" x14ac:dyDescent="0.4">
      <c r="A24" s="5" t="str">
        <f t="shared" si="7"/>
        <v>2027Q1</v>
      </c>
      <c r="B24" s="2">
        <f t="shared" si="10"/>
        <v>230.864</v>
      </c>
      <c r="C24" s="3">
        <f t="shared" si="10"/>
        <v>293.17200000000003</v>
      </c>
      <c r="D24" s="2">
        <f t="shared" si="10"/>
        <v>355.48</v>
      </c>
      <c r="E24" s="2">
        <f t="shared" si="11"/>
        <v>0.84599999999999997</v>
      </c>
      <c r="F24" s="3">
        <f t="shared" si="11"/>
        <v>0.94299999999999995</v>
      </c>
      <c r="G24" s="2">
        <f t="shared" si="11"/>
        <v>1.0389999999999999</v>
      </c>
      <c r="K24" s="14" t="s">
        <v>97</v>
      </c>
      <c r="L24" s="60">
        <v>309.10437211709336</v>
      </c>
      <c r="M24" s="60">
        <v>246.21248319950831</v>
      </c>
      <c r="N24" s="60">
        <v>371.99626103467841</v>
      </c>
      <c r="O24" s="1">
        <f t="shared" si="0"/>
        <v>246.21199999999999</v>
      </c>
      <c r="P24" s="1">
        <f t="shared" si="1"/>
        <v>309.10399999999998</v>
      </c>
      <c r="Q24" s="1">
        <f t="shared" si="2"/>
        <v>371.99599999999998</v>
      </c>
      <c r="R24" s="14" t="str">
        <f t="shared" si="6"/>
        <v>2027Q2</v>
      </c>
      <c r="S24" s="45">
        <v>0.96525713812565628</v>
      </c>
      <c r="T24" s="45">
        <v>0.86642097827477538</v>
      </c>
      <c r="U24" s="45">
        <v>1.0640932979765372</v>
      </c>
      <c r="V24" s="1">
        <f t="shared" si="3"/>
        <v>0.86599999999999999</v>
      </c>
      <c r="W24" s="1">
        <f t="shared" si="4"/>
        <v>0.96499999999999997</v>
      </c>
      <c r="X24" s="1">
        <f t="shared" si="5"/>
        <v>1.0640000000000001</v>
      </c>
    </row>
    <row r="25" spans="1:24" ht="15.5" thickTop="1" thickBot="1" x14ac:dyDescent="0.4">
      <c r="A25" s="5" t="str">
        <f t="shared" si="7"/>
        <v>2027Q2</v>
      </c>
      <c r="B25" s="2">
        <f t="shared" si="10"/>
        <v>246.21199999999999</v>
      </c>
      <c r="C25" s="3">
        <f t="shared" si="10"/>
        <v>309.10399999999998</v>
      </c>
      <c r="D25" s="2">
        <f t="shared" si="10"/>
        <v>371.99599999999998</v>
      </c>
      <c r="E25" s="2">
        <f t="shared" si="11"/>
        <v>0.86599999999999999</v>
      </c>
      <c r="F25" s="3">
        <f t="shared" si="11"/>
        <v>0.96499999999999997</v>
      </c>
      <c r="G25" s="2">
        <f t="shared" si="11"/>
        <v>1.0640000000000001</v>
      </c>
      <c r="K25" s="14" t="s">
        <v>98</v>
      </c>
      <c r="L25" s="60">
        <v>307.69814318665743</v>
      </c>
      <c r="M25" s="60">
        <v>244.26898989980157</v>
      </c>
      <c r="N25" s="60">
        <v>371.1272964735133</v>
      </c>
      <c r="O25" s="1">
        <f t="shared" si="0"/>
        <v>244.26900000000001</v>
      </c>
      <c r="P25" s="1">
        <f t="shared" si="1"/>
        <v>307.69799999999998</v>
      </c>
      <c r="Q25" s="1">
        <f t="shared" si="2"/>
        <v>371.12700000000001</v>
      </c>
      <c r="R25" s="14" t="str">
        <f t="shared" si="6"/>
        <v>2027Q3</v>
      </c>
      <c r="S25" s="45">
        <v>0.96712838429353776</v>
      </c>
      <c r="T25" s="45">
        <v>0.86614188876721476</v>
      </c>
      <c r="U25" s="45">
        <v>1.0681148798198605</v>
      </c>
      <c r="V25" s="1">
        <f t="shared" si="3"/>
        <v>0.86599999999999999</v>
      </c>
      <c r="W25" s="1">
        <f t="shared" si="4"/>
        <v>0.96699999999999997</v>
      </c>
      <c r="X25" s="1">
        <f t="shared" si="5"/>
        <v>1.0680000000000001</v>
      </c>
    </row>
    <row r="26" spans="1:24" ht="15.5" thickTop="1" thickBot="1" x14ac:dyDescent="0.4">
      <c r="A26" s="5" t="str">
        <f t="shared" si="7"/>
        <v>2027Q3</v>
      </c>
      <c r="B26" s="2">
        <f t="shared" si="10"/>
        <v>244.26900000000001</v>
      </c>
      <c r="C26" s="3">
        <f t="shared" si="10"/>
        <v>307.69799999999998</v>
      </c>
      <c r="D26" s="2">
        <f t="shared" si="10"/>
        <v>371.12700000000001</v>
      </c>
      <c r="E26" s="2">
        <f t="shared" si="11"/>
        <v>0.86599999999999999</v>
      </c>
      <c r="F26" s="3">
        <f t="shared" si="11"/>
        <v>0.96699999999999997</v>
      </c>
      <c r="G26" s="2">
        <f t="shared" si="11"/>
        <v>1.0680000000000001</v>
      </c>
      <c r="K26" s="14" t="s">
        <v>99</v>
      </c>
      <c r="L26" s="60">
        <v>310.43494241100831</v>
      </c>
      <c r="M26" s="60">
        <v>246.51093546431184</v>
      </c>
      <c r="N26" s="60">
        <v>374.35894935770477</v>
      </c>
      <c r="O26" s="1">
        <f t="shared" si="0"/>
        <v>246.511</v>
      </c>
      <c r="P26" s="1">
        <f t="shared" si="1"/>
        <v>310.435</v>
      </c>
      <c r="Q26" s="1">
        <f t="shared" si="2"/>
        <v>374.35899999999998</v>
      </c>
      <c r="R26" s="14" t="str">
        <f t="shared" si="6"/>
        <v>2027Q4</v>
      </c>
      <c r="S26" s="45">
        <v>0.97345802228694811</v>
      </c>
      <c r="T26" s="45">
        <v>0.87036603433593251</v>
      </c>
      <c r="U26" s="45">
        <v>1.0765500102379637</v>
      </c>
      <c r="V26" s="1">
        <f t="shared" si="3"/>
        <v>0.87</v>
      </c>
      <c r="W26" s="1">
        <f t="shared" si="4"/>
        <v>0.97299999999999998</v>
      </c>
      <c r="X26" s="1">
        <f t="shared" si="5"/>
        <v>1.077</v>
      </c>
    </row>
    <row r="27" spans="1:24" ht="15.5" thickTop="1" thickBot="1" x14ac:dyDescent="0.4">
      <c r="A27" s="5" t="str">
        <f t="shared" si="7"/>
        <v>2027Q4</v>
      </c>
      <c r="B27" s="2">
        <f t="shared" si="10"/>
        <v>246.511</v>
      </c>
      <c r="C27" s="3">
        <f t="shared" si="10"/>
        <v>310.435</v>
      </c>
      <c r="D27" s="2">
        <f t="shared" si="10"/>
        <v>374.35899999999998</v>
      </c>
      <c r="E27" s="2">
        <f t="shared" si="11"/>
        <v>0.87</v>
      </c>
      <c r="F27" s="3">
        <f t="shared" si="11"/>
        <v>0.97299999999999998</v>
      </c>
      <c r="G27" s="2">
        <f t="shared" si="11"/>
        <v>1.077</v>
      </c>
      <c r="K27" s="14" t="s">
        <v>100</v>
      </c>
      <c r="L27" s="60">
        <v>291.28528733370138</v>
      </c>
      <c r="M27" s="60">
        <v>226.90517135347426</v>
      </c>
      <c r="N27" s="60">
        <v>355.66540331392849</v>
      </c>
      <c r="O27" s="1">
        <f t="shared" si="0"/>
        <v>226.905</v>
      </c>
      <c r="P27" s="1">
        <f t="shared" si="1"/>
        <v>291.28500000000003</v>
      </c>
      <c r="Q27" s="1">
        <f t="shared" si="2"/>
        <v>355.66500000000002</v>
      </c>
      <c r="R27" s="14" t="str">
        <f t="shared" si="6"/>
        <v>2028Q1</v>
      </c>
      <c r="S27" s="45">
        <v>0.9685171812633131</v>
      </c>
      <c r="T27" s="45">
        <v>0.86336184986345477</v>
      </c>
      <c r="U27" s="45">
        <v>1.0736725126631714</v>
      </c>
      <c r="V27" s="1">
        <f t="shared" si="3"/>
        <v>0.86299999999999999</v>
      </c>
      <c r="W27" s="1">
        <f t="shared" si="4"/>
        <v>0.96899999999999997</v>
      </c>
      <c r="X27" s="1">
        <f t="shared" si="5"/>
        <v>1.0740000000000001</v>
      </c>
    </row>
    <row r="28" spans="1:24" ht="15.5" thickTop="1" thickBot="1" x14ac:dyDescent="0.4">
      <c r="A28" s="5" t="str">
        <f t="shared" si="7"/>
        <v>2028Q1</v>
      </c>
      <c r="B28" s="2">
        <f t="shared" si="10"/>
        <v>226.905</v>
      </c>
      <c r="C28" s="3">
        <f t="shared" si="10"/>
        <v>291.28500000000003</v>
      </c>
      <c r="D28" s="2">
        <f t="shared" si="10"/>
        <v>355.66500000000002</v>
      </c>
      <c r="E28" s="2">
        <f t="shared" si="11"/>
        <v>0.86299999999999999</v>
      </c>
      <c r="F28" s="3">
        <f t="shared" si="11"/>
        <v>0.96899999999999997</v>
      </c>
      <c r="G28" s="2">
        <f t="shared" si="11"/>
        <v>1.0740000000000001</v>
      </c>
      <c r="K28" s="14" t="s">
        <v>101</v>
      </c>
      <c r="L28" s="60">
        <v>307.2767012508491</v>
      </c>
      <c r="M28" s="60">
        <v>242.4759227963703</v>
      </c>
      <c r="N28" s="60">
        <v>372.0774797053279</v>
      </c>
      <c r="O28" s="1">
        <f t="shared" si="0"/>
        <v>242.476</v>
      </c>
      <c r="P28" s="1">
        <f t="shared" si="1"/>
        <v>307.27699999999999</v>
      </c>
      <c r="Q28" s="1">
        <f t="shared" si="2"/>
        <v>372.077</v>
      </c>
      <c r="R28" s="14" t="str">
        <f t="shared" si="6"/>
        <v>2028Q2</v>
      </c>
      <c r="S28" s="45">
        <v>0.9910049976665144</v>
      </c>
      <c r="T28" s="45">
        <v>0.88382603777364954</v>
      </c>
      <c r="U28" s="45">
        <v>1.0981839575593793</v>
      </c>
      <c r="V28" s="1">
        <f t="shared" si="3"/>
        <v>0.88400000000000001</v>
      </c>
      <c r="W28" s="1">
        <f t="shared" si="4"/>
        <v>0.99099999999999999</v>
      </c>
      <c r="X28" s="1">
        <f t="shared" si="5"/>
        <v>1.0980000000000001</v>
      </c>
    </row>
    <row r="29" spans="1:24" ht="15.5" thickTop="1" thickBot="1" x14ac:dyDescent="0.4">
      <c r="A29" s="5" t="str">
        <f t="shared" si="7"/>
        <v>2028Q2</v>
      </c>
      <c r="B29" s="2">
        <f t="shared" si="10"/>
        <v>242.476</v>
      </c>
      <c r="C29" s="3">
        <f t="shared" si="10"/>
        <v>307.27699999999999</v>
      </c>
      <c r="D29" s="2">
        <f t="shared" si="10"/>
        <v>372.077</v>
      </c>
      <c r="E29" s="2">
        <f t="shared" si="11"/>
        <v>0.88400000000000001</v>
      </c>
      <c r="F29" s="3">
        <f t="shared" si="11"/>
        <v>0.99099999999999999</v>
      </c>
      <c r="G29" s="2">
        <f t="shared" si="11"/>
        <v>1.0980000000000001</v>
      </c>
      <c r="K29" s="14" t="s">
        <v>102</v>
      </c>
      <c r="L29" s="60">
        <v>305.92768121908802</v>
      </c>
      <c r="M29" s="60">
        <v>240.73871152533923</v>
      </c>
      <c r="N29" s="60">
        <v>371.1166509128368</v>
      </c>
      <c r="O29" s="1">
        <f t="shared" si="0"/>
        <v>240.739</v>
      </c>
      <c r="P29" s="1">
        <f t="shared" si="1"/>
        <v>305.928</v>
      </c>
      <c r="Q29" s="1">
        <f t="shared" si="2"/>
        <v>371.11700000000002</v>
      </c>
      <c r="R29" s="14" t="str">
        <f t="shared" si="6"/>
        <v>2028Q3</v>
      </c>
      <c r="S29" s="45">
        <v>0.99287624747708014</v>
      </c>
      <c r="T29" s="45">
        <v>0.88371116525954374</v>
      </c>
      <c r="U29" s="45">
        <v>1.1020413296946163</v>
      </c>
      <c r="V29" s="1">
        <f t="shared" si="3"/>
        <v>0.88400000000000001</v>
      </c>
      <c r="W29" s="1">
        <f t="shared" si="4"/>
        <v>0.99299999999999999</v>
      </c>
      <c r="X29" s="1">
        <f t="shared" si="5"/>
        <v>1.1020000000000001</v>
      </c>
    </row>
    <row r="30" spans="1:24" ht="15.5" thickTop="1" thickBot="1" x14ac:dyDescent="0.4">
      <c r="A30" s="5" t="str">
        <f t="shared" si="7"/>
        <v>2028Q3</v>
      </c>
      <c r="B30" s="2">
        <f t="shared" si="10"/>
        <v>240.739</v>
      </c>
      <c r="C30" s="3">
        <f t="shared" si="10"/>
        <v>305.928</v>
      </c>
      <c r="D30" s="2">
        <f t="shared" si="10"/>
        <v>371.11700000000002</v>
      </c>
      <c r="E30" s="2">
        <f t="shared" si="11"/>
        <v>0.88400000000000001</v>
      </c>
      <c r="F30" s="3">
        <f t="shared" si="11"/>
        <v>0.99299999999999999</v>
      </c>
      <c r="G30" s="2">
        <f t="shared" si="11"/>
        <v>1.1020000000000001</v>
      </c>
      <c r="K30" s="14" t="s">
        <v>103</v>
      </c>
      <c r="L30" s="60">
        <v>308.71960879085714</v>
      </c>
      <c r="M30" s="60">
        <v>243.17222816445269</v>
      </c>
      <c r="N30" s="60">
        <v>374.26698941726158</v>
      </c>
      <c r="O30" s="1">
        <f t="shared" si="0"/>
        <v>243.172</v>
      </c>
      <c r="P30" s="1">
        <f t="shared" si="1"/>
        <v>308.72000000000003</v>
      </c>
      <c r="Q30" s="1">
        <f t="shared" si="2"/>
        <v>374.267</v>
      </c>
      <c r="R30" s="14" t="str">
        <f t="shared" si="6"/>
        <v>2028Q4</v>
      </c>
      <c r="S30" s="45">
        <v>0.99920588367921048</v>
      </c>
      <c r="T30" s="45">
        <v>0.88809017415748148</v>
      </c>
      <c r="U30" s="45">
        <v>1.1103215932009394</v>
      </c>
      <c r="V30" s="1">
        <f t="shared" si="3"/>
        <v>0.88800000000000001</v>
      </c>
      <c r="W30" s="1">
        <f t="shared" si="4"/>
        <v>0.999</v>
      </c>
      <c r="X30" s="1">
        <f t="shared" si="5"/>
        <v>1.1100000000000001</v>
      </c>
    </row>
    <row r="31" spans="1:24" ht="15.5" thickTop="1" thickBot="1" x14ac:dyDescent="0.4">
      <c r="A31" s="5" t="str">
        <f t="shared" si="7"/>
        <v>2028Q4</v>
      </c>
      <c r="B31" s="2">
        <f t="shared" si="10"/>
        <v>243.172</v>
      </c>
      <c r="C31" s="3">
        <f t="shared" si="10"/>
        <v>308.72000000000003</v>
      </c>
      <c r="D31" s="2">
        <f t="shared" si="10"/>
        <v>374.267</v>
      </c>
      <c r="E31" s="2">
        <f t="shared" si="11"/>
        <v>0.88800000000000001</v>
      </c>
      <c r="F31" s="3">
        <f t="shared" si="11"/>
        <v>0.999</v>
      </c>
      <c r="G31" s="2">
        <f t="shared" si="11"/>
        <v>1.1100000000000001</v>
      </c>
      <c r="K31" s="14" t="s">
        <v>104</v>
      </c>
      <c r="L31" s="60">
        <v>289.62307717440075</v>
      </c>
      <c r="M31" s="60">
        <v>223.74462668701858</v>
      </c>
      <c r="N31" s="60">
        <v>355.50152766178292</v>
      </c>
      <c r="O31" s="1">
        <f t="shared" si="0"/>
        <v>223.745</v>
      </c>
      <c r="P31" s="1">
        <f t="shared" si="1"/>
        <v>289.62299999999999</v>
      </c>
      <c r="Q31" s="1">
        <f t="shared" si="2"/>
        <v>355.50200000000001</v>
      </c>
      <c r="R31" s="14" t="str">
        <f t="shared" si="6"/>
        <v>2029Q1</v>
      </c>
      <c r="S31" s="45">
        <v>0.99426504353643252</v>
      </c>
      <c r="T31" s="45">
        <v>0.88123236405002314</v>
      </c>
      <c r="U31" s="45">
        <v>1.107297723022842</v>
      </c>
      <c r="V31" s="1">
        <f t="shared" si="3"/>
        <v>0.88100000000000001</v>
      </c>
      <c r="W31" s="1">
        <f t="shared" si="4"/>
        <v>0.99399999999999999</v>
      </c>
      <c r="X31" s="1">
        <f t="shared" si="5"/>
        <v>1.107</v>
      </c>
    </row>
    <row r="32" spans="1:24" ht="15.5" thickTop="1" thickBot="1" x14ac:dyDescent="0.4">
      <c r="A32" s="5" t="str">
        <f t="shared" si="7"/>
        <v>2029Q1</v>
      </c>
      <c r="B32" s="2">
        <f t="shared" si="10"/>
        <v>223.745</v>
      </c>
      <c r="C32" s="3">
        <f t="shared" si="10"/>
        <v>289.62299999999999</v>
      </c>
      <c r="D32" s="2">
        <f t="shared" si="10"/>
        <v>355.50200000000001</v>
      </c>
      <c r="E32" s="2">
        <f t="shared" si="11"/>
        <v>0.88100000000000001</v>
      </c>
      <c r="F32" s="3">
        <f t="shared" si="11"/>
        <v>0.99399999999999999</v>
      </c>
      <c r="G32" s="2">
        <f t="shared" si="11"/>
        <v>1.107</v>
      </c>
      <c r="K32" s="14" t="s">
        <v>105</v>
      </c>
      <c r="L32" s="60">
        <v>305.66568257877623</v>
      </c>
      <c r="M32" s="60">
        <v>239.48128769616156</v>
      </c>
      <c r="N32" s="60">
        <v>371.85007746139092</v>
      </c>
      <c r="O32" s="1">
        <f t="shared" si="0"/>
        <v>239.48099999999999</v>
      </c>
      <c r="P32" s="1">
        <f t="shared" si="1"/>
        <v>305.666</v>
      </c>
      <c r="Q32" s="1">
        <f t="shared" si="2"/>
        <v>371.85</v>
      </c>
      <c r="R32" s="14" t="str">
        <f t="shared" si="6"/>
        <v>2029Q2</v>
      </c>
      <c r="S32" s="45">
        <v>1.0167528595064748</v>
      </c>
      <c r="T32" s="45">
        <v>0.90183518305913635</v>
      </c>
      <c r="U32" s="45">
        <v>1.1316705359538131</v>
      </c>
      <c r="V32" s="1">
        <f t="shared" si="3"/>
        <v>0.90200000000000002</v>
      </c>
      <c r="W32" s="1">
        <f t="shared" si="4"/>
        <v>1.0169999999999999</v>
      </c>
      <c r="X32" s="1">
        <f t="shared" si="5"/>
        <v>1.1319999999999999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239.48099999999999</v>
      </c>
      <c r="C33" s="3">
        <f t="shared" si="10"/>
        <v>305.666</v>
      </c>
      <c r="D33" s="2">
        <f t="shared" si="10"/>
        <v>371.85</v>
      </c>
      <c r="E33" s="2">
        <f t="shared" si="11"/>
        <v>0.90200000000000002</v>
      </c>
      <c r="F33" s="3">
        <f t="shared" si="11"/>
        <v>1.0169999999999999</v>
      </c>
      <c r="G33" s="2">
        <f t="shared" si="11"/>
        <v>1.1319999999999999</v>
      </c>
      <c r="K33" s="14" t="s">
        <v>106</v>
      </c>
      <c r="L33" s="60">
        <v>304.36599232189479</v>
      </c>
      <c r="M33" s="60">
        <v>237.89876230933953</v>
      </c>
      <c r="N33" s="60">
        <v>370.83322233445006</v>
      </c>
      <c r="O33" s="1">
        <f t="shared" si="0"/>
        <v>237.899</v>
      </c>
      <c r="P33" s="1">
        <f t="shared" si="1"/>
        <v>304.36599999999999</v>
      </c>
      <c r="Q33" s="1">
        <f t="shared" si="2"/>
        <v>370.83300000000003</v>
      </c>
      <c r="R33" s="14" t="str">
        <f t="shared" si="6"/>
        <v>2029Q3</v>
      </c>
      <c r="S33" s="45">
        <v>1.0186241095300452</v>
      </c>
      <c r="T33" s="45">
        <v>0.90185186073430479</v>
      </c>
      <c r="U33" s="45">
        <v>1.1353963583257858</v>
      </c>
      <c r="V33" s="1">
        <f t="shared" si="3"/>
        <v>0.90200000000000002</v>
      </c>
      <c r="W33" s="1">
        <f t="shared" si="4"/>
        <v>1.0189999999999999</v>
      </c>
      <c r="X33" s="1">
        <f t="shared" si="5"/>
        <v>1.135</v>
      </c>
    </row>
    <row r="34" spans="1:24" ht="15.5" thickTop="1" thickBot="1" x14ac:dyDescent="0.4">
      <c r="A34" s="5" t="str">
        <f t="shared" si="7"/>
        <v>2029Q3</v>
      </c>
      <c r="B34" s="2">
        <f t="shared" si="10"/>
        <v>237.899</v>
      </c>
      <c r="C34" s="3">
        <f t="shared" si="10"/>
        <v>304.36599999999999</v>
      </c>
      <c r="D34" s="2">
        <f t="shared" si="10"/>
        <v>370.83300000000003</v>
      </c>
      <c r="E34" s="2">
        <f t="shared" si="11"/>
        <v>0.90200000000000002</v>
      </c>
      <c r="F34" s="3">
        <f t="shared" si="11"/>
        <v>1.0189999999999999</v>
      </c>
      <c r="G34" s="2">
        <f t="shared" si="11"/>
        <v>1.135</v>
      </c>
      <c r="K34" s="14" t="s">
        <v>107</v>
      </c>
      <c r="L34" s="60">
        <v>307.20545566223512</v>
      </c>
      <c r="M34" s="60">
        <v>240.47666197030139</v>
      </c>
      <c r="N34" s="60">
        <v>373.93424935416886</v>
      </c>
      <c r="O34" s="1">
        <f t="shared" si="0"/>
        <v>240.477</v>
      </c>
      <c r="P34" s="1">
        <f t="shared" si="1"/>
        <v>307.20499999999998</v>
      </c>
      <c r="Q34" s="1">
        <f t="shared" si="2"/>
        <v>373.93400000000003</v>
      </c>
      <c r="R34" s="14" t="str">
        <f t="shared" si="6"/>
        <v>2029Q4</v>
      </c>
      <c r="S34" s="45">
        <v>1.0249537456274311</v>
      </c>
      <c r="T34" s="45">
        <v>0.90635592179711122</v>
      </c>
      <c r="U34" s="45">
        <v>1.1435515694577512</v>
      </c>
      <c r="V34" s="1">
        <f t="shared" si="3"/>
        <v>0.90600000000000003</v>
      </c>
      <c r="W34" s="1">
        <f t="shared" si="4"/>
        <v>1.0249999999999999</v>
      </c>
      <c r="X34" s="1">
        <f t="shared" si="5"/>
        <v>1.1439999999999999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240.477</v>
      </c>
      <c r="C35" s="3">
        <f t="shared" si="10"/>
        <v>307.20499999999998</v>
      </c>
      <c r="D35" s="2">
        <f t="shared" si="10"/>
        <v>373.93400000000003</v>
      </c>
      <c r="E35" s="2">
        <f t="shared" si="11"/>
        <v>0.90600000000000003</v>
      </c>
      <c r="F35" s="3">
        <f t="shared" si="11"/>
        <v>1.0249999999999999</v>
      </c>
      <c r="G35" s="2">
        <f t="shared" si="11"/>
        <v>1.1439999999999999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309.09921874999998</v>
      </c>
      <c r="F38" s="1">
        <f>AVERAGE(F4:F35)</f>
        <v>0.92337499999999983</v>
      </c>
    </row>
    <row r="40" spans="1:24" ht="12.5" thickBot="1" x14ac:dyDescent="0.35"/>
    <row r="41" spans="1:24" ht="15.5" thickTop="1" thickBot="1" x14ac:dyDescent="0.4">
      <c r="A41" s="29" t="s">
        <v>59</v>
      </c>
      <c r="B41" s="30"/>
      <c r="C41" s="30"/>
      <c r="D41" s="30"/>
      <c r="E41" s="30"/>
      <c r="F41" s="30"/>
      <c r="G41" s="30"/>
      <c r="K41" s="29" t="s">
        <v>34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302.44799999999998</v>
      </c>
      <c r="D44" s="6"/>
      <c r="E44" s="6"/>
      <c r="F44" s="9">
        <f>ROUND(F4-((G4-F4)*(0.5/2)),3)</f>
        <v>0.79900000000000004</v>
      </c>
      <c r="G44" s="6"/>
      <c r="K44" s="7" t="str">
        <f>A4</f>
        <v>2022Q1</v>
      </c>
      <c r="L44" s="6"/>
      <c r="M44" s="9">
        <f>ROUND(C4-((D4-C4)*(1/2)),3)</f>
        <v>297.43799999999999</v>
      </c>
      <c r="N44" s="6"/>
      <c r="O44" s="6"/>
      <c r="P44" s="9">
        <f>ROUND(F4-((G4-F4)*(1/2)),3)</f>
        <v>0.79200000000000004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316.19400000000002</v>
      </c>
      <c r="D45" s="6"/>
      <c r="E45" s="6"/>
      <c r="F45" s="9">
        <f t="shared" ref="F45:F75" si="14">ROUND(F5-((G5-F5)*(0.5/2)),3)</f>
        <v>0.83199999999999996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309.471</v>
      </c>
      <c r="N45" s="6"/>
      <c r="O45" s="6"/>
      <c r="P45" s="9">
        <f t="shared" ref="P45:P75" si="17">ROUND(F5-((G5-F5)*(1/2)),3)</f>
        <v>0.82299999999999995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313.06200000000001</v>
      </c>
      <c r="D46" s="6"/>
      <c r="E46" s="6"/>
      <c r="F46" s="9">
        <f t="shared" si="14"/>
        <v>0.82699999999999996</v>
      </c>
      <c r="G46" s="6"/>
      <c r="K46" s="7" t="str">
        <f t="shared" si="15"/>
        <v>2022Q3</v>
      </c>
      <c r="L46" s="6"/>
      <c r="M46" s="9">
        <f t="shared" si="16"/>
        <v>305.07</v>
      </c>
      <c r="N46" s="6"/>
      <c r="O46" s="6"/>
      <c r="P46" s="9">
        <f t="shared" si="17"/>
        <v>0.81699999999999995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314.34100000000001</v>
      </c>
      <c r="D47" s="6"/>
      <c r="E47" s="6"/>
      <c r="F47" s="9">
        <f t="shared" si="14"/>
        <v>0.83499999999999996</v>
      </c>
      <c r="G47" s="6"/>
      <c r="K47" s="7" t="str">
        <f t="shared" si="15"/>
        <v>2022Q4</v>
      </c>
      <c r="L47" s="6"/>
      <c r="M47" s="9">
        <f t="shared" si="16"/>
        <v>305.32900000000001</v>
      </c>
      <c r="N47" s="6"/>
      <c r="O47" s="6"/>
      <c r="P47" s="9">
        <f t="shared" si="17"/>
        <v>0.82399999999999995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293.91500000000002</v>
      </c>
      <c r="D48" s="6"/>
      <c r="E48" s="6"/>
      <c r="F48" s="9">
        <f t="shared" si="14"/>
        <v>0.82699999999999996</v>
      </c>
      <c r="G48" s="6"/>
      <c r="K48" s="7" t="str">
        <f t="shared" si="15"/>
        <v>2023Q1</v>
      </c>
      <c r="L48" s="6"/>
      <c r="M48" s="9">
        <f t="shared" si="16"/>
        <v>284.05099999999999</v>
      </c>
      <c r="N48" s="6"/>
      <c r="O48" s="6"/>
      <c r="P48" s="9">
        <f t="shared" si="17"/>
        <v>0.81399999999999995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308.767</v>
      </c>
      <c r="D49" s="6"/>
      <c r="E49" s="6"/>
      <c r="F49" s="9">
        <f t="shared" si="14"/>
        <v>0.84899999999999998</v>
      </c>
      <c r="G49" s="6"/>
      <c r="K49" s="7" t="str">
        <f t="shared" si="15"/>
        <v>2023Q2</v>
      </c>
      <c r="L49" s="6"/>
      <c r="M49" s="9">
        <f t="shared" si="16"/>
        <v>298.173</v>
      </c>
      <c r="N49" s="6"/>
      <c r="O49" s="6"/>
      <c r="P49" s="9">
        <f t="shared" si="17"/>
        <v>0.83499999999999996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306.38900000000001</v>
      </c>
      <c r="D50" s="6"/>
      <c r="E50" s="6"/>
      <c r="F50" s="9">
        <f t="shared" si="14"/>
        <v>0.85</v>
      </c>
      <c r="G50" s="6"/>
      <c r="K50" s="7" t="str">
        <f t="shared" si="15"/>
        <v>2023Q3</v>
      </c>
      <c r="L50" s="6"/>
      <c r="M50" s="9">
        <f t="shared" si="16"/>
        <v>295.15899999999999</v>
      </c>
      <c r="N50" s="6"/>
      <c r="O50" s="6"/>
      <c r="P50" s="9">
        <f t="shared" si="17"/>
        <v>0.83499999999999996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308.24299999999999</v>
      </c>
      <c r="D51" s="6"/>
      <c r="E51" s="6"/>
      <c r="F51" s="9">
        <f t="shared" si="14"/>
        <v>0.85599999999999998</v>
      </c>
      <c r="G51" s="6"/>
      <c r="K51" s="7" t="str">
        <f t="shared" si="15"/>
        <v>2023Q4</v>
      </c>
      <c r="L51" s="6"/>
      <c r="M51" s="9">
        <f t="shared" si="16"/>
        <v>296.452</v>
      </c>
      <c r="N51" s="6"/>
      <c r="O51" s="6"/>
      <c r="P51" s="9">
        <f t="shared" si="17"/>
        <v>0.84099999999999997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288.28300000000002</v>
      </c>
      <c r="D52" s="6"/>
      <c r="E52" s="6"/>
      <c r="F52" s="9">
        <f t="shared" si="14"/>
        <v>0.84899999999999998</v>
      </c>
      <c r="G52" s="6"/>
      <c r="K52" s="7" t="str">
        <f t="shared" si="15"/>
        <v>2024Q1</v>
      </c>
      <c r="L52" s="6"/>
      <c r="M52" s="9">
        <f t="shared" si="16"/>
        <v>275.99599999999998</v>
      </c>
      <c r="N52" s="6"/>
      <c r="O52" s="6"/>
      <c r="P52" s="9">
        <f t="shared" si="17"/>
        <v>0.83299999999999996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303.52999999999997</v>
      </c>
      <c r="D53" s="6"/>
      <c r="E53" s="6"/>
      <c r="F53" s="9">
        <f t="shared" si="14"/>
        <v>0.871</v>
      </c>
      <c r="G53" s="6"/>
      <c r="K53" s="7" t="str">
        <f t="shared" si="15"/>
        <v>2024Q2</v>
      </c>
      <c r="L53" s="6"/>
      <c r="M53" s="9">
        <f t="shared" si="16"/>
        <v>290.79899999999998</v>
      </c>
      <c r="N53" s="6"/>
      <c r="O53" s="6"/>
      <c r="P53" s="9">
        <f t="shared" si="17"/>
        <v>0.85399999999999998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301.49200000000002</v>
      </c>
      <c r="D54" s="6"/>
      <c r="E54" s="6"/>
      <c r="F54" s="9">
        <f t="shared" si="14"/>
        <v>0.872</v>
      </c>
      <c r="G54" s="6"/>
      <c r="K54" s="7" t="str">
        <f t="shared" si="15"/>
        <v>2024Q3</v>
      </c>
      <c r="L54" s="6"/>
      <c r="M54" s="9">
        <f t="shared" si="16"/>
        <v>288.36099999999999</v>
      </c>
      <c r="N54" s="6"/>
      <c r="O54" s="6"/>
      <c r="P54" s="9">
        <f t="shared" si="17"/>
        <v>0.85499999999999998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303.64499999999998</v>
      </c>
      <c r="D55" s="6"/>
      <c r="E55" s="6"/>
      <c r="F55" s="9">
        <f t="shared" si="14"/>
        <v>0.878</v>
      </c>
      <c r="G55" s="6"/>
      <c r="K55" s="7" t="str">
        <f t="shared" si="15"/>
        <v>2024Q4</v>
      </c>
      <c r="L55" s="6"/>
      <c r="M55" s="9">
        <f t="shared" si="16"/>
        <v>290.15499999999997</v>
      </c>
      <c r="N55" s="6"/>
      <c r="O55" s="6"/>
      <c r="P55" s="9">
        <f t="shared" si="17"/>
        <v>0.85899999999999999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283.95299999999997</v>
      </c>
      <c r="D56" s="6"/>
      <c r="E56" s="6"/>
      <c r="F56" s="9">
        <f t="shared" si="14"/>
        <v>0.872</v>
      </c>
      <c r="G56" s="6"/>
      <c r="K56" s="7" t="str">
        <f t="shared" si="15"/>
        <v>2025Q1</v>
      </c>
      <c r="L56" s="6"/>
      <c r="M56" s="9">
        <f t="shared" si="16"/>
        <v>270.137</v>
      </c>
      <c r="N56" s="6"/>
      <c r="O56" s="6"/>
      <c r="P56" s="9">
        <f t="shared" si="17"/>
        <v>0.85299999999999998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299.44200000000001</v>
      </c>
      <c r="D57" s="6"/>
      <c r="E57" s="6"/>
      <c r="F57" s="9">
        <f t="shared" si="14"/>
        <v>0.89400000000000002</v>
      </c>
      <c r="G57" s="6"/>
      <c r="K57" s="7" t="str">
        <f t="shared" si="15"/>
        <v>2025Q2</v>
      </c>
      <c r="L57" s="6"/>
      <c r="M57" s="9">
        <f t="shared" si="16"/>
        <v>285.32900000000001</v>
      </c>
      <c r="N57" s="6"/>
      <c r="O57" s="6"/>
      <c r="P57" s="9">
        <f t="shared" si="17"/>
        <v>0.875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297.62200000000001</v>
      </c>
      <c r="D58" s="6"/>
      <c r="E58" s="6"/>
      <c r="F58" s="9">
        <f t="shared" si="14"/>
        <v>0.89600000000000002</v>
      </c>
      <c r="G58" s="6"/>
      <c r="K58" s="7" t="str">
        <f t="shared" si="15"/>
        <v>2025Q3</v>
      </c>
      <c r="L58" s="6"/>
      <c r="M58" s="9">
        <f t="shared" si="16"/>
        <v>283.24099999999999</v>
      </c>
      <c r="N58" s="6"/>
      <c r="O58" s="6"/>
      <c r="P58" s="9">
        <f t="shared" si="17"/>
        <v>0.875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299.976</v>
      </c>
      <c r="D59" s="6"/>
      <c r="E59" s="6"/>
      <c r="F59" s="9">
        <f t="shared" si="14"/>
        <v>0.90100000000000002</v>
      </c>
      <c r="G59" s="6"/>
      <c r="K59" s="7" t="str">
        <f t="shared" si="15"/>
        <v>2025Q4</v>
      </c>
      <c r="L59" s="6"/>
      <c r="M59" s="9">
        <f t="shared" si="16"/>
        <v>285.34800000000001</v>
      </c>
      <c r="N59" s="6"/>
      <c r="O59" s="6"/>
      <c r="P59" s="9">
        <f t="shared" si="17"/>
        <v>0.88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280.46800000000002</v>
      </c>
      <c r="D60" s="6"/>
      <c r="E60" s="6"/>
      <c r="F60" s="9">
        <f t="shared" si="14"/>
        <v>0.89500000000000002</v>
      </c>
      <c r="G60" s="6"/>
      <c r="K60" s="7" t="str">
        <f t="shared" si="15"/>
        <v>2026Q1</v>
      </c>
      <c r="L60" s="6"/>
      <c r="M60" s="9">
        <f t="shared" si="16"/>
        <v>265.61599999999999</v>
      </c>
      <c r="N60" s="6"/>
      <c r="O60" s="6"/>
      <c r="P60" s="9">
        <f t="shared" si="17"/>
        <v>0.874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296.12599999999998</v>
      </c>
      <c r="D61" s="6"/>
      <c r="E61" s="6"/>
      <c r="F61" s="9">
        <f t="shared" si="14"/>
        <v>0.91800000000000004</v>
      </c>
      <c r="G61" s="6"/>
      <c r="K61" s="7" t="str">
        <f t="shared" si="15"/>
        <v>2026Q2</v>
      </c>
      <c r="L61" s="6"/>
      <c r="M61" s="9">
        <f t="shared" si="16"/>
        <v>281.06900000000002</v>
      </c>
      <c r="N61" s="6"/>
      <c r="O61" s="6"/>
      <c r="P61" s="9">
        <f t="shared" si="17"/>
        <v>0.89600000000000002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294.46600000000001</v>
      </c>
      <c r="D62" s="6"/>
      <c r="E62" s="6"/>
      <c r="F62" s="9">
        <f t="shared" si="14"/>
        <v>0.91800000000000004</v>
      </c>
      <c r="G62" s="6"/>
      <c r="K62" s="7" t="str">
        <f t="shared" si="15"/>
        <v>2026Q3</v>
      </c>
      <c r="L62" s="6"/>
      <c r="M62" s="9">
        <f t="shared" si="16"/>
        <v>279.22000000000003</v>
      </c>
      <c r="N62" s="6"/>
      <c r="O62" s="6"/>
      <c r="P62" s="9">
        <f t="shared" si="17"/>
        <v>0.89500000000000002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296.96600000000001</v>
      </c>
      <c r="D63" s="6"/>
      <c r="E63" s="6"/>
      <c r="F63" s="9">
        <f t="shared" si="14"/>
        <v>0.92500000000000004</v>
      </c>
      <c r="G63" s="6"/>
      <c r="K63" s="7" t="str">
        <f t="shared" si="15"/>
        <v>2026Q4</v>
      </c>
      <c r="L63" s="6"/>
      <c r="M63" s="9">
        <f t="shared" si="16"/>
        <v>281.548</v>
      </c>
      <c r="N63" s="6"/>
      <c r="O63" s="6"/>
      <c r="P63" s="9">
        <f t="shared" si="17"/>
        <v>0.90100000000000002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277.59500000000003</v>
      </c>
      <c r="D64" s="6"/>
      <c r="E64" s="6"/>
      <c r="F64" s="9">
        <f t="shared" si="14"/>
        <v>0.91900000000000004</v>
      </c>
      <c r="G64" s="6"/>
      <c r="K64" s="7" t="str">
        <f t="shared" si="15"/>
        <v>2027Q1</v>
      </c>
      <c r="L64" s="6"/>
      <c r="M64" s="9">
        <f t="shared" si="16"/>
        <v>262.01799999999997</v>
      </c>
      <c r="N64" s="6"/>
      <c r="O64" s="6"/>
      <c r="P64" s="9">
        <f t="shared" si="17"/>
        <v>0.89500000000000002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293.38099999999997</v>
      </c>
      <c r="D65" s="6"/>
      <c r="E65" s="6"/>
      <c r="F65" s="9">
        <f t="shared" si="14"/>
        <v>0.94</v>
      </c>
      <c r="G65" s="6"/>
      <c r="K65" s="7" t="str">
        <f t="shared" si="15"/>
        <v>2027Q2</v>
      </c>
      <c r="L65" s="6"/>
      <c r="M65" s="9">
        <f t="shared" si="16"/>
        <v>277.65800000000002</v>
      </c>
      <c r="N65" s="6"/>
      <c r="O65" s="6"/>
      <c r="P65" s="9">
        <f t="shared" si="17"/>
        <v>0.91600000000000004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291.84100000000001</v>
      </c>
      <c r="D66" s="6"/>
      <c r="E66" s="6"/>
      <c r="F66" s="9">
        <f t="shared" si="14"/>
        <v>0.94199999999999995</v>
      </c>
      <c r="G66" s="6"/>
      <c r="K66" s="7" t="str">
        <f t="shared" si="15"/>
        <v>2027Q3</v>
      </c>
      <c r="L66" s="6"/>
      <c r="M66" s="9">
        <f t="shared" si="16"/>
        <v>275.98399999999998</v>
      </c>
      <c r="N66" s="6"/>
      <c r="O66" s="6"/>
      <c r="P66" s="9">
        <f t="shared" si="17"/>
        <v>0.91700000000000004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294.45400000000001</v>
      </c>
      <c r="D67" s="6"/>
      <c r="E67" s="6"/>
      <c r="F67" s="9">
        <f t="shared" si="14"/>
        <v>0.94699999999999995</v>
      </c>
      <c r="G67" s="6"/>
      <c r="K67" s="7" t="str">
        <f t="shared" si="15"/>
        <v>2027Q4</v>
      </c>
      <c r="L67" s="6"/>
      <c r="M67" s="9">
        <f t="shared" si="16"/>
        <v>278.47300000000001</v>
      </c>
      <c r="N67" s="6"/>
      <c r="O67" s="6"/>
      <c r="P67" s="9">
        <f t="shared" si="17"/>
        <v>0.92100000000000004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275.19</v>
      </c>
      <c r="D68" s="6"/>
      <c r="E68" s="6"/>
      <c r="F68" s="9">
        <f t="shared" si="14"/>
        <v>0.94299999999999995</v>
      </c>
      <c r="G68" s="6"/>
      <c r="K68" s="7" t="str">
        <f t="shared" si="15"/>
        <v>2028Q1</v>
      </c>
      <c r="L68" s="6"/>
      <c r="M68" s="9">
        <f t="shared" si="16"/>
        <v>259.09500000000003</v>
      </c>
      <c r="N68" s="6"/>
      <c r="O68" s="6"/>
      <c r="P68" s="9">
        <f t="shared" si="17"/>
        <v>0.91700000000000004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291.077</v>
      </c>
      <c r="D69" s="6"/>
      <c r="E69" s="6"/>
      <c r="F69" s="9">
        <f t="shared" si="14"/>
        <v>0.96399999999999997</v>
      </c>
      <c r="G69" s="6"/>
      <c r="K69" s="7" t="str">
        <f t="shared" si="15"/>
        <v>2028Q2</v>
      </c>
      <c r="L69" s="6"/>
      <c r="M69" s="9">
        <f t="shared" si="16"/>
        <v>274.87700000000001</v>
      </c>
      <c r="N69" s="6"/>
      <c r="O69" s="6"/>
      <c r="P69" s="9">
        <f t="shared" si="17"/>
        <v>0.93799999999999994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289.63099999999997</v>
      </c>
      <c r="D70" s="6"/>
      <c r="E70" s="6"/>
      <c r="F70" s="9">
        <f t="shared" si="14"/>
        <v>0.96599999999999997</v>
      </c>
      <c r="G70" s="6"/>
      <c r="K70" s="7" t="str">
        <f t="shared" si="15"/>
        <v>2028Q3</v>
      </c>
      <c r="L70" s="6"/>
      <c r="M70" s="9">
        <f t="shared" si="16"/>
        <v>273.334</v>
      </c>
      <c r="N70" s="6"/>
      <c r="O70" s="6"/>
      <c r="P70" s="9">
        <f t="shared" si="17"/>
        <v>0.93899999999999995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292.33300000000003</v>
      </c>
      <c r="D71" s="6"/>
      <c r="E71" s="6"/>
      <c r="F71" s="9">
        <f t="shared" si="14"/>
        <v>0.97099999999999997</v>
      </c>
      <c r="G71" s="6"/>
      <c r="K71" s="7" t="str">
        <f t="shared" si="15"/>
        <v>2028Q4</v>
      </c>
      <c r="L71" s="6"/>
      <c r="M71" s="9">
        <f t="shared" si="16"/>
        <v>275.947</v>
      </c>
      <c r="N71" s="6"/>
      <c r="O71" s="6"/>
      <c r="P71" s="9">
        <f t="shared" si="17"/>
        <v>0.94399999999999995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273.15300000000002</v>
      </c>
      <c r="D72" s="6"/>
      <c r="E72" s="6"/>
      <c r="F72" s="9">
        <f t="shared" si="14"/>
        <v>0.96599999999999997</v>
      </c>
      <c r="G72" s="6"/>
      <c r="K72" s="7" t="str">
        <f t="shared" si="15"/>
        <v>2029Q1</v>
      </c>
      <c r="L72" s="6"/>
      <c r="M72" s="9">
        <f t="shared" si="16"/>
        <v>256.68400000000003</v>
      </c>
      <c r="N72" s="6"/>
      <c r="O72" s="6"/>
      <c r="P72" s="9">
        <f t="shared" si="17"/>
        <v>0.93799999999999994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289.12</v>
      </c>
      <c r="D73" s="6"/>
      <c r="E73" s="6"/>
      <c r="F73" s="9">
        <f t="shared" si="14"/>
        <v>0.98799999999999999</v>
      </c>
      <c r="G73" s="6"/>
      <c r="K73" s="7" t="str">
        <f t="shared" si="15"/>
        <v>2029Q2</v>
      </c>
      <c r="L73" s="6"/>
      <c r="M73" s="9">
        <f t="shared" si="16"/>
        <v>272.57400000000001</v>
      </c>
      <c r="N73" s="6"/>
      <c r="O73" s="6"/>
      <c r="P73" s="9">
        <f t="shared" si="17"/>
        <v>0.96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287.74900000000002</v>
      </c>
      <c r="D74" s="6"/>
      <c r="E74" s="6"/>
      <c r="F74" s="9">
        <f t="shared" si="14"/>
        <v>0.99</v>
      </c>
      <c r="G74" s="6"/>
      <c r="K74" s="7" t="str">
        <f t="shared" si="15"/>
        <v>2029Q3</v>
      </c>
      <c r="L74" s="6"/>
      <c r="M74" s="9">
        <f t="shared" si="16"/>
        <v>271.13299999999998</v>
      </c>
      <c r="N74" s="6"/>
      <c r="O74" s="6"/>
      <c r="P74" s="9">
        <f t="shared" si="17"/>
        <v>0.96099999999999997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290.52300000000002</v>
      </c>
      <c r="D75" s="6"/>
      <c r="E75" s="6"/>
      <c r="F75" s="9">
        <f t="shared" si="14"/>
        <v>0.995</v>
      </c>
      <c r="G75" s="6"/>
      <c r="K75" s="7" t="str">
        <f t="shared" si="15"/>
        <v>2029Q4</v>
      </c>
      <c r="L75" s="6"/>
      <c r="M75" s="9">
        <f t="shared" si="16"/>
        <v>273.84100000000001</v>
      </c>
      <c r="N75" s="6"/>
      <c r="O75" s="6"/>
      <c r="P75" s="9">
        <f t="shared" si="17"/>
        <v>0.96599999999999997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76"/>
  <sheetViews>
    <sheetView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3" t="s">
        <v>13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63">
        <v>209.91044268192505</v>
      </c>
      <c r="M3" s="63">
        <v>200.07398235065455</v>
      </c>
      <c r="N3" s="63">
        <v>219.74690301319555</v>
      </c>
      <c r="O3" s="1">
        <f t="shared" ref="O3:O34" si="0">ROUND(M3,3)</f>
        <v>200.07400000000001</v>
      </c>
      <c r="P3" s="1">
        <f t="shared" ref="P3:P34" si="1">ROUND(L3,3)</f>
        <v>209.91</v>
      </c>
      <c r="Q3" s="1">
        <f t="shared" ref="Q3:Q34" si="2">ROUND(N3,3)</f>
        <v>219.74700000000001</v>
      </c>
      <c r="R3" s="14" t="str">
        <f>K3</f>
        <v>2022Q1</v>
      </c>
      <c r="S3" s="48">
        <v>9.2984468065202761E-2</v>
      </c>
      <c r="T3" s="48">
        <v>8.9362504487999539E-2</v>
      </c>
      <c r="U3" s="48">
        <v>9.6606431642405982E-2</v>
      </c>
      <c r="V3" s="1">
        <f t="shared" ref="V3:V34" si="3">ROUND(T3,3)</f>
        <v>8.8999999999999996E-2</v>
      </c>
      <c r="W3" s="1">
        <f t="shared" ref="W3:W34" si="4">ROUND(S3,3)</f>
        <v>9.2999999999999999E-2</v>
      </c>
      <c r="X3" s="1">
        <f t="shared" ref="X3:X34" si="5">ROUND(U3,3)</f>
        <v>9.7000000000000003E-2</v>
      </c>
    </row>
    <row r="4" spans="1:30" ht="15.5" thickTop="1" thickBot="1" x14ac:dyDescent="0.4">
      <c r="A4" s="5" t="str">
        <f>K3</f>
        <v>2022Q1</v>
      </c>
      <c r="B4" s="2">
        <f>O3</f>
        <v>200.07400000000001</v>
      </c>
      <c r="C4" s="3">
        <f>P3</f>
        <v>209.91</v>
      </c>
      <c r="D4" s="2">
        <f>Q3</f>
        <v>219.74700000000001</v>
      </c>
      <c r="E4" s="2">
        <f>V3</f>
        <v>8.8999999999999996E-2</v>
      </c>
      <c r="F4" s="3">
        <f>W3</f>
        <v>9.2999999999999999E-2</v>
      </c>
      <c r="G4" s="2">
        <f>X3</f>
        <v>9.7000000000000003E-2</v>
      </c>
      <c r="K4" s="14" t="s">
        <v>70</v>
      </c>
      <c r="L4" s="63">
        <v>227.21461764296632</v>
      </c>
      <c r="M4" s="63">
        <v>216.07474458938887</v>
      </c>
      <c r="N4" s="63">
        <v>238.35449069654376</v>
      </c>
      <c r="O4" s="1">
        <f t="shared" si="0"/>
        <v>216.07499999999999</v>
      </c>
      <c r="P4" s="1">
        <f t="shared" si="1"/>
        <v>227.215</v>
      </c>
      <c r="Q4" s="1">
        <f t="shared" si="2"/>
        <v>238.35400000000001</v>
      </c>
      <c r="R4" s="14" t="str">
        <f t="shared" ref="R4:R34" si="6">K4</f>
        <v>2022Q2</v>
      </c>
      <c r="S4" s="48">
        <v>0.10055738966356785</v>
      </c>
      <c r="T4" s="48">
        <v>9.5841420040898656E-2</v>
      </c>
      <c r="U4" s="48">
        <v>0.10527335928623704</v>
      </c>
      <c r="V4" s="1">
        <f t="shared" si="3"/>
        <v>9.6000000000000002E-2</v>
      </c>
      <c r="W4" s="1">
        <f t="shared" si="4"/>
        <v>0.10100000000000001</v>
      </c>
      <c r="X4" s="1">
        <f t="shared" si="5"/>
        <v>0.105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216.07499999999999</v>
      </c>
      <c r="C5" s="3">
        <f t="shared" si="8"/>
        <v>227.215</v>
      </c>
      <c r="D5" s="2">
        <f t="shared" si="8"/>
        <v>238.35400000000001</v>
      </c>
      <c r="E5" s="2">
        <f t="shared" ref="E5:G20" si="9">V4</f>
        <v>9.6000000000000002E-2</v>
      </c>
      <c r="F5" s="3">
        <f t="shared" si="9"/>
        <v>0.10100000000000001</v>
      </c>
      <c r="G5" s="2">
        <f t="shared" si="9"/>
        <v>0.105</v>
      </c>
      <c r="I5" s="1">
        <f>SUM(F5:F8)</f>
        <v>0.39700000000000002</v>
      </c>
      <c r="K5" s="14" t="s">
        <v>71</v>
      </c>
      <c r="L5" s="63">
        <v>227.49636072898807</v>
      </c>
      <c r="M5" s="63">
        <v>215.77440377738156</v>
      </c>
      <c r="N5" s="63">
        <v>239.21831768059457</v>
      </c>
      <c r="O5" s="1">
        <f t="shared" si="0"/>
        <v>215.774</v>
      </c>
      <c r="P5" s="1">
        <f t="shared" si="1"/>
        <v>227.49600000000001</v>
      </c>
      <c r="Q5" s="1">
        <f t="shared" si="2"/>
        <v>239.21799999999999</v>
      </c>
      <c r="R5" s="14" t="str">
        <f t="shared" si="6"/>
        <v>2022Q3</v>
      </c>
      <c r="S5" s="48">
        <v>9.6789914749186773E-2</v>
      </c>
      <c r="T5" s="48">
        <v>9.084736151841713E-2</v>
      </c>
      <c r="U5" s="48">
        <v>0.10273246797995642</v>
      </c>
      <c r="V5" s="1">
        <f t="shared" si="3"/>
        <v>9.0999999999999998E-2</v>
      </c>
      <c r="W5" s="1">
        <f t="shared" si="4"/>
        <v>9.7000000000000003E-2</v>
      </c>
      <c r="X5" s="1">
        <f t="shared" si="5"/>
        <v>0.10299999999999999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215.774</v>
      </c>
      <c r="C6" s="3">
        <f t="shared" si="8"/>
        <v>227.49600000000001</v>
      </c>
      <c r="D6" s="2">
        <f t="shared" si="8"/>
        <v>239.21799999999999</v>
      </c>
      <c r="E6" s="2">
        <f t="shared" si="9"/>
        <v>9.0999999999999998E-2</v>
      </c>
      <c r="F6" s="3">
        <f t="shared" si="9"/>
        <v>9.7000000000000003E-2</v>
      </c>
      <c r="G6" s="2">
        <f t="shared" si="9"/>
        <v>0.10299999999999999</v>
      </c>
      <c r="I6" s="1">
        <f>SUM(F9:F12)</f>
        <v>0.40900000000000003</v>
      </c>
      <c r="K6" s="14" t="s">
        <v>72</v>
      </c>
      <c r="L6" s="63">
        <v>230.56326113780449</v>
      </c>
      <c r="M6" s="63">
        <v>218.56820424038182</v>
      </c>
      <c r="N6" s="63">
        <v>242.55831803522716</v>
      </c>
      <c r="O6" s="1">
        <f t="shared" si="0"/>
        <v>218.56800000000001</v>
      </c>
      <c r="P6" s="1">
        <f t="shared" si="1"/>
        <v>230.56299999999999</v>
      </c>
      <c r="Q6" s="1">
        <f t="shared" si="2"/>
        <v>242.55799999999999</v>
      </c>
      <c r="R6" s="14" t="str">
        <f t="shared" si="6"/>
        <v>2022Q4</v>
      </c>
      <c r="S6" s="48">
        <v>0.10172617449334152</v>
      </c>
      <c r="T6" s="48">
        <v>9.5057371322911421E-2</v>
      </c>
      <c r="U6" s="48">
        <v>0.10839497766377162</v>
      </c>
      <c r="V6" s="1">
        <f t="shared" si="3"/>
        <v>9.5000000000000001E-2</v>
      </c>
      <c r="W6" s="1">
        <f t="shared" si="4"/>
        <v>0.10199999999999999</v>
      </c>
      <c r="X6" s="1">
        <f t="shared" si="5"/>
        <v>0.108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218.56800000000001</v>
      </c>
      <c r="C7" s="3">
        <f t="shared" si="8"/>
        <v>230.56299999999999</v>
      </c>
      <c r="D7" s="2">
        <f t="shared" si="8"/>
        <v>242.55799999999999</v>
      </c>
      <c r="E7" s="2">
        <f t="shared" si="9"/>
        <v>9.5000000000000001E-2</v>
      </c>
      <c r="F7" s="3">
        <f t="shared" si="9"/>
        <v>0.10199999999999999</v>
      </c>
      <c r="G7" s="2">
        <f t="shared" si="9"/>
        <v>0.108</v>
      </c>
      <c r="I7" s="1">
        <f>SUM(F13:F16)</f>
        <v>0.42499999999999999</v>
      </c>
      <c r="K7" s="14" t="s">
        <v>73</v>
      </c>
      <c r="L7" s="63">
        <v>215.95103901152217</v>
      </c>
      <c r="M7" s="63">
        <v>203.82528237696076</v>
      </c>
      <c r="N7" s="63">
        <v>228.07679564608358</v>
      </c>
      <c r="O7" s="1">
        <f t="shared" si="0"/>
        <v>203.82499999999999</v>
      </c>
      <c r="P7" s="1">
        <f t="shared" si="1"/>
        <v>215.95099999999999</v>
      </c>
      <c r="Q7" s="1">
        <f t="shared" si="2"/>
        <v>228.077</v>
      </c>
      <c r="R7" s="14" t="str">
        <f t="shared" si="6"/>
        <v>2023Q1</v>
      </c>
      <c r="S7" s="48">
        <v>9.6687281448805937E-2</v>
      </c>
      <c r="T7" s="48">
        <v>8.910424401533977E-2</v>
      </c>
      <c r="U7" s="48">
        <v>0.1042703188822721</v>
      </c>
      <c r="V7" s="1">
        <f t="shared" si="3"/>
        <v>8.8999999999999996E-2</v>
      </c>
      <c r="W7" s="1">
        <f t="shared" si="4"/>
        <v>9.7000000000000003E-2</v>
      </c>
      <c r="X7" s="1">
        <f t="shared" si="5"/>
        <v>0.104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203.82499999999999</v>
      </c>
      <c r="C8" s="3">
        <f t="shared" si="8"/>
        <v>215.95099999999999</v>
      </c>
      <c r="D8" s="2">
        <f t="shared" si="8"/>
        <v>228.077</v>
      </c>
      <c r="E8" s="2">
        <f t="shared" si="9"/>
        <v>8.8999999999999996E-2</v>
      </c>
      <c r="F8" s="3">
        <f t="shared" si="9"/>
        <v>9.7000000000000003E-2</v>
      </c>
      <c r="G8" s="2">
        <f t="shared" si="9"/>
        <v>0.104</v>
      </c>
      <c r="I8" s="1">
        <f>SUM(F17:F20)</f>
        <v>0.439</v>
      </c>
      <c r="K8" s="14" t="s">
        <v>74</v>
      </c>
      <c r="L8" s="63">
        <v>232.63008376217476</v>
      </c>
      <c r="M8" s="63">
        <v>220.44121915897085</v>
      </c>
      <c r="N8" s="63">
        <v>244.81894836537867</v>
      </c>
      <c r="O8" s="1">
        <f t="shared" si="0"/>
        <v>220.441</v>
      </c>
      <c r="P8" s="1">
        <f t="shared" si="1"/>
        <v>232.63</v>
      </c>
      <c r="Q8" s="1">
        <f t="shared" si="2"/>
        <v>244.81899999999999</v>
      </c>
      <c r="R8" s="14" t="str">
        <f t="shared" si="6"/>
        <v>2023Q2</v>
      </c>
      <c r="S8" s="48">
        <v>0.10411112237858593</v>
      </c>
      <c r="T8" s="48">
        <v>9.5944237537375604E-2</v>
      </c>
      <c r="U8" s="48">
        <v>0.11227800721979625</v>
      </c>
      <c r="V8" s="1">
        <f t="shared" si="3"/>
        <v>9.6000000000000002E-2</v>
      </c>
      <c r="W8" s="1">
        <f t="shared" si="4"/>
        <v>0.104</v>
      </c>
      <c r="X8" s="1">
        <f t="shared" si="5"/>
        <v>0.112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220.441</v>
      </c>
      <c r="C9" s="3">
        <f t="shared" si="8"/>
        <v>232.63</v>
      </c>
      <c r="D9" s="2">
        <f t="shared" si="8"/>
        <v>244.81899999999999</v>
      </c>
      <c r="E9" s="2">
        <f t="shared" si="9"/>
        <v>9.6000000000000002E-2</v>
      </c>
      <c r="F9" s="3">
        <f t="shared" si="9"/>
        <v>0.104</v>
      </c>
      <c r="G9" s="2">
        <f t="shared" si="9"/>
        <v>0.112</v>
      </c>
      <c r="I9" s="1">
        <f>SUM(F21:F24)</f>
        <v>0.45400000000000001</v>
      </c>
      <c r="K9" s="14" t="s">
        <v>75</v>
      </c>
      <c r="L9" s="63">
        <v>232.47569981258306</v>
      </c>
      <c r="M9" s="63">
        <v>220.2562368084873</v>
      </c>
      <c r="N9" s="63">
        <v>244.69516281667882</v>
      </c>
      <c r="O9" s="1">
        <f t="shared" si="0"/>
        <v>220.256</v>
      </c>
      <c r="P9" s="1">
        <f t="shared" si="1"/>
        <v>232.476</v>
      </c>
      <c r="Q9" s="1">
        <f t="shared" si="2"/>
        <v>244.69499999999999</v>
      </c>
      <c r="R9" s="14" t="str">
        <f t="shared" si="6"/>
        <v>2023Q3</v>
      </c>
      <c r="S9" s="48">
        <v>0.10049118602949288</v>
      </c>
      <c r="T9" s="48">
        <v>9.1564570814643587E-2</v>
      </c>
      <c r="U9" s="48">
        <v>0.10941780124434217</v>
      </c>
      <c r="V9" s="1">
        <f t="shared" si="3"/>
        <v>9.1999999999999998E-2</v>
      </c>
      <c r="W9" s="1">
        <f t="shared" si="4"/>
        <v>0.1</v>
      </c>
      <c r="X9" s="1">
        <f t="shared" si="5"/>
        <v>0.109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220.256</v>
      </c>
      <c r="C10" s="3">
        <f t="shared" si="8"/>
        <v>232.476</v>
      </c>
      <c r="D10" s="2">
        <f t="shared" si="8"/>
        <v>244.69499999999999</v>
      </c>
      <c r="E10" s="2">
        <f t="shared" si="9"/>
        <v>9.1999999999999998E-2</v>
      </c>
      <c r="F10" s="3">
        <f t="shared" si="9"/>
        <v>0.1</v>
      </c>
      <c r="G10" s="2">
        <f t="shared" si="9"/>
        <v>0.109</v>
      </c>
      <c r="I10" s="1">
        <f>SUM(F25:F28)</f>
        <v>0.46799999999999997</v>
      </c>
      <c r="K10" s="14" t="s">
        <v>76</v>
      </c>
      <c r="L10" s="63">
        <v>235.23833274554877</v>
      </c>
      <c r="M10" s="63">
        <v>223.00400437582127</v>
      </c>
      <c r="N10" s="63">
        <v>247.47266111527628</v>
      </c>
      <c r="O10" s="1">
        <f t="shared" si="0"/>
        <v>223.00399999999999</v>
      </c>
      <c r="P10" s="1">
        <f t="shared" si="1"/>
        <v>235.238</v>
      </c>
      <c r="Q10" s="1">
        <f t="shared" si="2"/>
        <v>247.47300000000001</v>
      </c>
      <c r="R10" s="14" t="str">
        <f t="shared" si="6"/>
        <v>2023Q4</v>
      </c>
      <c r="S10" s="48">
        <v>0.10528143336000714</v>
      </c>
      <c r="T10" s="48">
        <v>9.5851911463948891E-2</v>
      </c>
      <c r="U10" s="48">
        <v>0.11471095525606539</v>
      </c>
      <c r="V10" s="1">
        <f t="shared" si="3"/>
        <v>9.6000000000000002E-2</v>
      </c>
      <c r="W10" s="1">
        <f t="shared" si="4"/>
        <v>0.105</v>
      </c>
      <c r="X10" s="1">
        <f t="shared" si="5"/>
        <v>0.115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223.00399999999999</v>
      </c>
      <c r="C11" s="3">
        <f t="shared" si="8"/>
        <v>235.238</v>
      </c>
      <c r="D11" s="2">
        <f t="shared" si="8"/>
        <v>247.47300000000001</v>
      </c>
      <c r="E11" s="2">
        <f t="shared" si="9"/>
        <v>9.6000000000000002E-2</v>
      </c>
      <c r="F11" s="3">
        <f t="shared" si="9"/>
        <v>0.105</v>
      </c>
      <c r="G11" s="2">
        <f t="shared" si="9"/>
        <v>0.115</v>
      </c>
      <c r="I11" s="1">
        <f>SUM(F29:F32)</f>
        <v>0.48299999999999998</v>
      </c>
      <c r="K11" s="14" t="s">
        <v>77</v>
      </c>
      <c r="L11" s="63">
        <v>220.41383600819967</v>
      </c>
      <c r="M11" s="63">
        <v>208.17227880153285</v>
      </c>
      <c r="N11" s="63">
        <v>232.65539321486648</v>
      </c>
      <c r="O11" s="1">
        <f t="shared" si="0"/>
        <v>208.172</v>
      </c>
      <c r="P11" s="1">
        <f t="shared" si="1"/>
        <v>220.41399999999999</v>
      </c>
      <c r="Q11" s="1">
        <f t="shared" si="2"/>
        <v>232.655</v>
      </c>
      <c r="R11" s="14" t="str">
        <f t="shared" si="6"/>
        <v>2024Q1</v>
      </c>
      <c r="S11" s="48">
        <v>0.10038704236410878</v>
      </c>
      <c r="T11" s="48">
        <v>9.0294459933961804E-2</v>
      </c>
      <c r="U11" s="48">
        <v>0.11047962479425576</v>
      </c>
      <c r="V11" s="1">
        <f t="shared" si="3"/>
        <v>0.09</v>
      </c>
      <c r="W11" s="1">
        <f t="shared" si="4"/>
        <v>0.1</v>
      </c>
      <c r="X11" s="1">
        <f t="shared" si="5"/>
        <v>0.11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208.172</v>
      </c>
      <c r="C12" s="3">
        <f t="shared" si="8"/>
        <v>220.41399999999999</v>
      </c>
      <c r="D12" s="2">
        <f t="shared" si="8"/>
        <v>232.655</v>
      </c>
      <c r="E12" s="2">
        <f t="shared" si="9"/>
        <v>0.09</v>
      </c>
      <c r="F12" s="3">
        <f t="shared" si="9"/>
        <v>0.1</v>
      </c>
      <c r="G12" s="2">
        <f t="shared" si="9"/>
        <v>0.11</v>
      </c>
      <c r="K12" s="14" t="s">
        <v>78</v>
      </c>
      <c r="L12" s="63">
        <v>236.94478569750015</v>
      </c>
      <c r="M12" s="63">
        <v>224.69971156795938</v>
      </c>
      <c r="N12" s="63">
        <v>249.18985982704092</v>
      </c>
      <c r="O12" s="1">
        <f t="shared" si="0"/>
        <v>224.7</v>
      </c>
      <c r="P12" s="1">
        <f t="shared" si="1"/>
        <v>236.94499999999999</v>
      </c>
      <c r="Q12" s="1">
        <f t="shared" si="2"/>
        <v>249.19</v>
      </c>
      <c r="R12" s="14" t="str">
        <f t="shared" si="6"/>
        <v>2024Q2</v>
      </c>
      <c r="S12" s="48">
        <v>0.10766787598690888</v>
      </c>
      <c r="T12" s="48">
        <v>9.7126204098758953E-2</v>
      </c>
      <c r="U12" s="48">
        <v>0.11820954787505882</v>
      </c>
      <c r="V12" s="1">
        <f t="shared" si="3"/>
        <v>9.7000000000000003E-2</v>
      </c>
      <c r="W12" s="1">
        <f t="shared" si="4"/>
        <v>0.108</v>
      </c>
      <c r="X12" s="1">
        <f t="shared" si="5"/>
        <v>0.11799999999999999</v>
      </c>
    </row>
    <row r="13" spans="1:30" ht="15.5" thickTop="1" thickBot="1" x14ac:dyDescent="0.4">
      <c r="A13" s="5" t="str">
        <f t="shared" si="7"/>
        <v>2024Q2</v>
      </c>
      <c r="B13" s="2">
        <f t="shared" si="8"/>
        <v>224.7</v>
      </c>
      <c r="C13" s="3">
        <f t="shared" si="8"/>
        <v>236.94499999999999</v>
      </c>
      <c r="D13" s="2">
        <f t="shared" si="8"/>
        <v>249.19</v>
      </c>
      <c r="E13" s="2">
        <f t="shared" si="9"/>
        <v>9.7000000000000003E-2</v>
      </c>
      <c r="F13" s="3">
        <f t="shared" si="9"/>
        <v>0.108</v>
      </c>
      <c r="G13" s="2">
        <f t="shared" si="9"/>
        <v>0.11799999999999999</v>
      </c>
      <c r="K13" s="14" t="s">
        <v>79</v>
      </c>
      <c r="L13" s="63">
        <v>236.68708205702944</v>
      </c>
      <c r="M13" s="63">
        <v>224.44029651313991</v>
      </c>
      <c r="N13" s="63">
        <v>248.93386760091897</v>
      </c>
      <c r="O13" s="1">
        <f t="shared" si="0"/>
        <v>224.44</v>
      </c>
      <c r="P13" s="1">
        <f t="shared" si="1"/>
        <v>236.68700000000001</v>
      </c>
      <c r="Q13" s="1">
        <f t="shared" si="2"/>
        <v>248.934</v>
      </c>
      <c r="R13" s="14" t="str">
        <f t="shared" si="6"/>
        <v>2024Q3</v>
      </c>
      <c r="S13" s="48">
        <v>0.10418946766487504</v>
      </c>
      <c r="T13" s="48">
        <v>9.3052591894851738E-2</v>
      </c>
      <c r="U13" s="48">
        <v>0.11532634343489834</v>
      </c>
      <c r="V13" s="1">
        <f t="shared" si="3"/>
        <v>9.2999999999999999E-2</v>
      </c>
      <c r="W13" s="1">
        <f t="shared" si="4"/>
        <v>0.104</v>
      </c>
      <c r="X13" s="1">
        <f t="shared" si="5"/>
        <v>0.115</v>
      </c>
    </row>
    <row r="14" spans="1:30" ht="15.5" thickTop="1" thickBot="1" x14ac:dyDescent="0.4">
      <c r="A14" s="5" t="str">
        <f t="shared" si="7"/>
        <v>2024Q3</v>
      </c>
      <c r="B14" s="2">
        <f t="shared" si="8"/>
        <v>224.44</v>
      </c>
      <c r="C14" s="3">
        <f t="shared" si="8"/>
        <v>236.68700000000001</v>
      </c>
      <c r="D14" s="2">
        <f t="shared" si="8"/>
        <v>248.934</v>
      </c>
      <c r="E14" s="2">
        <f t="shared" si="9"/>
        <v>9.2999999999999999E-2</v>
      </c>
      <c r="F14" s="3">
        <f t="shared" si="9"/>
        <v>0.104</v>
      </c>
      <c r="G14" s="2">
        <f t="shared" si="9"/>
        <v>0.115</v>
      </c>
      <c r="K14" s="14" t="s">
        <v>84</v>
      </c>
      <c r="L14" s="63">
        <v>239.37763319046809</v>
      </c>
      <c r="M14" s="63">
        <v>227.13001474228824</v>
      </c>
      <c r="N14" s="63">
        <v>251.62525163864794</v>
      </c>
      <c r="O14" s="1">
        <f t="shared" si="0"/>
        <v>227.13</v>
      </c>
      <c r="P14" s="1">
        <f t="shared" si="1"/>
        <v>239.37799999999999</v>
      </c>
      <c r="Q14" s="1">
        <f t="shared" si="2"/>
        <v>251.625</v>
      </c>
      <c r="R14" s="14" t="str">
        <f t="shared" si="6"/>
        <v>2024Q4</v>
      </c>
      <c r="S14" s="48">
        <v>0.10883965094645169</v>
      </c>
      <c r="T14" s="48">
        <v>9.7292739214962162E-2</v>
      </c>
      <c r="U14" s="48">
        <v>0.12038656267794122</v>
      </c>
      <c r="V14" s="1">
        <f t="shared" si="3"/>
        <v>9.7000000000000003E-2</v>
      </c>
      <c r="W14" s="1">
        <f t="shared" si="4"/>
        <v>0.109</v>
      </c>
      <c r="X14" s="1">
        <f t="shared" si="5"/>
        <v>0.12</v>
      </c>
    </row>
    <row r="15" spans="1:30" ht="15.5" thickTop="1" thickBot="1" x14ac:dyDescent="0.4">
      <c r="A15" s="5" t="str">
        <f t="shared" si="7"/>
        <v>2024Q4</v>
      </c>
      <c r="B15" s="2">
        <f t="shared" si="8"/>
        <v>227.13</v>
      </c>
      <c r="C15" s="3">
        <f t="shared" si="8"/>
        <v>239.37799999999999</v>
      </c>
      <c r="D15" s="2">
        <f t="shared" si="8"/>
        <v>251.625</v>
      </c>
      <c r="E15" s="2">
        <f t="shared" si="9"/>
        <v>9.7000000000000003E-2</v>
      </c>
      <c r="F15" s="3">
        <f t="shared" si="9"/>
        <v>0.109</v>
      </c>
      <c r="G15" s="2">
        <f t="shared" si="9"/>
        <v>0.12</v>
      </c>
      <c r="K15" s="14" t="s">
        <v>81</v>
      </c>
      <c r="L15" s="63">
        <v>224.5028480155631</v>
      </c>
      <c r="M15" s="63">
        <v>212.25482419123779</v>
      </c>
      <c r="N15" s="63">
        <v>236.75087183988842</v>
      </c>
      <c r="O15" s="1">
        <f t="shared" si="0"/>
        <v>212.255</v>
      </c>
      <c r="P15" s="1">
        <f t="shared" si="1"/>
        <v>224.50299999999999</v>
      </c>
      <c r="Q15" s="1">
        <f t="shared" si="2"/>
        <v>236.751</v>
      </c>
      <c r="R15" s="14" t="str">
        <f t="shared" si="6"/>
        <v>2025Q1</v>
      </c>
      <c r="S15" s="48">
        <v>0.10408387516488535</v>
      </c>
      <c r="T15" s="48">
        <v>9.1992801754718842E-2</v>
      </c>
      <c r="U15" s="48">
        <v>0.11617494857505185</v>
      </c>
      <c r="V15" s="1">
        <f t="shared" si="3"/>
        <v>9.1999999999999998E-2</v>
      </c>
      <c r="W15" s="1">
        <f t="shared" si="4"/>
        <v>0.104</v>
      </c>
      <c r="X15" s="1">
        <f t="shared" si="5"/>
        <v>0.11600000000000001</v>
      </c>
    </row>
    <row r="16" spans="1:30" ht="15.5" thickTop="1" thickBot="1" x14ac:dyDescent="0.4">
      <c r="A16" s="5" t="str">
        <f t="shared" si="7"/>
        <v>2025Q1</v>
      </c>
      <c r="B16" s="2">
        <f t="shared" si="8"/>
        <v>212.255</v>
      </c>
      <c r="C16" s="3">
        <f t="shared" si="8"/>
        <v>224.50299999999999</v>
      </c>
      <c r="D16" s="2">
        <f t="shared" si="8"/>
        <v>236.751</v>
      </c>
      <c r="E16" s="2">
        <f t="shared" si="9"/>
        <v>9.1999999999999998E-2</v>
      </c>
      <c r="F16" s="3">
        <f t="shared" si="9"/>
        <v>0.104</v>
      </c>
      <c r="G16" s="2">
        <f t="shared" si="9"/>
        <v>0.11600000000000001</v>
      </c>
      <c r="K16" s="14" t="s">
        <v>82</v>
      </c>
      <c r="L16" s="63">
        <v>240.99871357865692</v>
      </c>
      <c r="M16" s="63">
        <v>228.75049245184979</v>
      </c>
      <c r="N16" s="63">
        <v>253.24693470546404</v>
      </c>
      <c r="O16" s="1">
        <f t="shared" si="0"/>
        <v>228.75</v>
      </c>
      <c r="P16" s="1">
        <f t="shared" si="1"/>
        <v>240.999</v>
      </c>
      <c r="Q16" s="1">
        <f t="shared" si="2"/>
        <v>253.24700000000001</v>
      </c>
      <c r="R16" s="14" t="str">
        <f t="shared" si="6"/>
        <v>2025Q2</v>
      </c>
      <c r="S16" s="48">
        <v>0.11122752742108886</v>
      </c>
      <c r="T16" s="48">
        <v>9.8756396007988675E-2</v>
      </c>
      <c r="U16" s="48">
        <v>0.12369865883418905</v>
      </c>
      <c r="V16" s="1">
        <f t="shared" si="3"/>
        <v>9.9000000000000005E-2</v>
      </c>
      <c r="W16" s="1">
        <f t="shared" si="4"/>
        <v>0.111</v>
      </c>
      <c r="X16" s="1">
        <f t="shared" si="5"/>
        <v>0.124</v>
      </c>
    </row>
    <row r="17" spans="1:24" ht="15.5" thickTop="1" thickBot="1" x14ac:dyDescent="0.4">
      <c r="A17" s="5" t="str">
        <f t="shared" si="7"/>
        <v>2025Q2</v>
      </c>
      <c r="B17" s="2">
        <f t="shared" si="8"/>
        <v>228.75</v>
      </c>
      <c r="C17" s="3">
        <f t="shared" si="8"/>
        <v>240.999</v>
      </c>
      <c r="D17" s="2">
        <f t="shared" si="8"/>
        <v>253.24700000000001</v>
      </c>
      <c r="E17" s="2">
        <f t="shared" si="9"/>
        <v>9.9000000000000005E-2</v>
      </c>
      <c r="F17" s="3">
        <f t="shared" si="9"/>
        <v>0.111</v>
      </c>
      <c r="G17" s="2">
        <f t="shared" si="9"/>
        <v>0.124</v>
      </c>
      <c r="K17" s="14" t="s">
        <v>83</v>
      </c>
      <c r="L17" s="63">
        <v>240.71653322004764</v>
      </c>
      <c r="M17" s="63">
        <v>228.46821606203252</v>
      </c>
      <c r="N17" s="63">
        <v>252.96485037806275</v>
      </c>
      <c r="O17" s="1">
        <f t="shared" si="0"/>
        <v>228.46799999999999</v>
      </c>
      <c r="P17" s="1">
        <f t="shared" si="1"/>
        <v>240.71700000000001</v>
      </c>
      <c r="Q17" s="1">
        <f t="shared" si="2"/>
        <v>252.965</v>
      </c>
      <c r="R17" s="14" t="str">
        <f t="shared" si="6"/>
        <v>2025Q3</v>
      </c>
      <c r="S17" s="48">
        <v>0.10788488144976083</v>
      </c>
      <c r="T17" s="48">
        <v>9.4909804410786072E-2</v>
      </c>
      <c r="U17" s="48">
        <v>0.12085995848873558</v>
      </c>
      <c r="V17" s="1">
        <f t="shared" si="3"/>
        <v>9.5000000000000001E-2</v>
      </c>
      <c r="W17" s="1">
        <f t="shared" si="4"/>
        <v>0.108</v>
      </c>
      <c r="X17" s="1">
        <f t="shared" si="5"/>
        <v>0.121</v>
      </c>
    </row>
    <row r="18" spans="1:24" ht="15.5" thickTop="1" thickBot="1" x14ac:dyDescent="0.4">
      <c r="A18" s="5" t="str">
        <f t="shared" si="7"/>
        <v>2025Q3</v>
      </c>
      <c r="B18" s="2">
        <f t="shared" si="8"/>
        <v>228.46799999999999</v>
      </c>
      <c r="C18" s="3">
        <f t="shared" si="8"/>
        <v>240.71700000000001</v>
      </c>
      <c r="D18" s="2">
        <f t="shared" si="8"/>
        <v>252.965</v>
      </c>
      <c r="E18" s="2">
        <f t="shared" si="9"/>
        <v>9.5000000000000001E-2</v>
      </c>
      <c r="F18" s="3">
        <f t="shared" si="9"/>
        <v>0.108</v>
      </c>
      <c r="G18" s="2">
        <f t="shared" si="9"/>
        <v>0.121</v>
      </c>
      <c r="K18" s="14" t="s">
        <v>80</v>
      </c>
      <c r="L18" s="63">
        <v>243.39000797748344</v>
      </c>
      <c r="M18" s="63">
        <v>231.14164407880136</v>
      </c>
      <c r="N18" s="63">
        <v>255.63837187616551</v>
      </c>
      <c r="O18" s="1">
        <f t="shared" si="0"/>
        <v>231.142</v>
      </c>
      <c r="P18" s="1">
        <f t="shared" si="1"/>
        <v>243.39</v>
      </c>
      <c r="Q18" s="1">
        <f t="shared" si="2"/>
        <v>255.63800000000001</v>
      </c>
      <c r="R18" s="14" t="str">
        <f t="shared" si="6"/>
        <v>2025Q4</v>
      </c>
      <c r="S18" s="48">
        <v>0.11240070671809962</v>
      </c>
      <c r="T18" s="48">
        <v>9.906950486859846E-2</v>
      </c>
      <c r="U18" s="48">
        <v>0.12573190856760078</v>
      </c>
      <c r="V18" s="1">
        <f t="shared" si="3"/>
        <v>9.9000000000000005E-2</v>
      </c>
      <c r="W18" s="1">
        <f t="shared" si="4"/>
        <v>0.112</v>
      </c>
      <c r="X18" s="1">
        <f t="shared" si="5"/>
        <v>0.126</v>
      </c>
    </row>
    <row r="19" spans="1:24" ht="15.5" thickTop="1" thickBot="1" x14ac:dyDescent="0.4">
      <c r="A19" s="5" t="str">
        <f t="shared" si="7"/>
        <v>2025Q4</v>
      </c>
      <c r="B19" s="2">
        <f t="shared" si="8"/>
        <v>231.142</v>
      </c>
      <c r="C19" s="3">
        <f t="shared" si="8"/>
        <v>243.39</v>
      </c>
      <c r="D19" s="2">
        <f t="shared" si="8"/>
        <v>255.63800000000001</v>
      </c>
      <c r="E19" s="2">
        <f t="shared" si="9"/>
        <v>9.9000000000000005E-2</v>
      </c>
      <c r="F19" s="3">
        <f t="shared" si="9"/>
        <v>0.112</v>
      </c>
      <c r="G19" s="2">
        <f t="shared" si="9"/>
        <v>0.126</v>
      </c>
      <c r="K19" s="14" t="s">
        <v>92</v>
      </c>
      <c r="L19" s="63">
        <v>228.50330933379806</v>
      </c>
      <c r="M19" s="63">
        <v>216.25492268525656</v>
      </c>
      <c r="N19" s="63">
        <v>240.75169598233956</v>
      </c>
      <c r="O19" s="1">
        <f t="shared" si="0"/>
        <v>216.255</v>
      </c>
      <c r="P19" s="1">
        <f t="shared" si="1"/>
        <v>228.50299999999999</v>
      </c>
      <c r="Q19" s="1">
        <f t="shared" si="2"/>
        <v>240.75200000000001</v>
      </c>
      <c r="R19" s="14" t="str">
        <f t="shared" si="6"/>
        <v>2026Q1</v>
      </c>
      <c r="S19" s="48">
        <v>0.1077778991388911</v>
      </c>
      <c r="T19" s="48">
        <v>9.3975510324605896E-2</v>
      </c>
      <c r="U19" s="48">
        <v>0.12158028795317631</v>
      </c>
      <c r="V19" s="1">
        <f t="shared" si="3"/>
        <v>9.4E-2</v>
      </c>
      <c r="W19" s="1">
        <f t="shared" si="4"/>
        <v>0.108</v>
      </c>
      <c r="X19" s="1">
        <f t="shared" si="5"/>
        <v>0.122</v>
      </c>
    </row>
    <row r="20" spans="1:24" ht="15.5" thickTop="1" thickBot="1" x14ac:dyDescent="0.4">
      <c r="A20" s="5" t="str">
        <f t="shared" si="7"/>
        <v>2026Q1</v>
      </c>
      <c r="B20" s="2">
        <f t="shared" si="8"/>
        <v>216.255</v>
      </c>
      <c r="C20" s="3">
        <f t="shared" si="8"/>
        <v>228.50299999999999</v>
      </c>
      <c r="D20" s="2">
        <f t="shared" si="8"/>
        <v>240.75200000000001</v>
      </c>
      <c r="E20" s="2">
        <f t="shared" si="9"/>
        <v>9.4E-2</v>
      </c>
      <c r="F20" s="3">
        <f t="shared" si="9"/>
        <v>0.108</v>
      </c>
      <c r="G20" s="2">
        <f t="shared" si="9"/>
        <v>0.122</v>
      </c>
      <c r="K20" s="14" t="s">
        <v>93</v>
      </c>
      <c r="L20" s="63">
        <v>244.99086337117018</v>
      </c>
      <c r="M20" s="63">
        <v>232.7424656496832</v>
      </c>
      <c r="N20" s="63">
        <v>257.23926109265716</v>
      </c>
      <c r="O20" s="1">
        <f t="shared" si="0"/>
        <v>232.74199999999999</v>
      </c>
      <c r="P20" s="1">
        <f t="shared" si="1"/>
        <v>244.99100000000001</v>
      </c>
      <c r="Q20" s="1">
        <f t="shared" si="2"/>
        <v>257.23899999999998</v>
      </c>
      <c r="R20" s="14" t="str">
        <f t="shared" si="6"/>
        <v>2026Q2</v>
      </c>
      <c r="S20" s="48">
        <v>0.11478995862729323</v>
      </c>
      <c r="T20" s="48">
        <v>0.10065111551664388</v>
      </c>
      <c r="U20" s="48">
        <v>0.12892880173794258</v>
      </c>
      <c r="V20" s="1">
        <f t="shared" si="3"/>
        <v>0.10100000000000001</v>
      </c>
      <c r="W20" s="1">
        <f t="shared" si="4"/>
        <v>0.115</v>
      </c>
      <c r="X20" s="1">
        <f t="shared" si="5"/>
        <v>0.129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232.74199999999999</v>
      </c>
      <c r="C21" s="3">
        <f t="shared" si="10"/>
        <v>244.99100000000001</v>
      </c>
      <c r="D21" s="2">
        <f t="shared" si="10"/>
        <v>257.23899999999998</v>
      </c>
      <c r="E21" s="2">
        <f t="shared" ref="E21:G35" si="11">V20</f>
        <v>0.10100000000000001</v>
      </c>
      <c r="F21" s="3">
        <f t="shared" si="11"/>
        <v>0.115</v>
      </c>
      <c r="G21" s="2">
        <f t="shared" si="11"/>
        <v>0.129</v>
      </c>
      <c r="K21" s="14" t="s">
        <v>94</v>
      </c>
      <c r="L21" s="63">
        <v>244.70288441090287</v>
      </c>
      <c r="M21" s="63">
        <v>232.45448129992286</v>
      </c>
      <c r="N21" s="63">
        <v>256.95128752188288</v>
      </c>
      <c r="O21" s="1">
        <f t="shared" si="0"/>
        <v>232.45400000000001</v>
      </c>
      <c r="P21" s="1">
        <f t="shared" si="1"/>
        <v>244.703</v>
      </c>
      <c r="Q21" s="1">
        <f t="shared" si="2"/>
        <v>256.95100000000002</v>
      </c>
      <c r="R21" s="14" t="str">
        <f t="shared" si="6"/>
        <v>2026Q3</v>
      </c>
      <c r="S21" s="48">
        <v>0.11157754421682389</v>
      </c>
      <c r="T21" s="48">
        <v>9.6994875864790178E-2</v>
      </c>
      <c r="U21" s="48">
        <v>0.12616021256885762</v>
      </c>
      <c r="V21" s="1">
        <f t="shared" si="3"/>
        <v>9.7000000000000003E-2</v>
      </c>
      <c r="W21" s="1">
        <f t="shared" si="4"/>
        <v>0.112</v>
      </c>
      <c r="X21" s="1">
        <f t="shared" si="5"/>
        <v>0.126</v>
      </c>
    </row>
    <row r="22" spans="1:24" ht="15.5" thickTop="1" thickBot="1" x14ac:dyDescent="0.4">
      <c r="A22" s="5" t="str">
        <f t="shared" si="7"/>
        <v>2026Q3</v>
      </c>
      <c r="B22" s="2">
        <f t="shared" si="10"/>
        <v>232.45400000000001</v>
      </c>
      <c r="C22" s="3">
        <f t="shared" si="10"/>
        <v>244.703</v>
      </c>
      <c r="D22" s="2">
        <f t="shared" si="10"/>
        <v>256.95100000000002</v>
      </c>
      <c r="E22" s="2">
        <f t="shared" si="11"/>
        <v>9.7000000000000003E-2</v>
      </c>
      <c r="F22" s="3">
        <f t="shared" si="11"/>
        <v>0.112</v>
      </c>
      <c r="G22" s="2">
        <f t="shared" si="11"/>
        <v>0.126</v>
      </c>
      <c r="K22" s="14" t="s">
        <v>95</v>
      </c>
      <c r="L22" s="63">
        <v>247.37231372802913</v>
      </c>
      <c r="M22" s="63">
        <v>235.12390799384059</v>
      </c>
      <c r="N22" s="63">
        <v>259.62071946221766</v>
      </c>
      <c r="O22" s="1">
        <f t="shared" si="0"/>
        <v>235.124</v>
      </c>
      <c r="P22" s="1">
        <f t="shared" si="1"/>
        <v>247.37200000000001</v>
      </c>
      <c r="Q22" s="1">
        <f t="shared" si="2"/>
        <v>259.62099999999998</v>
      </c>
      <c r="R22" s="14" t="str">
        <f t="shared" si="6"/>
        <v>2026Q4</v>
      </c>
      <c r="S22" s="48">
        <v>0.11596448505080464</v>
      </c>
      <c r="T22" s="48">
        <v>0.1010618954712629</v>
      </c>
      <c r="U22" s="48">
        <v>0.13086707463034639</v>
      </c>
      <c r="V22" s="1">
        <f t="shared" si="3"/>
        <v>0.10100000000000001</v>
      </c>
      <c r="W22" s="1">
        <f t="shared" si="4"/>
        <v>0.11600000000000001</v>
      </c>
      <c r="X22" s="1">
        <f t="shared" si="5"/>
        <v>0.13100000000000001</v>
      </c>
    </row>
    <row r="23" spans="1:24" ht="15.5" thickTop="1" thickBot="1" x14ac:dyDescent="0.4">
      <c r="A23" s="5" t="str">
        <f t="shared" si="7"/>
        <v>2026Q4</v>
      </c>
      <c r="B23" s="2">
        <f t="shared" si="10"/>
        <v>235.124</v>
      </c>
      <c r="C23" s="3">
        <f t="shared" si="10"/>
        <v>247.37200000000001</v>
      </c>
      <c r="D23" s="2">
        <f t="shared" si="10"/>
        <v>259.62099999999998</v>
      </c>
      <c r="E23" s="2">
        <f t="shared" si="11"/>
        <v>0.10100000000000001</v>
      </c>
      <c r="F23" s="3">
        <f t="shared" si="11"/>
        <v>0.11600000000000001</v>
      </c>
      <c r="G23" s="2">
        <f t="shared" si="11"/>
        <v>0.13100000000000001</v>
      </c>
      <c r="K23" s="14" t="s">
        <v>96</v>
      </c>
      <c r="L23" s="63">
        <v>232.48279275091528</v>
      </c>
      <c r="M23" s="63">
        <v>220.23438573994167</v>
      </c>
      <c r="N23" s="63">
        <v>244.73119976188892</v>
      </c>
      <c r="O23" s="1">
        <f t="shared" si="0"/>
        <v>220.23400000000001</v>
      </c>
      <c r="P23" s="1">
        <f t="shared" si="1"/>
        <v>232.483</v>
      </c>
      <c r="Q23" s="1">
        <f t="shared" si="2"/>
        <v>244.73099999999999</v>
      </c>
      <c r="R23" s="14" t="str">
        <f t="shared" si="6"/>
        <v>2027Q1</v>
      </c>
      <c r="S23" s="48">
        <v>0.11146922871424625</v>
      </c>
      <c r="T23" s="48">
        <v>9.6146119550195155E-2</v>
      </c>
      <c r="U23" s="48">
        <v>0.12679233787829733</v>
      </c>
      <c r="V23" s="1">
        <f t="shared" si="3"/>
        <v>9.6000000000000002E-2</v>
      </c>
      <c r="W23" s="1">
        <f t="shared" si="4"/>
        <v>0.111</v>
      </c>
      <c r="X23" s="1">
        <f t="shared" si="5"/>
        <v>0.127</v>
      </c>
    </row>
    <row r="24" spans="1:24" ht="15.5" thickTop="1" thickBot="1" x14ac:dyDescent="0.4">
      <c r="A24" s="5" t="str">
        <f t="shared" si="7"/>
        <v>2027Q1</v>
      </c>
      <c r="B24" s="2">
        <f t="shared" si="10"/>
        <v>220.23400000000001</v>
      </c>
      <c r="C24" s="3">
        <f t="shared" si="10"/>
        <v>232.483</v>
      </c>
      <c r="D24" s="2">
        <f t="shared" si="10"/>
        <v>244.73099999999999</v>
      </c>
      <c r="E24" s="2">
        <f t="shared" si="11"/>
        <v>9.6000000000000002E-2</v>
      </c>
      <c r="F24" s="3">
        <f t="shared" si="11"/>
        <v>0.111</v>
      </c>
      <c r="G24" s="2">
        <f t="shared" si="11"/>
        <v>0.127</v>
      </c>
      <c r="K24" s="14" t="s">
        <v>97</v>
      </c>
      <c r="L24" s="63">
        <v>248.96837776504833</v>
      </c>
      <c r="M24" s="63">
        <v>236.71997013262958</v>
      </c>
      <c r="N24" s="63">
        <v>261.21678539746711</v>
      </c>
      <c r="O24" s="1">
        <f t="shared" si="0"/>
        <v>236.72</v>
      </c>
      <c r="P24" s="1">
        <f t="shared" si="1"/>
        <v>248.96799999999999</v>
      </c>
      <c r="Q24" s="1">
        <f t="shared" si="2"/>
        <v>261.21699999999998</v>
      </c>
      <c r="R24" s="14" t="str">
        <f t="shared" si="6"/>
        <v>2027Q2</v>
      </c>
      <c r="S24" s="48">
        <v>0.11835505636105609</v>
      </c>
      <c r="T24" s="48">
        <v>0.10272617154352094</v>
      </c>
      <c r="U24" s="48">
        <v>0.13398394117859122</v>
      </c>
      <c r="V24" s="1">
        <f t="shared" si="3"/>
        <v>0.10299999999999999</v>
      </c>
      <c r="W24" s="1">
        <f t="shared" si="4"/>
        <v>0.11799999999999999</v>
      </c>
      <c r="X24" s="1">
        <f t="shared" si="5"/>
        <v>0.13400000000000001</v>
      </c>
    </row>
    <row r="25" spans="1:24" ht="15.5" thickTop="1" thickBot="1" x14ac:dyDescent="0.4">
      <c r="A25" s="5" t="str">
        <f t="shared" si="7"/>
        <v>2027Q2</v>
      </c>
      <c r="B25" s="2">
        <f t="shared" si="10"/>
        <v>236.72</v>
      </c>
      <c r="C25" s="3">
        <f t="shared" si="10"/>
        <v>248.96799999999999</v>
      </c>
      <c r="D25" s="2">
        <f t="shared" si="10"/>
        <v>261.21699999999998</v>
      </c>
      <c r="E25" s="2">
        <f t="shared" si="11"/>
        <v>0.10299999999999999</v>
      </c>
      <c r="F25" s="3">
        <f t="shared" si="11"/>
        <v>0.11799999999999999</v>
      </c>
      <c r="G25" s="2">
        <f t="shared" si="11"/>
        <v>0.13400000000000001</v>
      </c>
      <c r="K25" s="14" t="s">
        <v>98</v>
      </c>
      <c r="L25" s="63">
        <v>248.67902510014471</v>
      </c>
      <c r="M25" s="63">
        <v>236.4306171652521</v>
      </c>
      <c r="N25" s="63">
        <v>260.92743303503732</v>
      </c>
      <c r="O25" s="1">
        <f t="shared" si="0"/>
        <v>236.43100000000001</v>
      </c>
      <c r="P25" s="1">
        <f t="shared" si="1"/>
        <v>248.679</v>
      </c>
      <c r="Q25" s="1">
        <f t="shared" si="2"/>
        <v>260.92700000000002</v>
      </c>
      <c r="R25" s="14" t="str">
        <f t="shared" si="6"/>
        <v>2027Q3</v>
      </c>
      <c r="S25" s="48">
        <v>0.11526756803911954</v>
      </c>
      <c r="T25" s="48">
        <v>9.923832865695241E-2</v>
      </c>
      <c r="U25" s="48">
        <v>0.13129680742128666</v>
      </c>
      <c r="V25" s="1">
        <f t="shared" si="3"/>
        <v>9.9000000000000005E-2</v>
      </c>
      <c r="W25" s="1">
        <f t="shared" si="4"/>
        <v>0.115</v>
      </c>
      <c r="X25" s="1">
        <f t="shared" si="5"/>
        <v>0.13100000000000001</v>
      </c>
    </row>
    <row r="26" spans="1:24" ht="15.5" thickTop="1" thickBot="1" x14ac:dyDescent="0.4">
      <c r="A26" s="5" t="str">
        <f t="shared" si="7"/>
        <v>2027Q3</v>
      </c>
      <c r="B26" s="2">
        <f t="shared" si="10"/>
        <v>236.43100000000001</v>
      </c>
      <c r="C26" s="3">
        <f t="shared" si="10"/>
        <v>248.679</v>
      </c>
      <c r="D26" s="2">
        <f t="shared" si="10"/>
        <v>260.92700000000002</v>
      </c>
      <c r="E26" s="2">
        <f t="shared" si="11"/>
        <v>9.9000000000000005E-2</v>
      </c>
      <c r="F26" s="3">
        <f t="shared" si="11"/>
        <v>0.115</v>
      </c>
      <c r="G26" s="2">
        <f t="shared" si="11"/>
        <v>0.13100000000000001</v>
      </c>
      <c r="K26" s="14" t="s">
        <v>99</v>
      </c>
      <c r="L26" s="63">
        <v>251.34749604136647</v>
      </c>
      <c r="M26" s="63">
        <v>239.09908795925182</v>
      </c>
      <c r="N26" s="63">
        <v>263.59590412348115</v>
      </c>
      <c r="O26" s="1">
        <f t="shared" si="0"/>
        <v>239.09899999999999</v>
      </c>
      <c r="P26" s="1">
        <f t="shared" si="1"/>
        <v>251.34700000000001</v>
      </c>
      <c r="Q26" s="1">
        <f t="shared" si="2"/>
        <v>263.596</v>
      </c>
      <c r="R26" s="14" t="str">
        <f t="shared" si="6"/>
        <v>2027Q4</v>
      </c>
      <c r="S26" s="48">
        <v>0.11953087503080471</v>
      </c>
      <c r="T26" s="48">
        <v>0.1032081396028854</v>
      </c>
      <c r="U26" s="48">
        <v>0.13585361045872404</v>
      </c>
      <c r="V26" s="1">
        <f t="shared" si="3"/>
        <v>0.10299999999999999</v>
      </c>
      <c r="W26" s="1">
        <f t="shared" si="4"/>
        <v>0.12</v>
      </c>
      <c r="X26" s="1">
        <f t="shared" si="5"/>
        <v>0.13600000000000001</v>
      </c>
    </row>
    <row r="27" spans="1:24" ht="15.5" thickTop="1" thickBot="1" x14ac:dyDescent="0.4">
      <c r="A27" s="5" t="str">
        <f t="shared" si="7"/>
        <v>2027Q4</v>
      </c>
      <c r="B27" s="2">
        <f t="shared" si="10"/>
        <v>239.09899999999999</v>
      </c>
      <c r="C27" s="3">
        <f t="shared" si="10"/>
        <v>251.34700000000001</v>
      </c>
      <c r="D27" s="2">
        <f t="shared" si="10"/>
        <v>263.596</v>
      </c>
      <c r="E27" s="2">
        <f t="shared" si="11"/>
        <v>0.10299999999999999</v>
      </c>
      <c r="F27" s="3">
        <f t="shared" si="11"/>
        <v>0.12</v>
      </c>
      <c r="G27" s="2">
        <f t="shared" si="11"/>
        <v>0.13600000000000001</v>
      </c>
      <c r="K27" s="14" t="s">
        <v>100</v>
      </c>
      <c r="L27" s="63">
        <v>236.45730644572271</v>
      </c>
      <c r="M27" s="63">
        <v>224.20889829195116</v>
      </c>
      <c r="N27" s="63">
        <v>248.70571459949426</v>
      </c>
      <c r="O27" s="1">
        <f t="shared" si="0"/>
        <v>224.209</v>
      </c>
      <c r="P27" s="1">
        <f t="shared" si="1"/>
        <v>236.45699999999999</v>
      </c>
      <c r="Q27" s="1">
        <f t="shared" si="2"/>
        <v>248.70599999999999</v>
      </c>
      <c r="R27" s="14" t="str">
        <f t="shared" si="6"/>
        <v>2028Q1</v>
      </c>
      <c r="S27" s="48">
        <v>0.11515797365741126</v>
      </c>
      <c r="T27" s="48">
        <v>9.8452557362103094E-2</v>
      </c>
      <c r="U27" s="48">
        <v>0.1318633899527194</v>
      </c>
      <c r="V27" s="1">
        <f t="shared" si="3"/>
        <v>9.8000000000000004E-2</v>
      </c>
      <c r="W27" s="1">
        <f t="shared" si="4"/>
        <v>0.115</v>
      </c>
      <c r="X27" s="1">
        <f t="shared" si="5"/>
        <v>0.13200000000000001</v>
      </c>
    </row>
    <row r="28" spans="1:24" ht="15.5" thickTop="1" thickBot="1" x14ac:dyDescent="0.4">
      <c r="A28" s="5" t="str">
        <f t="shared" si="7"/>
        <v>2028Q1</v>
      </c>
      <c r="B28" s="2">
        <f t="shared" si="10"/>
        <v>224.209</v>
      </c>
      <c r="C28" s="3">
        <f t="shared" si="10"/>
        <v>236.45699999999999</v>
      </c>
      <c r="D28" s="2">
        <f t="shared" si="10"/>
        <v>248.70599999999999</v>
      </c>
      <c r="E28" s="2">
        <f t="shared" si="11"/>
        <v>9.8000000000000004E-2</v>
      </c>
      <c r="F28" s="3">
        <f t="shared" si="11"/>
        <v>0.115</v>
      </c>
      <c r="G28" s="2">
        <f t="shared" si="11"/>
        <v>0.13200000000000001</v>
      </c>
      <c r="K28" s="14" t="s">
        <v>101</v>
      </c>
      <c r="L28" s="63">
        <v>252.94242499285011</v>
      </c>
      <c r="M28" s="63">
        <v>240.69401680420125</v>
      </c>
      <c r="N28" s="63">
        <v>265.19083318149893</v>
      </c>
      <c r="O28" s="1">
        <f t="shared" si="0"/>
        <v>240.69399999999999</v>
      </c>
      <c r="P28" s="1">
        <f t="shared" si="1"/>
        <v>252.94200000000001</v>
      </c>
      <c r="Q28" s="1">
        <f t="shared" si="2"/>
        <v>265.19099999999997</v>
      </c>
      <c r="R28" s="14" t="str">
        <f t="shared" si="6"/>
        <v>2028Q2</v>
      </c>
      <c r="S28" s="48">
        <v>0.12192271199135075</v>
      </c>
      <c r="T28" s="48">
        <v>0.10493458863445296</v>
      </c>
      <c r="U28" s="48">
        <v>0.13891083534824852</v>
      </c>
      <c r="V28" s="1">
        <f t="shared" si="3"/>
        <v>0.105</v>
      </c>
      <c r="W28" s="1">
        <f t="shared" si="4"/>
        <v>0.122</v>
      </c>
      <c r="X28" s="1">
        <f t="shared" si="5"/>
        <v>0.13900000000000001</v>
      </c>
    </row>
    <row r="29" spans="1:24" ht="15.5" thickTop="1" thickBot="1" x14ac:dyDescent="0.4">
      <c r="A29" s="5" t="str">
        <f t="shared" si="7"/>
        <v>2028Q2</v>
      </c>
      <c r="B29" s="2">
        <f t="shared" si="10"/>
        <v>240.69399999999999</v>
      </c>
      <c r="C29" s="3">
        <f t="shared" si="10"/>
        <v>252.94200000000001</v>
      </c>
      <c r="D29" s="2">
        <f t="shared" si="10"/>
        <v>265.19099999999997</v>
      </c>
      <c r="E29" s="2">
        <f t="shared" si="11"/>
        <v>0.105</v>
      </c>
      <c r="F29" s="3">
        <f t="shared" si="11"/>
        <v>0.122</v>
      </c>
      <c r="G29" s="2">
        <f t="shared" si="11"/>
        <v>0.13900000000000001</v>
      </c>
      <c r="K29" s="14" t="s">
        <v>102</v>
      </c>
      <c r="L29" s="63">
        <v>252.65274689355059</v>
      </c>
      <c r="M29" s="63">
        <v>240.40433868792601</v>
      </c>
      <c r="N29" s="63">
        <v>264.90115509917518</v>
      </c>
      <c r="O29" s="1">
        <f t="shared" si="0"/>
        <v>240.404</v>
      </c>
      <c r="P29" s="1">
        <f t="shared" si="1"/>
        <v>252.65299999999999</v>
      </c>
      <c r="Q29" s="1">
        <f t="shared" si="2"/>
        <v>264.90100000000001</v>
      </c>
      <c r="R29" s="14" t="str">
        <f t="shared" si="6"/>
        <v>2028Q3</v>
      </c>
      <c r="S29" s="48">
        <v>0.11895506042398579</v>
      </c>
      <c r="T29" s="48">
        <v>0.10159991372842123</v>
      </c>
      <c r="U29" s="48">
        <v>0.13631020711955036</v>
      </c>
      <c r="V29" s="1">
        <f t="shared" si="3"/>
        <v>0.10199999999999999</v>
      </c>
      <c r="W29" s="1">
        <f t="shared" si="4"/>
        <v>0.11899999999999999</v>
      </c>
      <c r="X29" s="1">
        <f t="shared" si="5"/>
        <v>0.13600000000000001</v>
      </c>
    </row>
    <row r="30" spans="1:24" ht="15.5" thickTop="1" thickBot="1" x14ac:dyDescent="0.4">
      <c r="A30" s="5" t="str">
        <f t="shared" si="7"/>
        <v>2028Q3</v>
      </c>
      <c r="B30" s="2">
        <f t="shared" si="10"/>
        <v>240.404</v>
      </c>
      <c r="C30" s="3">
        <f t="shared" si="10"/>
        <v>252.65299999999999</v>
      </c>
      <c r="D30" s="2">
        <f t="shared" si="10"/>
        <v>264.90100000000001</v>
      </c>
      <c r="E30" s="2">
        <f t="shared" si="11"/>
        <v>0.10199999999999999</v>
      </c>
      <c r="F30" s="3">
        <f t="shared" si="11"/>
        <v>0.11899999999999999</v>
      </c>
      <c r="G30" s="2">
        <f t="shared" si="11"/>
        <v>0.13600000000000001</v>
      </c>
      <c r="K30" s="14" t="s">
        <v>103</v>
      </c>
      <c r="L30" s="63">
        <v>255.32099079289205</v>
      </c>
      <c r="M30" s="63">
        <v>243.07258257900494</v>
      </c>
      <c r="N30" s="63">
        <v>267.56939900677912</v>
      </c>
      <c r="O30" s="1">
        <f t="shared" si="0"/>
        <v>243.07300000000001</v>
      </c>
      <c r="P30" s="1">
        <f t="shared" si="1"/>
        <v>255.321</v>
      </c>
      <c r="Q30" s="1">
        <f t="shared" si="2"/>
        <v>267.56900000000002</v>
      </c>
      <c r="R30" s="14" t="str">
        <f t="shared" si="6"/>
        <v>2028Q4</v>
      </c>
      <c r="S30" s="48">
        <v>0.12309977026282702</v>
      </c>
      <c r="T30" s="48">
        <v>0.10547149275714164</v>
      </c>
      <c r="U30" s="48">
        <v>0.14072804776851239</v>
      </c>
      <c r="V30" s="1">
        <f t="shared" si="3"/>
        <v>0.105</v>
      </c>
      <c r="W30" s="1">
        <f t="shared" si="4"/>
        <v>0.123</v>
      </c>
      <c r="X30" s="1">
        <f t="shared" si="5"/>
        <v>0.14099999999999999</v>
      </c>
    </row>
    <row r="31" spans="1:24" ht="15.5" thickTop="1" thickBot="1" x14ac:dyDescent="0.4">
      <c r="A31" s="5" t="str">
        <f t="shared" si="7"/>
        <v>2028Q4</v>
      </c>
      <c r="B31" s="2">
        <f t="shared" si="10"/>
        <v>243.07300000000001</v>
      </c>
      <c r="C31" s="3">
        <f t="shared" si="10"/>
        <v>255.321</v>
      </c>
      <c r="D31" s="2">
        <f t="shared" si="10"/>
        <v>267.56900000000002</v>
      </c>
      <c r="E31" s="2">
        <f t="shared" si="11"/>
        <v>0.105</v>
      </c>
      <c r="F31" s="3">
        <f t="shared" si="11"/>
        <v>0.123</v>
      </c>
      <c r="G31" s="2">
        <f t="shared" si="11"/>
        <v>0.14099999999999999</v>
      </c>
      <c r="K31" s="14" t="s">
        <v>104</v>
      </c>
      <c r="L31" s="63">
        <v>240.43064279968479</v>
      </c>
      <c r="M31" s="63">
        <v>228.1822345817761</v>
      </c>
      <c r="N31" s="63">
        <v>252.67905101759348</v>
      </c>
      <c r="O31" s="1">
        <f t="shared" si="0"/>
        <v>228.18199999999999</v>
      </c>
      <c r="P31" s="1">
        <f t="shared" si="1"/>
        <v>240.43100000000001</v>
      </c>
      <c r="Q31" s="1">
        <f t="shared" si="2"/>
        <v>252.679</v>
      </c>
      <c r="R31" s="14" t="str">
        <f t="shared" si="6"/>
        <v>2029Q1</v>
      </c>
      <c r="S31" s="48">
        <v>0.11884423926309708</v>
      </c>
      <c r="T31" s="48">
        <v>0.10086293663601638</v>
      </c>
      <c r="U31" s="48">
        <v>0.13682554189017776</v>
      </c>
      <c r="V31" s="1">
        <f t="shared" si="3"/>
        <v>0.10100000000000001</v>
      </c>
      <c r="W31" s="1">
        <f t="shared" si="4"/>
        <v>0.11899999999999999</v>
      </c>
      <c r="X31" s="1">
        <f t="shared" si="5"/>
        <v>0.13700000000000001</v>
      </c>
    </row>
    <row r="32" spans="1:24" ht="15.5" thickTop="1" thickBot="1" x14ac:dyDescent="0.4">
      <c r="A32" s="5" t="str">
        <f t="shared" si="7"/>
        <v>2029Q1</v>
      </c>
      <c r="B32" s="2">
        <f t="shared" si="10"/>
        <v>228.18199999999999</v>
      </c>
      <c r="C32" s="3">
        <f t="shared" si="10"/>
        <v>240.43100000000001</v>
      </c>
      <c r="D32" s="2">
        <f t="shared" si="10"/>
        <v>252.679</v>
      </c>
      <c r="E32" s="2">
        <f t="shared" si="11"/>
        <v>0.10100000000000001</v>
      </c>
      <c r="F32" s="3">
        <f t="shared" si="11"/>
        <v>0.11899999999999999</v>
      </c>
      <c r="G32" s="2">
        <f t="shared" si="11"/>
        <v>0.13700000000000001</v>
      </c>
      <c r="K32" s="14" t="s">
        <v>105</v>
      </c>
      <c r="L32" s="63">
        <v>256.91565083949922</v>
      </c>
      <c r="M32" s="63">
        <v>244.6672426196331</v>
      </c>
      <c r="N32" s="63">
        <v>269.16405905936529</v>
      </c>
      <c r="O32" s="1">
        <f t="shared" si="0"/>
        <v>244.667</v>
      </c>
      <c r="P32" s="1">
        <f t="shared" si="1"/>
        <v>256.916</v>
      </c>
      <c r="Q32" s="1">
        <f t="shared" si="2"/>
        <v>269.16399999999999</v>
      </c>
      <c r="R32" s="14" t="str">
        <f t="shared" si="6"/>
        <v>2029Q2</v>
      </c>
      <c r="S32" s="48">
        <v>0.1254928213126438</v>
      </c>
      <c r="T32" s="48">
        <v>0.10724696208367299</v>
      </c>
      <c r="U32" s="48">
        <v>0.14373868054161465</v>
      </c>
      <c r="V32" s="1">
        <f t="shared" si="3"/>
        <v>0.107</v>
      </c>
      <c r="W32" s="1">
        <f t="shared" si="4"/>
        <v>0.125</v>
      </c>
      <c r="X32" s="1">
        <f t="shared" si="5"/>
        <v>0.14399999999999999</v>
      </c>
    </row>
    <row r="33" spans="1:24" ht="15.5" thickTop="1" thickBot="1" x14ac:dyDescent="0.4">
      <c r="A33" s="5" t="str">
        <f t="shared" si="7"/>
        <v>2029Q2</v>
      </c>
      <c r="B33" s="2">
        <f t="shared" si="10"/>
        <v>244.667</v>
      </c>
      <c r="C33" s="3">
        <f t="shared" si="10"/>
        <v>256.916</v>
      </c>
      <c r="D33" s="2">
        <f t="shared" si="10"/>
        <v>269.16399999999999</v>
      </c>
      <c r="E33" s="2">
        <f t="shared" si="11"/>
        <v>0.107</v>
      </c>
      <c r="F33" s="3">
        <f t="shared" si="11"/>
        <v>0.125</v>
      </c>
      <c r="G33" s="2">
        <f t="shared" si="11"/>
        <v>0.14399999999999999</v>
      </c>
      <c r="K33" s="14" t="s">
        <v>106</v>
      </c>
      <c r="L33" s="63">
        <v>256.62589564389873</v>
      </c>
      <c r="M33" s="63">
        <v>244.37748742307988</v>
      </c>
      <c r="N33" s="63">
        <v>268.87430386471755</v>
      </c>
      <c r="O33" s="1">
        <f t="shared" si="0"/>
        <v>244.37700000000001</v>
      </c>
      <c r="P33" s="1">
        <f t="shared" si="1"/>
        <v>256.62599999999998</v>
      </c>
      <c r="Q33" s="1">
        <f t="shared" si="2"/>
        <v>268.87400000000002</v>
      </c>
      <c r="R33" s="14" t="str">
        <f t="shared" si="6"/>
        <v>2029Q3</v>
      </c>
      <c r="S33" s="48">
        <v>0.12264012449904502</v>
      </c>
      <c r="T33" s="48">
        <v>0.10405385301975988</v>
      </c>
      <c r="U33" s="48">
        <v>0.14122639597833014</v>
      </c>
      <c r="V33" s="1">
        <f t="shared" si="3"/>
        <v>0.104</v>
      </c>
      <c r="W33" s="1">
        <f t="shared" si="4"/>
        <v>0.123</v>
      </c>
      <c r="X33" s="1">
        <f t="shared" si="5"/>
        <v>0.14099999999999999</v>
      </c>
    </row>
    <row r="34" spans="1:24" ht="15.5" thickTop="1" thickBot="1" x14ac:dyDescent="0.4">
      <c r="A34" s="5" t="str">
        <f t="shared" si="7"/>
        <v>2029Q3</v>
      </c>
      <c r="B34" s="2">
        <f t="shared" si="10"/>
        <v>244.37700000000001</v>
      </c>
      <c r="C34" s="3">
        <f t="shared" si="10"/>
        <v>256.62599999999998</v>
      </c>
      <c r="D34" s="2">
        <f t="shared" si="10"/>
        <v>268.87400000000002</v>
      </c>
      <c r="E34" s="2">
        <f t="shared" si="11"/>
        <v>0.104</v>
      </c>
      <c r="F34" s="3">
        <f t="shared" si="11"/>
        <v>0.123</v>
      </c>
      <c r="G34" s="2">
        <f t="shared" si="11"/>
        <v>0.14099999999999999</v>
      </c>
      <c r="K34" s="14" t="s">
        <v>107</v>
      </c>
      <c r="L34" s="63">
        <v>259.29408575639604</v>
      </c>
      <c r="M34" s="63">
        <v>247.0456775351135</v>
      </c>
      <c r="N34" s="63">
        <v>271.54249397767859</v>
      </c>
      <c r="O34" s="1">
        <f t="shared" si="0"/>
        <v>247.04599999999999</v>
      </c>
      <c r="P34" s="1">
        <f t="shared" si="1"/>
        <v>259.29399999999998</v>
      </c>
      <c r="Q34" s="1">
        <f t="shared" si="2"/>
        <v>271.54199999999997</v>
      </c>
      <c r="R34" s="14" t="str">
        <f t="shared" si="6"/>
        <v>2029Q4</v>
      </c>
      <c r="S34" s="48">
        <v>0.12667106868601025</v>
      </c>
      <c r="T34" s="48">
        <v>0.10782797577525335</v>
      </c>
      <c r="U34" s="48">
        <v>0.14551416159676714</v>
      </c>
      <c r="V34" s="1">
        <f t="shared" si="3"/>
        <v>0.108</v>
      </c>
      <c r="W34" s="1">
        <f t="shared" si="4"/>
        <v>0.127</v>
      </c>
      <c r="X34" s="1">
        <f t="shared" si="5"/>
        <v>0.14599999999999999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247.04599999999999</v>
      </c>
      <c r="C35" s="3">
        <f t="shared" si="10"/>
        <v>259.29399999999998</v>
      </c>
      <c r="D35" s="2">
        <f t="shared" si="10"/>
        <v>271.54199999999997</v>
      </c>
      <c r="E35" s="2">
        <f t="shared" si="11"/>
        <v>0.108</v>
      </c>
      <c r="F35" s="3">
        <f t="shared" si="11"/>
        <v>0.127</v>
      </c>
      <c r="G35" s="2">
        <f t="shared" si="11"/>
        <v>0.14599999999999999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239.13118750000004</v>
      </c>
      <c r="F38" s="1">
        <f>AVERAGE(F4:F35)</f>
        <v>0.11071875000000003</v>
      </c>
    </row>
    <row r="40" spans="1:24" ht="12.5" thickBot="1" x14ac:dyDescent="0.35"/>
    <row r="41" spans="1:24" ht="15.5" thickTop="1" thickBot="1" x14ac:dyDescent="0.4">
      <c r="A41" s="29" t="s">
        <v>60</v>
      </c>
      <c r="B41" s="30"/>
      <c r="C41" s="30"/>
      <c r="D41" s="30"/>
      <c r="E41" s="30"/>
      <c r="F41" s="30"/>
      <c r="G41" s="30"/>
      <c r="K41" s="29" t="s">
        <v>35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207.45099999999999</v>
      </c>
      <c r="D44" s="6"/>
      <c r="E44" s="6"/>
      <c r="F44" s="9">
        <f>ROUND(F4-((G4-F4)*(0.5/2)),3)</f>
        <v>9.1999999999999998E-2</v>
      </c>
      <c r="G44" s="6"/>
      <c r="K44" s="7" t="str">
        <f>A4</f>
        <v>2022Q1</v>
      </c>
      <c r="L44" s="6"/>
      <c r="M44" s="9">
        <f>ROUND(C4-((D4-C4)*(1/2)),3)</f>
        <v>204.99199999999999</v>
      </c>
      <c r="N44" s="6"/>
      <c r="O44" s="6"/>
      <c r="P44" s="9">
        <f>ROUND(F4-((G4-F4)*(1/2)),3)</f>
        <v>9.0999999999999998E-2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224.43</v>
      </c>
      <c r="D45" s="6"/>
      <c r="E45" s="6"/>
      <c r="F45" s="9">
        <f t="shared" ref="F45:F75" si="14">ROUND(F5-((G5-F5)*(0.5/2)),3)</f>
        <v>0.1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221.64599999999999</v>
      </c>
      <c r="N45" s="6"/>
      <c r="O45" s="6"/>
      <c r="P45" s="9">
        <f t="shared" ref="P45:P75" si="17">ROUND(F5-((G5-F5)*(1/2)),3)</f>
        <v>9.9000000000000005E-2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224.566</v>
      </c>
      <c r="D46" s="6"/>
      <c r="E46" s="6"/>
      <c r="F46" s="9">
        <f t="shared" si="14"/>
        <v>9.6000000000000002E-2</v>
      </c>
      <c r="G46" s="6"/>
      <c r="K46" s="7" t="str">
        <f t="shared" si="15"/>
        <v>2022Q3</v>
      </c>
      <c r="L46" s="6"/>
      <c r="M46" s="9">
        <f t="shared" si="16"/>
        <v>221.63499999999999</v>
      </c>
      <c r="N46" s="6"/>
      <c r="O46" s="6"/>
      <c r="P46" s="9">
        <f t="shared" si="17"/>
        <v>9.4E-2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227.56399999999999</v>
      </c>
      <c r="D47" s="6"/>
      <c r="E47" s="6"/>
      <c r="F47" s="9">
        <f t="shared" si="14"/>
        <v>0.10100000000000001</v>
      </c>
      <c r="G47" s="6"/>
      <c r="K47" s="7" t="str">
        <f t="shared" si="15"/>
        <v>2022Q4</v>
      </c>
      <c r="L47" s="6"/>
      <c r="M47" s="9">
        <f t="shared" si="16"/>
        <v>224.566</v>
      </c>
      <c r="N47" s="6"/>
      <c r="O47" s="6"/>
      <c r="P47" s="9">
        <f t="shared" si="17"/>
        <v>9.9000000000000005E-2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212.92</v>
      </c>
      <c r="D48" s="6"/>
      <c r="E48" s="6"/>
      <c r="F48" s="9">
        <f t="shared" si="14"/>
        <v>9.5000000000000001E-2</v>
      </c>
      <c r="G48" s="6"/>
      <c r="K48" s="7" t="str">
        <f t="shared" si="15"/>
        <v>2023Q1</v>
      </c>
      <c r="L48" s="6"/>
      <c r="M48" s="9">
        <f t="shared" si="16"/>
        <v>209.88800000000001</v>
      </c>
      <c r="N48" s="6"/>
      <c r="O48" s="6"/>
      <c r="P48" s="9">
        <f t="shared" si="17"/>
        <v>9.4E-2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229.583</v>
      </c>
      <c r="D49" s="6"/>
      <c r="E49" s="6"/>
      <c r="F49" s="9">
        <f t="shared" si="14"/>
        <v>0.10199999999999999</v>
      </c>
      <c r="G49" s="6"/>
      <c r="K49" s="7" t="str">
        <f t="shared" si="15"/>
        <v>2023Q2</v>
      </c>
      <c r="L49" s="6"/>
      <c r="M49" s="9">
        <f t="shared" si="16"/>
        <v>226.536</v>
      </c>
      <c r="N49" s="6"/>
      <c r="O49" s="6"/>
      <c r="P49" s="9">
        <f t="shared" si="17"/>
        <v>0.1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229.42099999999999</v>
      </c>
      <c r="D50" s="6"/>
      <c r="E50" s="6"/>
      <c r="F50" s="9">
        <f t="shared" si="14"/>
        <v>9.8000000000000004E-2</v>
      </c>
      <c r="G50" s="6"/>
      <c r="K50" s="7" t="str">
        <f t="shared" si="15"/>
        <v>2023Q3</v>
      </c>
      <c r="L50" s="6"/>
      <c r="M50" s="9">
        <f t="shared" si="16"/>
        <v>226.36699999999999</v>
      </c>
      <c r="N50" s="6"/>
      <c r="O50" s="6"/>
      <c r="P50" s="9">
        <f t="shared" si="17"/>
        <v>9.6000000000000002E-2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232.179</v>
      </c>
      <c r="D51" s="6"/>
      <c r="E51" s="6"/>
      <c r="F51" s="9">
        <f t="shared" si="14"/>
        <v>0.10299999999999999</v>
      </c>
      <c r="G51" s="6"/>
      <c r="K51" s="7" t="str">
        <f t="shared" si="15"/>
        <v>2023Q4</v>
      </c>
      <c r="L51" s="6"/>
      <c r="M51" s="9">
        <f t="shared" si="16"/>
        <v>229.12100000000001</v>
      </c>
      <c r="N51" s="6"/>
      <c r="O51" s="6"/>
      <c r="P51" s="9">
        <f t="shared" si="17"/>
        <v>0.1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217.35400000000001</v>
      </c>
      <c r="D52" s="6"/>
      <c r="E52" s="6"/>
      <c r="F52" s="9">
        <f t="shared" si="14"/>
        <v>9.8000000000000004E-2</v>
      </c>
      <c r="G52" s="6"/>
      <c r="K52" s="7" t="str">
        <f t="shared" si="15"/>
        <v>2024Q1</v>
      </c>
      <c r="L52" s="6"/>
      <c r="M52" s="9">
        <f t="shared" si="16"/>
        <v>214.29400000000001</v>
      </c>
      <c r="N52" s="6"/>
      <c r="O52" s="6"/>
      <c r="P52" s="9">
        <f t="shared" si="17"/>
        <v>9.5000000000000001E-2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233.88399999999999</v>
      </c>
      <c r="D53" s="6"/>
      <c r="E53" s="6"/>
      <c r="F53" s="9">
        <f t="shared" si="14"/>
        <v>0.106</v>
      </c>
      <c r="G53" s="6"/>
      <c r="K53" s="7" t="str">
        <f t="shared" si="15"/>
        <v>2024Q2</v>
      </c>
      <c r="L53" s="6"/>
      <c r="M53" s="9">
        <f t="shared" si="16"/>
        <v>230.82300000000001</v>
      </c>
      <c r="N53" s="6"/>
      <c r="O53" s="6"/>
      <c r="P53" s="9">
        <f t="shared" si="17"/>
        <v>0.10299999999999999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233.625</v>
      </c>
      <c r="D54" s="6"/>
      <c r="E54" s="6"/>
      <c r="F54" s="9">
        <f t="shared" si="14"/>
        <v>0.10100000000000001</v>
      </c>
      <c r="G54" s="6"/>
      <c r="K54" s="7" t="str">
        <f t="shared" si="15"/>
        <v>2024Q3</v>
      </c>
      <c r="L54" s="6"/>
      <c r="M54" s="9">
        <f t="shared" si="16"/>
        <v>230.56399999999999</v>
      </c>
      <c r="N54" s="6"/>
      <c r="O54" s="6"/>
      <c r="P54" s="9">
        <f t="shared" si="17"/>
        <v>9.9000000000000005E-2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236.316</v>
      </c>
      <c r="D55" s="6"/>
      <c r="E55" s="6"/>
      <c r="F55" s="9">
        <f t="shared" si="14"/>
        <v>0.106</v>
      </c>
      <c r="G55" s="6"/>
      <c r="K55" s="7" t="str">
        <f t="shared" si="15"/>
        <v>2024Q4</v>
      </c>
      <c r="L55" s="6"/>
      <c r="M55" s="9">
        <f t="shared" si="16"/>
        <v>233.255</v>
      </c>
      <c r="N55" s="6"/>
      <c r="O55" s="6"/>
      <c r="P55" s="9">
        <f t="shared" si="17"/>
        <v>0.104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221.441</v>
      </c>
      <c r="D56" s="6"/>
      <c r="E56" s="6"/>
      <c r="F56" s="9">
        <f t="shared" si="14"/>
        <v>0.10100000000000001</v>
      </c>
      <c r="G56" s="6"/>
      <c r="K56" s="7" t="str">
        <f t="shared" si="15"/>
        <v>2025Q1</v>
      </c>
      <c r="L56" s="6"/>
      <c r="M56" s="9">
        <f t="shared" si="16"/>
        <v>218.37899999999999</v>
      </c>
      <c r="N56" s="6"/>
      <c r="O56" s="6"/>
      <c r="P56" s="9">
        <f t="shared" si="17"/>
        <v>9.8000000000000004E-2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237.93700000000001</v>
      </c>
      <c r="D57" s="6"/>
      <c r="E57" s="6"/>
      <c r="F57" s="9">
        <f t="shared" si="14"/>
        <v>0.108</v>
      </c>
      <c r="G57" s="6"/>
      <c r="K57" s="7" t="str">
        <f t="shared" si="15"/>
        <v>2025Q2</v>
      </c>
      <c r="L57" s="6"/>
      <c r="M57" s="9">
        <f t="shared" si="16"/>
        <v>234.875</v>
      </c>
      <c r="N57" s="6"/>
      <c r="O57" s="6"/>
      <c r="P57" s="9">
        <f t="shared" si="17"/>
        <v>0.105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237.655</v>
      </c>
      <c r="D58" s="6"/>
      <c r="E58" s="6"/>
      <c r="F58" s="9">
        <f t="shared" si="14"/>
        <v>0.105</v>
      </c>
      <c r="G58" s="6"/>
      <c r="K58" s="7" t="str">
        <f t="shared" si="15"/>
        <v>2025Q3</v>
      </c>
      <c r="L58" s="6"/>
      <c r="M58" s="9">
        <f t="shared" si="16"/>
        <v>234.59299999999999</v>
      </c>
      <c r="N58" s="6"/>
      <c r="O58" s="6"/>
      <c r="P58" s="9">
        <f t="shared" si="17"/>
        <v>0.10199999999999999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240.328</v>
      </c>
      <c r="D59" s="6"/>
      <c r="E59" s="6"/>
      <c r="F59" s="9">
        <f t="shared" si="14"/>
        <v>0.109</v>
      </c>
      <c r="G59" s="6"/>
      <c r="K59" s="7" t="str">
        <f t="shared" si="15"/>
        <v>2025Q4</v>
      </c>
      <c r="L59" s="6"/>
      <c r="M59" s="9">
        <f t="shared" si="16"/>
        <v>237.26599999999999</v>
      </c>
      <c r="N59" s="6"/>
      <c r="O59" s="6"/>
      <c r="P59" s="9">
        <f t="shared" si="17"/>
        <v>0.105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225.441</v>
      </c>
      <c r="D60" s="6"/>
      <c r="E60" s="6"/>
      <c r="F60" s="9">
        <f t="shared" si="14"/>
        <v>0.105</v>
      </c>
      <c r="G60" s="6"/>
      <c r="K60" s="7" t="str">
        <f t="shared" si="15"/>
        <v>2026Q1</v>
      </c>
      <c r="L60" s="6"/>
      <c r="M60" s="9">
        <f t="shared" si="16"/>
        <v>222.37899999999999</v>
      </c>
      <c r="N60" s="6"/>
      <c r="O60" s="6"/>
      <c r="P60" s="9">
        <f t="shared" si="17"/>
        <v>0.10100000000000001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241.929</v>
      </c>
      <c r="D61" s="6"/>
      <c r="E61" s="6"/>
      <c r="F61" s="9">
        <f t="shared" si="14"/>
        <v>0.112</v>
      </c>
      <c r="G61" s="6"/>
      <c r="K61" s="7" t="str">
        <f t="shared" si="15"/>
        <v>2026Q2</v>
      </c>
      <c r="L61" s="6"/>
      <c r="M61" s="9">
        <f t="shared" si="16"/>
        <v>238.86699999999999</v>
      </c>
      <c r="N61" s="6"/>
      <c r="O61" s="6"/>
      <c r="P61" s="9">
        <f t="shared" si="17"/>
        <v>0.108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241.64099999999999</v>
      </c>
      <c r="D62" s="6"/>
      <c r="E62" s="6"/>
      <c r="F62" s="9">
        <f t="shared" si="14"/>
        <v>0.109</v>
      </c>
      <c r="G62" s="6"/>
      <c r="K62" s="7" t="str">
        <f t="shared" si="15"/>
        <v>2026Q3</v>
      </c>
      <c r="L62" s="6"/>
      <c r="M62" s="9">
        <f t="shared" si="16"/>
        <v>238.57900000000001</v>
      </c>
      <c r="N62" s="6"/>
      <c r="O62" s="6"/>
      <c r="P62" s="9">
        <f t="shared" si="17"/>
        <v>0.105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244.31</v>
      </c>
      <c r="D63" s="6"/>
      <c r="E63" s="6"/>
      <c r="F63" s="9">
        <f t="shared" si="14"/>
        <v>0.112</v>
      </c>
      <c r="G63" s="6"/>
      <c r="K63" s="7" t="str">
        <f t="shared" si="15"/>
        <v>2026Q4</v>
      </c>
      <c r="L63" s="6"/>
      <c r="M63" s="9">
        <f t="shared" si="16"/>
        <v>241.24799999999999</v>
      </c>
      <c r="N63" s="6"/>
      <c r="O63" s="6"/>
      <c r="P63" s="9">
        <f t="shared" si="17"/>
        <v>0.109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229.42099999999999</v>
      </c>
      <c r="D64" s="6"/>
      <c r="E64" s="6"/>
      <c r="F64" s="9">
        <f t="shared" si="14"/>
        <v>0.107</v>
      </c>
      <c r="G64" s="6"/>
      <c r="K64" s="7" t="str">
        <f t="shared" si="15"/>
        <v>2027Q1</v>
      </c>
      <c r="L64" s="6"/>
      <c r="M64" s="9">
        <f t="shared" si="16"/>
        <v>226.35900000000001</v>
      </c>
      <c r="N64" s="6"/>
      <c r="O64" s="6"/>
      <c r="P64" s="9">
        <f t="shared" si="17"/>
        <v>0.10299999999999999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245.90600000000001</v>
      </c>
      <c r="D65" s="6"/>
      <c r="E65" s="6"/>
      <c r="F65" s="9">
        <f t="shared" si="14"/>
        <v>0.114</v>
      </c>
      <c r="G65" s="6"/>
      <c r="K65" s="7" t="str">
        <f t="shared" si="15"/>
        <v>2027Q2</v>
      </c>
      <c r="L65" s="6"/>
      <c r="M65" s="9">
        <f t="shared" si="16"/>
        <v>242.84399999999999</v>
      </c>
      <c r="N65" s="6"/>
      <c r="O65" s="6"/>
      <c r="P65" s="9">
        <f t="shared" si="17"/>
        <v>0.11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245.61699999999999</v>
      </c>
      <c r="D66" s="6"/>
      <c r="E66" s="6"/>
      <c r="F66" s="9">
        <f t="shared" si="14"/>
        <v>0.111</v>
      </c>
      <c r="G66" s="6"/>
      <c r="K66" s="7" t="str">
        <f t="shared" si="15"/>
        <v>2027Q3</v>
      </c>
      <c r="L66" s="6"/>
      <c r="M66" s="9">
        <f t="shared" si="16"/>
        <v>242.55500000000001</v>
      </c>
      <c r="N66" s="6"/>
      <c r="O66" s="6"/>
      <c r="P66" s="9">
        <f t="shared" si="17"/>
        <v>0.107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248.285</v>
      </c>
      <c r="D67" s="6"/>
      <c r="E67" s="6"/>
      <c r="F67" s="9">
        <f t="shared" si="14"/>
        <v>0.11600000000000001</v>
      </c>
      <c r="G67" s="6"/>
      <c r="K67" s="7" t="str">
        <f t="shared" si="15"/>
        <v>2027Q4</v>
      </c>
      <c r="L67" s="6"/>
      <c r="M67" s="9">
        <f t="shared" si="16"/>
        <v>245.22300000000001</v>
      </c>
      <c r="N67" s="6"/>
      <c r="O67" s="6"/>
      <c r="P67" s="9">
        <f t="shared" si="17"/>
        <v>0.112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233.39500000000001</v>
      </c>
      <c r="D68" s="6"/>
      <c r="E68" s="6"/>
      <c r="F68" s="9">
        <f t="shared" si="14"/>
        <v>0.111</v>
      </c>
      <c r="G68" s="6"/>
      <c r="K68" s="7" t="str">
        <f t="shared" si="15"/>
        <v>2028Q1</v>
      </c>
      <c r="L68" s="6"/>
      <c r="M68" s="9">
        <f t="shared" si="16"/>
        <v>230.333</v>
      </c>
      <c r="N68" s="6"/>
      <c r="O68" s="6"/>
      <c r="P68" s="9">
        <f t="shared" si="17"/>
        <v>0.107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249.88</v>
      </c>
      <c r="D69" s="6"/>
      <c r="E69" s="6"/>
      <c r="F69" s="9">
        <f t="shared" si="14"/>
        <v>0.11799999999999999</v>
      </c>
      <c r="G69" s="6"/>
      <c r="K69" s="7" t="str">
        <f t="shared" si="15"/>
        <v>2028Q2</v>
      </c>
      <c r="L69" s="6"/>
      <c r="M69" s="9">
        <f t="shared" si="16"/>
        <v>246.81800000000001</v>
      </c>
      <c r="N69" s="6"/>
      <c r="O69" s="6"/>
      <c r="P69" s="9">
        <f t="shared" si="17"/>
        <v>0.114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249.59100000000001</v>
      </c>
      <c r="D70" s="6"/>
      <c r="E70" s="6"/>
      <c r="F70" s="9">
        <f t="shared" si="14"/>
        <v>0.115</v>
      </c>
      <c r="G70" s="6"/>
      <c r="K70" s="7" t="str">
        <f t="shared" si="15"/>
        <v>2028Q3</v>
      </c>
      <c r="L70" s="6"/>
      <c r="M70" s="9">
        <f t="shared" si="16"/>
        <v>246.529</v>
      </c>
      <c r="N70" s="6"/>
      <c r="O70" s="6"/>
      <c r="P70" s="9">
        <f t="shared" si="17"/>
        <v>0.111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252.25899999999999</v>
      </c>
      <c r="D71" s="6"/>
      <c r="E71" s="6"/>
      <c r="F71" s="9">
        <f t="shared" si="14"/>
        <v>0.11899999999999999</v>
      </c>
      <c r="G71" s="6"/>
      <c r="K71" s="7" t="str">
        <f t="shared" si="15"/>
        <v>2028Q4</v>
      </c>
      <c r="L71" s="6"/>
      <c r="M71" s="9">
        <f t="shared" si="16"/>
        <v>249.197</v>
      </c>
      <c r="N71" s="6"/>
      <c r="O71" s="6"/>
      <c r="P71" s="9">
        <f t="shared" si="17"/>
        <v>0.114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237.369</v>
      </c>
      <c r="D72" s="6"/>
      <c r="E72" s="6"/>
      <c r="F72" s="9">
        <f t="shared" si="14"/>
        <v>0.115</v>
      </c>
      <c r="G72" s="6"/>
      <c r="K72" s="7" t="str">
        <f t="shared" si="15"/>
        <v>2029Q1</v>
      </c>
      <c r="L72" s="6"/>
      <c r="M72" s="9">
        <f t="shared" si="16"/>
        <v>234.30699999999999</v>
      </c>
      <c r="N72" s="6"/>
      <c r="O72" s="6"/>
      <c r="P72" s="9">
        <f t="shared" si="17"/>
        <v>0.11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253.85400000000001</v>
      </c>
      <c r="D73" s="6"/>
      <c r="E73" s="6"/>
      <c r="F73" s="9">
        <f t="shared" si="14"/>
        <v>0.12</v>
      </c>
      <c r="G73" s="6"/>
      <c r="K73" s="7" t="str">
        <f t="shared" si="15"/>
        <v>2029Q2</v>
      </c>
      <c r="L73" s="6"/>
      <c r="M73" s="9">
        <f t="shared" si="16"/>
        <v>250.792</v>
      </c>
      <c r="N73" s="6"/>
      <c r="O73" s="6"/>
      <c r="P73" s="9">
        <f t="shared" si="17"/>
        <v>0.11600000000000001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253.56399999999999</v>
      </c>
      <c r="D74" s="6"/>
      <c r="E74" s="6"/>
      <c r="F74" s="9">
        <f t="shared" si="14"/>
        <v>0.11899999999999999</v>
      </c>
      <c r="G74" s="6"/>
      <c r="K74" s="7" t="str">
        <f t="shared" si="15"/>
        <v>2029Q3</v>
      </c>
      <c r="L74" s="6"/>
      <c r="M74" s="9">
        <f t="shared" si="16"/>
        <v>250.50200000000001</v>
      </c>
      <c r="N74" s="6"/>
      <c r="O74" s="6"/>
      <c r="P74" s="9">
        <f t="shared" si="17"/>
        <v>0.114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256.23200000000003</v>
      </c>
      <c r="D75" s="6"/>
      <c r="E75" s="6"/>
      <c r="F75" s="9">
        <f t="shared" si="14"/>
        <v>0.122</v>
      </c>
      <c r="G75" s="6"/>
      <c r="K75" s="7" t="str">
        <f t="shared" si="15"/>
        <v>2029Q4</v>
      </c>
      <c r="L75" s="6"/>
      <c r="M75" s="9">
        <f t="shared" si="16"/>
        <v>253.17</v>
      </c>
      <c r="N75" s="6"/>
      <c r="O75" s="6"/>
      <c r="P75" s="9">
        <f t="shared" si="17"/>
        <v>0.11799999999999999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2" t="s">
        <v>14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32.25" customHeight="1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J3" s="28"/>
      <c r="K3" s="14" t="s">
        <v>69</v>
      </c>
      <c r="L3" s="64">
        <v>16.729965185774482</v>
      </c>
      <c r="M3" s="64">
        <v>15.788659285471917</v>
      </c>
      <c r="N3" s="64">
        <v>17.671271086077049</v>
      </c>
      <c r="O3" s="1">
        <f t="shared" ref="O3:O34" si="0">ROUND(M3,3)</f>
        <v>15.789</v>
      </c>
      <c r="P3" s="1">
        <f t="shared" ref="P3:P34" si="1">ROUND(L3,3)</f>
        <v>16.73</v>
      </c>
      <c r="Q3" s="1">
        <f t="shared" ref="Q3:Q34" si="2">ROUND(N3,3)</f>
        <v>17.670999999999999</v>
      </c>
      <c r="R3" s="14" t="str">
        <f>K3</f>
        <v>2022Q1</v>
      </c>
      <c r="S3" s="49">
        <v>0.24261352494859889</v>
      </c>
      <c r="T3" s="49">
        <v>0.23433030346936939</v>
      </c>
      <c r="U3" s="49">
        <v>0.25089674642782839</v>
      </c>
      <c r="V3" s="1">
        <f t="shared" ref="V3:V34" si="3">ROUND(T3,3)</f>
        <v>0.23400000000000001</v>
      </c>
      <c r="W3" s="1">
        <f t="shared" ref="W3:W34" si="4">ROUND(S3,3)</f>
        <v>0.24299999999999999</v>
      </c>
      <c r="X3" s="1">
        <f t="shared" ref="X3:X34" si="5">ROUND(U3,3)</f>
        <v>0.251</v>
      </c>
    </row>
    <row r="4" spans="1:30" ht="15.5" thickTop="1" thickBot="1" x14ac:dyDescent="0.4">
      <c r="A4" s="5" t="str">
        <f>K3</f>
        <v>2022Q1</v>
      </c>
      <c r="B4" s="2">
        <f>O3</f>
        <v>15.789</v>
      </c>
      <c r="C4" s="3">
        <f>P3</f>
        <v>16.73</v>
      </c>
      <c r="D4" s="2">
        <f>Q3</f>
        <v>17.670999999999999</v>
      </c>
      <c r="E4" s="2">
        <f>V3</f>
        <v>0.23400000000000001</v>
      </c>
      <c r="F4" s="3">
        <f>W3</f>
        <v>0.24299999999999999</v>
      </c>
      <c r="G4" s="2">
        <f>X3</f>
        <v>0.251</v>
      </c>
      <c r="J4" s="28"/>
      <c r="K4" s="14" t="s">
        <v>70</v>
      </c>
      <c r="L4" s="64">
        <v>17.584662749227526</v>
      </c>
      <c r="M4" s="64">
        <v>16.316255649296615</v>
      </c>
      <c r="N4" s="64">
        <v>18.853069849158437</v>
      </c>
      <c r="O4" s="1">
        <f t="shared" si="0"/>
        <v>16.315999999999999</v>
      </c>
      <c r="P4" s="1">
        <f t="shared" si="1"/>
        <v>17.585000000000001</v>
      </c>
      <c r="Q4" s="1">
        <f t="shared" si="2"/>
        <v>18.853000000000002</v>
      </c>
      <c r="R4" s="14" t="str">
        <f t="shared" ref="R4:R34" si="6">K4</f>
        <v>2022Q2</v>
      </c>
      <c r="S4" s="49">
        <v>0.25155322871322139</v>
      </c>
      <c r="T4" s="49">
        <v>0.2408983845809568</v>
      </c>
      <c r="U4" s="49">
        <v>0.26220807284548603</v>
      </c>
      <c r="V4" s="1">
        <f t="shared" si="3"/>
        <v>0.24099999999999999</v>
      </c>
      <c r="W4" s="1">
        <f t="shared" si="4"/>
        <v>0.252</v>
      </c>
      <c r="X4" s="1">
        <f t="shared" si="5"/>
        <v>0.26200000000000001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16.315999999999999</v>
      </c>
      <c r="C5" s="3">
        <f t="shared" si="8"/>
        <v>17.585000000000001</v>
      </c>
      <c r="D5" s="2">
        <f t="shared" si="8"/>
        <v>18.853000000000002</v>
      </c>
      <c r="E5" s="2">
        <f t="shared" ref="E5:G20" si="9">V4</f>
        <v>0.24099999999999999</v>
      </c>
      <c r="F5" s="3">
        <f t="shared" si="9"/>
        <v>0.252</v>
      </c>
      <c r="G5" s="2">
        <f t="shared" si="9"/>
        <v>0.26200000000000001</v>
      </c>
      <c r="I5" s="1">
        <f>SUM(F5:F8)</f>
        <v>1.01</v>
      </c>
      <c r="K5" s="14" t="s">
        <v>71</v>
      </c>
      <c r="L5" s="64">
        <v>17.128175152856389</v>
      </c>
      <c r="M5" s="64">
        <v>15.620237924334074</v>
      </c>
      <c r="N5" s="64">
        <v>18.636112381378705</v>
      </c>
      <c r="O5" s="1">
        <f t="shared" si="0"/>
        <v>15.62</v>
      </c>
      <c r="P5" s="1">
        <f t="shared" si="1"/>
        <v>17.128</v>
      </c>
      <c r="Q5" s="1">
        <f t="shared" si="2"/>
        <v>18.635999999999999</v>
      </c>
      <c r="R5" s="14" t="str">
        <f t="shared" si="6"/>
        <v>2022Q3</v>
      </c>
      <c r="S5" s="49">
        <v>0.25103799673643573</v>
      </c>
      <c r="T5" s="49">
        <v>0.23786262283969323</v>
      </c>
      <c r="U5" s="49">
        <v>0.26421337063317824</v>
      </c>
      <c r="V5" s="1">
        <f t="shared" si="3"/>
        <v>0.23799999999999999</v>
      </c>
      <c r="W5" s="1">
        <f t="shared" si="4"/>
        <v>0.251</v>
      </c>
      <c r="X5" s="1">
        <f t="shared" si="5"/>
        <v>0.26400000000000001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15.62</v>
      </c>
      <c r="C6" s="3">
        <f t="shared" si="8"/>
        <v>17.128</v>
      </c>
      <c r="D6" s="2">
        <f t="shared" si="8"/>
        <v>18.635999999999999</v>
      </c>
      <c r="E6" s="2">
        <f t="shared" si="9"/>
        <v>0.23799999999999999</v>
      </c>
      <c r="F6" s="3">
        <f t="shared" si="9"/>
        <v>0.251</v>
      </c>
      <c r="G6" s="2">
        <f t="shared" si="9"/>
        <v>0.26400000000000001</v>
      </c>
      <c r="I6" s="1">
        <f>SUM(F9:F12)</f>
        <v>1.0470000000000002</v>
      </c>
      <c r="K6" s="14" t="s">
        <v>72</v>
      </c>
      <c r="L6" s="64">
        <v>17.677890013524554</v>
      </c>
      <c r="M6" s="64">
        <v>15.979146274942517</v>
      </c>
      <c r="N6" s="64">
        <v>19.376633752106589</v>
      </c>
      <c r="O6" s="1">
        <f t="shared" si="0"/>
        <v>15.978999999999999</v>
      </c>
      <c r="P6" s="1">
        <f t="shared" si="1"/>
        <v>17.678000000000001</v>
      </c>
      <c r="Q6" s="1">
        <f t="shared" si="2"/>
        <v>19.376999999999999</v>
      </c>
      <c r="R6" s="14" t="str">
        <f t="shared" si="6"/>
        <v>2022Q4</v>
      </c>
      <c r="S6" s="49">
        <v>0.25430411125112534</v>
      </c>
      <c r="T6" s="49">
        <v>0.23935867997431459</v>
      </c>
      <c r="U6" s="49">
        <v>0.26924954252793609</v>
      </c>
      <c r="V6" s="1">
        <f t="shared" si="3"/>
        <v>0.23899999999999999</v>
      </c>
      <c r="W6" s="1">
        <f t="shared" si="4"/>
        <v>0.254</v>
      </c>
      <c r="X6" s="1">
        <f t="shared" si="5"/>
        <v>0.26900000000000002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15.978999999999999</v>
      </c>
      <c r="C7" s="3">
        <f t="shared" si="8"/>
        <v>17.678000000000001</v>
      </c>
      <c r="D7" s="2">
        <f t="shared" si="8"/>
        <v>19.376999999999999</v>
      </c>
      <c r="E7" s="2">
        <f t="shared" si="9"/>
        <v>0.23899999999999999</v>
      </c>
      <c r="F7" s="3">
        <f t="shared" si="9"/>
        <v>0.254</v>
      </c>
      <c r="G7" s="2">
        <f t="shared" si="9"/>
        <v>0.26900000000000002</v>
      </c>
      <c r="I7" s="1">
        <f>SUM(F13:F16)</f>
        <v>1.085</v>
      </c>
      <c r="K7" s="14" t="s">
        <v>73</v>
      </c>
      <c r="L7" s="64">
        <v>16.791779794731884</v>
      </c>
      <c r="M7" s="64">
        <v>14.934719410226874</v>
      </c>
      <c r="N7" s="64">
        <v>18.648840179236895</v>
      </c>
      <c r="O7" s="1">
        <f t="shared" si="0"/>
        <v>14.935</v>
      </c>
      <c r="P7" s="1">
        <f t="shared" si="1"/>
        <v>16.792000000000002</v>
      </c>
      <c r="Q7" s="1">
        <f t="shared" si="2"/>
        <v>18.649000000000001</v>
      </c>
      <c r="R7" s="14" t="str">
        <f t="shared" si="6"/>
        <v>2023Q1</v>
      </c>
      <c r="S7" s="49">
        <v>0.25285766960121109</v>
      </c>
      <c r="T7" s="49">
        <v>0.23612882022060735</v>
      </c>
      <c r="U7" s="49">
        <v>0.26958651898181485</v>
      </c>
      <c r="V7" s="1">
        <f t="shared" si="3"/>
        <v>0.23599999999999999</v>
      </c>
      <c r="W7" s="1">
        <f t="shared" si="4"/>
        <v>0.253</v>
      </c>
      <c r="X7" s="1">
        <f t="shared" si="5"/>
        <v>0.27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14.935</v>
      </c>
      <c r="C8" s="3">
        <f t="shared" si="8"/>
        <v>16.792000000000002</v>
      </c>
      <c r="D8" s="2">
        <f t="shared" si="8"/>
        <v>18.649000000000001</v>
      </c>
      <c r="E8" s="2">
        <f t="shared" si="9"/>
        <v>0.23599999999999999</v>
      </c>
      <c r="F8" s="3">
        <f t="shared" si="9"/>
        <v>0.253</v>
      </c>
      <c r="G8" s="2">
        <f t="shared" si="9"/>
        <v>0.27</v>
      </c>
      <c r="I8" s="1">
        <f>SUM(F17:F20)</f>
        <v>1.1219999999999999</v>
      </c>
      <c r="K8" s="14" t="s">
        <v>74</v>
      </c>
      <c r="L8" s="64">
        <v>17.647303919379652</v>
      </c>
      <c r="M8" s="64">
        <v>15.655667964222639</v>
      </c>
      <c r="N8" s="64">
        <v>19.638939874536668</v>
      </c>
      <c r="O8" s="1">
        <f t="shared" si="0"/>
        <v>15.656000000000001</v>
      </c>
      <c r="P8" s="1">
        <f t="shared" si="1"/>
        <v>17.646999999999998</v>
      </c>
      <c r="Q8" s="1">
        <f t="shared" si="2"/>
        <v>19.638999999999999</v>
      </c>
      <c r="R8" s="14" t="str">
        <f t="shared" si="6"/>
        <v>2023Q2</v>
      </c>
      <c r="S8" s="49">
        <v>0.26047615765855991</v>
      </c>
      <c r="T8" s="49">
        <v>0.24225953710734521</v>
      </c>
      <c r="U8" s="49">
        <v>0.27869277820977467</v>
      </c>
      <c r="V8" s="1">
        <f t="shared" si="3"/>
        <v>0.24199999999999999</v>
      </c>
      <c r="W8" s="1">
        <f t="shared" si="4"/>
        <v>0.26</v>
      </c>
      <c r="X8" s="1">
        <f t="shared" si="5"/>
        <v>0.27900000000000003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15.656000000000001</v>
      </c>
      <c r="C9" s="3">
        <f t="shared" si="8"/>
        <v>17.646999999999998</v>
      </c>
      <c r="D9" s="2">
        <f t="shared" si="8"/>
        <v>19.638999999999999</v>
      </c>
      <c r="E9" s="2">
        <f t="shared" si="9"/>
        <v>0.24199999999999999</v>
      </c>
      <c r="F9" s="3">
        <f t="shared" si="9"/>
        <v>0.26</v>
      </c>
      <c r="G9" s="2">
        <f t="shared" si="9"/>
        <v>0.27900000000000003</v>
      </c>
      <c r="I9" s="1">
        <f>SUM(F21:F24)</f>
        <v>1.1609999999999998</v>
      </c>
      <c r="K9" s="14" t="s">
        <v>75</v>
      </c>
      <c r="L9" s="64">
        <v>17.191609157884177</v>
      </c>
      <c r="M9" s="64">
        <v>15.083731227137777</v>
      </c>
      <c r="N9" s="64">
        <v>19.299487088630578</v>
      </c>
      <c r="O9" s="1">
        <f t="shared" si="0"/>
        <v>15.084</v>
      </c>
      <c r="P9" s="1">
        <f t="shared" si="1"/>
        <v>17.192</v>
      </c>
      <c r="Q9" s="1">
        <f t="shared" si="2"/>
        <v>19.298999999999999</v>
      </c>
      <c r="R9" s="14" t="str">
        <f t="shared" si="6"/>
        <v>2023Q3</v>
      </c>
      <c r="S9" s="49">
        <v>0.26083678202409366</v>
      </c>
      <c r="T9" s="49">
        <v>0.24116963088150647</v>
      </c>
      <c r="U9" s="49">
        <v>0.28050393316668087</v>
      </c>
      <c r="V9" s="1">
        <f t="shared" si="3"/>
        <v>0.24099999999999999</v>
      </c>
      <c r="W9" s="1">
        <f t="shared" si="4"/>
        <v>0.26100000000000001</v>
      </c>
      <c r="X9" s="1">
        <f t="shared" si="5"/>
        <v>0.28100000000000003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15.084</v>
      </c>
      <c r="C10" s="3">
        <f t="shared" si="8"/>
        <v>17.192</v>
      </c>
      <c r="D10" s="2">
        <f t="shared" si="8"/>
        <v>19.298999999999999</v>
      </c>
      <c r="E10" s="2">
        <f t="shared" si="9"/>
        <v>0.24099999999999999</v>
      </c>
      <c r="F10" s="3">
        <f t="shared" si="9"/>
        <v>0.26100000000000001</v>
      </c>
      <c r="G10" s="2">
        <f t="shared" si="9"/>
        <v>0.28100000000000003</v>
      </c>
      <c r="I10" s="1">
        <f>SUM(F25:F28)</f>
        <v>1.198</v>
      </c>
      <c r="K10" s="14" t="s">
        <v>76</v>
      </c>
      <c r="L10" s="64">
        <v>17.742084503249764</v>
      </c>
      <c r="M10" s="64">
        <v>15.532652445119348</v>
      </c>
      <c r="N10" s="64">
        <v>19.951516561380178</v>
      </c>
      <c r="O10" s="1">
        <f t="shared" si="0"/>
        <v>15.532999999999999</v>
      </c>
      <c r="P10" s="1">
        <f t="shared" si="1"/>
        <v>17.742000000000001</v>
      </c>
      <c r="Q10" s="1">
        <f t="shared" si="2"/>
        <v>19.952000000000002</v>
      </c>
      <c r="R10" s="14" t="str">
        <f t="shared" si="6"/>
        <v>2023Q4</v>
      </c>
      <c r="S10" s="49">
        <v>0.26352227648699472</v>
      </c>
      <c r="T10" s="49">
        <v>0.24255142669672891</v>
      </c>
      <c r="U10" s="49">
        <v>0.28449312627726053</v>
      </c>
      <c r="V10" s="1">
        <f t="shared" si="3"/>
        <v>0.24299999999999999</v>
      </c>
      <c r="W10" s="1">
        <f t="shared" si="4"/>
        <v>0.26400000000000001</v>
      </c>
      <c r="X10" s="1">
        <f t="shared" si="5"/>
        <v>0.28399999999999997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15.532999999999999</v>
      </c>
      <c r="C11" s="3">
        <f t="shared" si="8"/>
        <v>17.742000000000001</v>
      </c>
      <c r="D11" s="2">
        <f t="shared" si="8"/>
        <v>19.952000000000002</v>
      </c>
      <c r="E11" s="2">
        <f t="shared" si="9"/>
        <v>0.24299999999999999</v>
      </c>
      <c r="F11" s="3">
        <f t="shared" si="9"/>
        <v>0.26400000000000001</v>
      </c>
      <c r="G11" s="2">
        <f t="shared" si="9"/>
        <v>0.28399999999999997</v>
      </c>
      <c r="I11" s="1">
        <f>SUM(F29:F32)</f>
        <v>1.2370000000000001</v>
      </c>
      <c r="K11" s="14" t="s">
        <v>77</v>
      </c>
      <c r="L11" s="64">
        <v>16.856703738966178</v>
      </c>
      <c r="M11" s="64">
        <v>14.557795065588662</v>
      </c>
      <c r="N11" s="64">
        <v>19.155612412343697</v>
      </c>
      <c r="O11" s="1">
        <f t="shared" si="0"/>
        <v>14.558</v>
      </c>
      <c r="P11" s="1">
        <f t="shared" si="1"/>
        <v>16.856999999999999</v>
      </c>
      <c r="Q11" s="1">
        <f t="shared" si="2"/>
        <v>19.155999999999999</v>
      </c>
      <c r="R11" s="14" t="str">
        <f t="shared" si="6"/>
        <v>2024Q1</v>
      </c>
      <c r="S11" s="49">
        <v>0.26246073773525008</v>
      </c>
      <c r="T11" s="49">
        <v>0.24023329065257099</v>
      </c>
      <c r="U11" s="49">
        <v>0.28468818481792918</v>
      </c>
      <c r="V11" s="1">
        <f t="shared" si="3"/>
        <v>0.24</v>
      </c>
      <c r="W11" s="1">
        <f t="shared" si="4"/>
        <v>0.26200000000000001</v>
      </c>
      <c r="X11" s="1">
        <f t="shared" si="5"/>
        <v>0.28499999999999998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14.558</v>
      </c>
      <c r="C12" s="3">
        <f t="shared" si="8"/>
        <v>16.856999999999999</v>
      </c>
      <c r="D12" s="2">
        <f t="shared" si="8"/>
        <v>19.155999999999999</v>
      </c>
      <c r="E12" s="2">
        <f t="shared" si="9"/>
        <v>0.24</v>
      </c>
      <c r="F12" s="3">
        <f t="shared" si="9"/>
        <v>0.26200000000000001</v>
      </c>
      <c r="G12" s="2">
        <f t="shared" si="9"/>
        <v>0.28499999999999998</v>
      </c>
      <c r="K12" s="14" t="s">
        <v>78</v>
      </c>
      <c r="L12" s="64">
        <v>17.712927554064819</v>
      </c>
      <c r="M12" s="64">
        <v>15.334666741598495</v>
      </c>
      <c r="N12" s="64">
        <v>20.091188366531146</v>
      </c>
      <c r="O12" s="1">
        <f t="shared" si="0"/>
        <v>15.335000000000001</v>
      </c>
      <c r="P12" s="1">
        <f t="shared" si="1"/>
        <v>17.713000000000001</v>
      </c>
      <c r="Q12" s="1">
        <f t="shared" si="2"/>
        <v>20.091000000000001</v>
      </c>
      <c r="R12" s="14" t="str">
        <f t="shared" si="6"/>
        <v>2024Q2</v>
      </c>
      <c r="S12" s="49">
        <v>0.26982406712117002</v>
      </c>
      <c r="T12" s="49">
        <v>0.24642584895328201</v>
      </c>
      <c r="U12" s="49">
        <v>0.29322228528905803</v>
      </c>
      <c r="V12" s="1">
        <f t="shared" si="3"/>
        <v>0.246</v>
      </c>
      <c r="W12" s="1">
        <f t="shared" si="4"/>
        <v>0.27</v>
      </c>
      <c r="X12" s="1">
        <f t="shared" si="5"/>
        <v>0.29299999999999998</v>
      </c>
    </row>
    <row r="13" spans="1:30" ht="15.5" thickTop="1" thickBot="1" x14ac:dyDescent="0.4">
      <c r="A13" s="5" t="str">
        <f t="shared" si="7"/>
        <v>2024Q2</v>
      </c>
      <c r="B13" s="2">
        <f t="shared" si="8"/>
        <v>15.335000000000001</v>
      </c>
      <c r="C13" s="3">
        <f t="shared" si="8"/>
        <v>17.713000000000001</v>
      </c>
      <c r="D13" s="2">
        <f t="shared" si="8"/>
        <v>20.091000000000001</v>
      </c>
      <c r="E13" s="2">
        <f t="shared" si="9"/>
        <v>0.246</v>
      </c>
      <c r="F13" s="3">
        <f t="shared" si="9"/>
        <v>0.27</v>
      </c>
      <c r="G13" s="2">
        <f t="shared" si="9"/>
        <v>0.29299999999999998</v>
      </c>
      <c r="K13" s="14" t="s">
        <v>79</v>
      </c>
      <c r="L13" s="64">
        <v>17.257903933430015</v>
      </c>
      <c r="M13" s="64">
        <v>14.808904514227157</v>
      </c>
      <c r="N13" s="64">
        <v>19.706903352632875</v>
      </c>
      <c r="O13" s="1">
        <f t="shared" si="0"/>
        <v>14.808999999999999</v>
      </c>
      <c r="P13" s="1">
        <f t="shared" si="1"/>
        <v>17.257999999999999</v>
      </c>
      <c r="Q13" s="1">
        <f t="shared" si="2"/>
        <v>19.707000000000001</v>
      </c>
      <c r="R13" s="14" t="str">
        <f t="shared" si="6"/>
        <v>2024Q3</v>
      </c>
      <c r="S13" s="49">
        <v>0.27035384050562505</v>
      </c>
      <c r="T13" s="49">
        <v>0.24582901834702542</v>
      </c>
      <c r="U13" s="49">
        <v>0.29487866266422469</v>
      </c>
      <c r="V13" s="1">
        <f t="shared" si="3"/>
        <v>0.246</v>
      </c>
      <c r="W13" s="1">
        <f t="shared" si="4"/>
        <v>0.27</v>
      </c>
      <c r="X13" s="1">
        <f t="shared" si="5"/>
        <v>0.29499999999999998</v>
      </c>
    </row>
    <row r="14" spans="1:30" ht="15.5" thickTop="1" thickBot="1" x14ac:dyDescent="0.4">
      <c r="A14" s="5" t="str">
        <f t="shared" si="7"/>
        <v>2024Q3</v>
      </c>
      <c r="B14" s="2">
        <f t="shared" si="8"/>
        <v>14.808999999999999</v>
      </c>
      <c r="C14" s="3">
        <f t="shared" si="8"/>
        <v>17.257999999999999</v>
      </c>
      <c r="D14" s="2">
        <f t="shared" si="8"/>
        <v>19.707000000000001</v>
      </c>
      <c r="E14" s="2">
        <f t="shared" si="9"/>
        <v>0.246</v>
      </c>
      <c r="F14" s="3">
        <f t="shared" si="9"/>
        <v>0.27</v>
      </c>
      <c r="G14" s="2">
        <f t="shared" si="9"/>
        <v>0.29499999999999998</v>
      </c>
      <c r="K14" s="14" t="s">
        <v>84</v>
      </c>
      <c r="L14" s="64">
        <v>17.809023034979923</v>
      </c>
      <c r="M14" s="64">
        <v>15.296698629191694</v>
      </c>
      <c r="N14" s="64">
        <v>20.32134744076815</v>
      </c>
      <c r="O14" s="1">
        <f t="shared" si="0"/>
        <v>15.297000000000001</v>
      </c>
      <c r="P14" s="1">
        <f t="shared" si="1"/>
        <v>17.809000000000001</v>
      </c>
      <c r="Q14" s="1">
        <f t="shared" si="2"/>
        <v>20.321000000000002</v>
      </c>
      <c r="R14" s="14" t="str">
        <f t="shared" si="6"/>
        <v>2024Q4</v>
      </c>
      <c r="S14" s="49">
        <v>0.27292720320971969</v>
      </c>
      <c r="T14" s="49">
        <v>0.24733273222397695</v>
      </c>
      <c r="U14" s="49">
        <v>0.29852167419546244</v>
      </c>
      <c r="V14" s="1">
        <f t="shared" si="3"/>
        <v>0.247</v>
      </c>
      <c r="W14" s="1">
        <f t="shared" si="4"/>
        <v>0.27300000000000002</v>
      </c>
      <c r="X14" s="1">
        <f t="shared" si="5"/>
        <v>0.29899999999999999</v>
      </c>
    </row>
    <row r="15" spans="1:30" ht="15.5" thickTop="1" thickBot="1" x14ac:dyDescent="0.4">
      <c r="A15" s="5" t="str">
        <f t="shared" si="7"/>
        <v>2024Q4</v>
      </c>
      <c r="B15" s="2">
        <f t="shared" si="8"/>
        <v>15.297000000000001</v>
      </c>
      <c r="C15" s="3">
        <f t="shared" si="8"/>
        <v>17.809000000000001</v>
      </c>
      <c r="D15" s="2">
        <f t="shared" si="8"/>
        <v>20.321000000000002</v>
      </c>
      <c r="E15" s="2">
        <f t="shared" si="9"/>
        <v>0.247</v>
      </c>
      <c r="F15" s="3">
        <f t="shared" si="9"/>
        <v>0.27300000000000002</v>
      </c>
      <c r="G15" s="2">
        <f t="shared" si="9"/>
        <v>0.29899999999999999</v>
      </c>
      <c r="K15" s="14" t="s">
        <v>81</v>
      </c>
      <c r="L15" s="64">
        <v>16.924259759585979</v>
      </c>
      <c r="M15" s="64">
        <v>14.355050928138825</v>
      </c>
      <c r="N15" s="64">
        <v>19.493468591033135</v>
      </c>
      <c r="O15" s="1">
        <f t="shared" si="0"/>
        <v>14.355</v>
      </c>
      <c r="P15" s="1">
        <f t="shared" si="1"/>
        <v>16.923999999999999</v>
      </c>
      <c r="Q15" s="1">
        <f t="shared" si="2"/>
        <v>19.492999999999999</v>
      </c>
      <c r="R15" s="14" t="str">
        <f t="shared" si="6"/>
        <v>2025Q1</v>
      </c>
      <c r="S15" s="49">
        <v>0.27193999850621964</v>
      </c>
      <c r="T15" s="49">
        <v>0.24531409177728944</v>
      </c>
      <c r="U15" s="49">
        <v>0.29856590523514986</v>
      </c>
      <c r="V15" s="1">
        <f t="shared" si="3"/>
        <v>0.245</v>
      </c>
      <c r="W15" s="1">
        <f t="shared" si="4"/>
        <v>0.27200000000000002</v>
      </c>
      <c r="X15" s="1">
        <f t="shared" si="5"/>
        <v>0.29899999999999999</v>
      </c>
    </row>
    <row r="16" spans="1:30" ht="15.5" thickTop="1" thickBot="1" x14ac:dyDescent="0.4">
      <c r="A16" s="5" t="str">
        <f t="shared" si="7"/>
        <v>2025Q1</v>
      </c>
      <c r="B16" s="2">
        <f t="shared" si="8"/>
        <v>14.355</v>
      </c>
      <c r="C16" s="3">
        <f t="shared" si="8"/>
        <v>16.923999999999999</v>
      </c>
      <c r="D16" s="2">
        <f t="shared" si="8"/>
        <v>19.492999999999999</v>
      </c>
      <c r="E16" s="2">
        <f t="shared" si="9"/>
        <v>0.245</v>
      </c>
      <c r="F16" s="3">
        <f t="shared" si="9"/>
        <v>0.27200000000000002</v>
      </c>
      <c r="G16" s="2">
        <f t="shared" si="9"/>
        <v>0.29899999999999999</v>
      </c>
      <c r="K16" s="14" t="s">
        <v>82</v>
      </c>
      <c r="L16" s="64">
        <v>17.781075868068552</v>
      </c>
      <c r="M16" s="64">
        <v>15.160620518927995</v>
      </c>
      <c r="N16" s="64">
        <v>20.401531217209108</v>
      </c>
      <c r="O16" s="1">
        <f t="shared" si="0"/>
        <v>15.161</v>
      </c>
      <c r="P16" s="1">
        <f t="shared" si="1"/>
        <v>17.780999999999999</v>
      </c>
      <c r="Q16" s="1">
        <f t="shared" si="2"/>
        <v>20.402000000000001</v>
      </c>
      <c r="R16" s="14" t="str">
        <f t="shared" si="6"/>
        <v>2025Q2</v>
      </c>
      <c r="S16" s="49">
        <v>0.27925405058848141</v>
      </c>
      <c r="T16" s="49">
        <v>0.25163822533254243</v>
      </c>
      <c r="U16" s="49">
        <v>0.30686987584442038</v>
      </c>
      <c r="V16" s="1">
        <f t="shared" si="3"/>
        <v>0.252</v>
      </c>
      <c r="W16" s="1">
        <f t="shared" si="4"/>
        <v>0.27900000000000003</v>
      </c>
      <c r="X16" s="1">
        <f t="shared" si="5"/>
        <v>0.307</v>
      </c>
    </row>
    <row r="17" spans="1:24" ht="15.5" thickTop="1" thickBot="1" x14ac:dyDescent="0.4">
      <c r="A17" s="5" t="str">
        <f t="shared" si="7"/>
        <v>2025Q2</v>
      </c>
      <c r="B17" s="2">
        <f t="shared" si="8"/>
        <v>15.161</v>
      </c>
      <c r="C17" s="3">
        <f t="shared" si="8"/>
        <v>17.780999999999999</v>
      </c>
      <c r="D17" s="2">
        <f t="shared" si="8"/>
        <v>20.402000000000001</v>
      </c>
      <c r="E17" s="2">
        <f t="shared" si="9"/>
        <v>0.252</v>
      </c>
      <c r="F17" s="3">
        <f t="shared" si="9"/>
        <v>0.27900000000000003</v>
      </c>
      <c r="G17" s="2">
        <f t="shared" si="9"/>
        <v>0.307</v>
      </c>
      <c r="K17" s="14" t="s">
        <v>83</v>
      </c>
      <c r="L17" s="64">
        <v>17.326620373368527</v>
      </c>
      <c r="M17" s="64">
        <v>14.659884944193298</v>
      </c>
      <c r="N17" s="64">
        <v>19.993355802543757</v>
      </c>
      <c r="O17" s="1">
        <f t="shared" si="0"/>
        <v>14.66</v>
      </c>
      <c r="P17" s="1">
        <f t="shared" si="1"/>
        <v>17.327000000000002</v>
      </c>
      <c r="Q17" s="1">
        <f t="shared" si="2"/>
        <v>19.992999999999999</v>
      </c>
      <c r="R17" s="14" t="str">
        <f t="shared" si="6"/>
        <v>2025Q3</v>
      </c>
      <c r="S17" s="49">
        <v>0.27981649073484655</v>
      </c>
      <c r="T17" s="49">
        <v>0.25124308660337996</v>
      </c>
      <c r="U17" s="49">
        <v>0.30838989486631313</v>
      </c>
      <c r="V17" s="1">
        <f t="shared" si="3"/>
        <v>0.251</v>
      </c>
      <c r="W17" s="1">
        <f t="shared" si="4"/>
        <v>0.28000000000000003</v>
      </c>
      <c r="X17" s="1">
        <f t="shared" si="5"/>
        <v>0.308</v>
      </c>
    </row>
    <row r="18" spans="1:24" ht="15.5" thickTop="1" thickBot="1" x14ac:dyDescent="0.4">
      <c r="A18" s="5" t="str">
        <f t="shared" si="7"/>
        <v>2025Q3</v>
      </c>
      <c r="B18" s="2">
        <f t="shared" si="8"/>
        <v>14.66</v>
      </c>
      <c r="C18" s="3">
        <f t="shared" si="8"/>
        <v>17.327000000000002</v>
      </c>
      <c r="D18" s="2">
        <f t="shared" si="8"/>
        <v>19.992999999999999</v>
      </c>
      <c r="E18" s="2">
        <f t="shared" si="9"/>
        <v>0.251</v>
      </c>
      <c r="F18" s="3">
        <f t="shared" si="9"/>
        <v>0.28000000000000003</v>
      </c>
      <c r="G18" s="2">
        <f t="shared" si="9"/>
        <v>0.308</v>
      </c>
      <c r="K18" s="14" t="s">
        <v>80</v>
      </c>
      <c r="L18" s="64">
        <v>17.878284419512667</v>
      </c>
      <c r="M18" s="64">
        <v>15.169666975091157</v>
      </c>
      <c r="N18" s="64">
        <v>20.586901863934173</v>
      </c>
      <c r="O18" s="1">
        <f t="shared" si="0"/>
        <v>15.17</v>
      </c>
      <c r="P18" s="1">
        <f t="shared" si="1"/>
        <v>17.878</v>
      </c>
      <c r="Q18" s="1">
        <f t="shared" si="2"/>
        <v>20.587</v>
      </c>
      <c r="R18" s="14" t="str">
        <f t="shared" si="6"/>
        <v>2025Q4</v>
      </c>
      <c r="S18" s="49">
        <v>0.28236819808740055</v>
      </c>
      <c r="T18" s="49">
        <v>0.25286952643234173</v>
      </c>
      <c r="U18" s="49">
        <v>0.31186686974245936</v>
      </c>
      <c r="V18" s="1">
        <f t="shared" si="3"/>
        <v>0.253</v>
      </c>
      <c r="W18" s="1">
        <f t="shared" si="4"/>
        <v>0.28199999999999997</v>
      </c>
      <c r="X18" s="1">
        <f t="shared" si="5"/>
        <v>0.312</v>
      </c>
    </row>
    <row r="19" spans="1:24" ht="15.5" thickTop="1" thickBot="1" x14ac:dyDescent="0.4">
      <c r="A19" s="5" t="str">
        <f t="shared" si="7"/>
        <v>2025Q4</v>
      </c>
      <c r="B19" s="2">
        <f t="shared" si="8"/>
        <v>15.17</v>
      </c>
      <c r="C19" s="3">
        <f t="shared" si="8"/>
        <v>17.878</v>
      </c>
      <c r="D19" s="2">
        <f t="shared" si="8"/>
        <v>20.587</v>
      </c>
      <c r="E19" s="2">
        <f t="shared" si="9"/>
        <v>0.253</v>
      </c>
      <c r="F19" s="3">
        <f t="shared" si="9"/>
        <v>0.28199999999999997</v>
      </c>
      <c r="G19" s="2">
        <f t="shared" si="9"/>
        <v>0.312</v>
      </c>
      <c r="K19" s="14" t="s">
        <v>92</v>
      </c>
      <c r="L19" s="64">
        <v>16.994043853244644</v>
      </c>
      <c r="M19" s="64">
        <v>14.247456551774505</v>
      </c>
      <c r="N19" s="64">
        <v>19.740631154714784</v>
      </c>
      <c r="O19" s="1">
        <f t="shared" si="0"/>
        <v>14.247</v>
      </c>
      <c r="P19" s="1">
        <f t="shared" si="1"/>
        <v>16.994</v>
      </c>
      <c r="Q19" s="1">
        <f t="shared" si="2"/>
        <v>19.741</v>
      </c>
      <c r="R19" s="14" t="str">
        <f t="shared" si="6"/>
        <v>2026Q1</v>
      </c>
      <c r="S19" s="49">
        <v>0.28139534908440239</v>
      </c>
      <c r="T19" s="49">
        <v>0.25099876216222905</v>
      </c>
      <c r="U19" s="49">
        <v>0.31179193600657573</v>
      </c>
      <c r="V19" s="1">
        <f t="shared" si="3"/>
        <v>0.251</v>
      </c>
      <c r="W19" s="1">
        <f t="shared" si="4"/>
        <v>0.28100000000000003</v>
      </c>
      <c r="X19" s="1">
        <f t="shared" si="5"/>
        <v>0.312</v>
      </c>
    </row>
    <row r="20" spans="1:24" ht="15.5" thickTop="1" thickBot="1" x14ac:dyDescent="0.4">
      <c r="A20" s="5" t="str">
        <f t="shared" si="7"/>
        <v>2026Q1</v>
      </c>
      <c r="B20" s="2">
        <f t="shared" si="8"/>
        <v>14.247</v>
      </c>
      <c r="C20" s="3">
        <f t="shared" si="8"/>
        <v>16.994</v>
      </c>
      <c r="D20" s="2">
        <f t="shared" si="8"/>
        <v>19.741</v>
      </c>
      <c r="E20" s="2">
        <f t="shared" si="9"/>
        <v>0.251</v>
      </c>
      <c r="F20" s="3">
        <f t="shared" si="9"/>
        <v>0.28100000000000003</v>
      </c>
      <c r="G20" s="2">
        <f t="shared" si="9"/>
        <v>0.312</v>
      </c>
      <c r="K20" s="14" t="s">
        <v>93</v>
      </c>
      <c r="L20" s="64">
        <v>17.851361342662468</v>
      </c>
      <c r="M20" s="64">
        <v>15.07029740778812</v>
      </c>
      <c r="N20" s="64">
        <v>20.632425277536814</v>
      </c>
      <c r="O20" s="1">
        <f t="shared" si="0"/>
        <v>15.07</v>
      </c>
      <c r="P20" s="1">
        <f t="shared" si="1"/>
        <v>17.850999999999999</v>
      </c>
      <c r="Q20" s="1">
        <f t="shared" si="2"/>
        <v>20.632000000000001</v>
      </c>
      <c r="R20" s="14" t="str">
        <f t="shared" si="6"/>
        <v>2026Q2</v>
      </c>
      <c r="S20" s="49">
        <v>0.2886998845288708</v>
      </c>
      <c r="T20" s="49">
        <v>0.25743167219231361</v>
      </c>
      <c r="U20" s="49">
        <v>0.31996809686542799</v>
      </c>
      <c r="V20" s="1">
        <f t="shared" si="3"/>
        <v>0.25700000000000001</v>
      </c>
      <c r="W20" s="1">
        <f t="shared" si="4"/>
        <v>0.28899999999999998</v>
      </c>
      <c r="X20" s="1">
        <f t="shared" si="5"/>
        <v>0.32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15.07</v>
      </c>
      <c r="C21" s="3">
        <f t="shared" si="10"/>
        <v>17.850999999999999</v>
      </c>
      <c r="D21" s="2">
        <f t="shared" si="10"/>
        <v>20.632000000000001</v>
      </c>
      <c r="E21" s="2">
        <f t="shared" ref="E21:G35" si="11">V20</f>
        <v>0.25700000000000001</v>
      </c>
      <c r="F21" s="3">
        <f t="shared" si="11"/>
        <v>0.28899999999999998</v>
      </c>
      <c r="G21" s="2">
        <f t="shared" si="11"/>
        <v>0.32</v>
      </c>
      <c r="K21" s="14" t="s">
        <v>94</v>
      </c>
      <c r="L21" s="64">
        <v>17.397386770964879</v>
      </c>
      <c r="M21" s="64">
        <v>14.584975600887914</v>
      </c>
      <c r="N21" s="64">
        <v>20.209797941041845</v>
      </c>
      <c r="O21" s="1">
        <f t="shared" si="0"/>
        <v>14.585000000000001</v>
      </c>
      <c r="P21" s="1">
        <f t="shared" si="1"/>
        <v>17.396999999999998</v>
      </c>
      <c r="Q21" s="1">
        <f t="shared" si="2"/>
        <v>20.21</v>
      </c>
      <c r="R21" s="14" t="str">
        <f t="shared" si="6"/>
        <v>2026Q3</v>
      </c>
      <c r="S21" s="49">
        <v>0.28926863341613496</v>
      </c>
      <c r="T21" s="49">
        <v>0.25715210972276931</v>
      </c>
      <c r="U21" s="49">
        <v>0.32138515710950061</v>
      </c>
      <c r="V21" s="1">
        <f t="shared" si="3"/>
        <v>0.25700000000000001</v>
      </c>
      <c r="W21" s="1">
        <f t="shared" si="4"/>
        <v>0.28899999999999998</v>
      </c>
      <c r="X21" s="1">
        <f t="shared" si="5"/>
        <v>0.32100000000000001</v>
      </c>
    </row>
    <row r="22" spans="1:24" ht="15.5" thickTop="1" thickBot="1" x14ac:dyDescent="0.4">
      <c r="A22" s="5" t="str">
        <f t="shared" si="7"/>
        <v>2026Q3</v>
      </c>
      <c r="B22" s="2">
        <f t="shared" si="10"/>
        <v>14.585000000000001</v>
      </c>
      <c r="C22" s="3">
        <f t="shared" si="10"/>
        <v>17.396999999999998</v>
      </c>
      <c r="D22" s="2">
        <f t="shared" si="10"/>
        <v>20.21</v>
      </c>
      <c r="E22" s="2">
        <f t="shared" si="11"/>
        <v>0.25700000000000001</v>
      </c>
      <c r="F22" s="3">
        <f t="shared" si="11"/>
        <v>0.28899999999999998</v>
      </c>
      <c r="G22" s="2">
        <f t="shared" si="11"/>
        <v>0.32100000000000001</v>
      </c>
      <c r="K22" s="14" t="s">
        <v>95</v>
      </c>
      <c r="L22" s="64">
        <v>17.949512116927195</v>
      </c>
      <c r="M22" s="64">
        <v>15.10856515548477</v>
      </c>
      <c r="N22" s="64">
        <v>20.790459078369619</v>
      </c>
      <c r="O22" s="1">
        <f t="shared" si="0"/>
        <v>15.109</v>
      </c>
      <c r="P22" s="1">
        <f t="shared" si="1"/>
        <v>17.95</v>
      </c>
      <c r="Q22" s="1">
        <f t="shared" si="2"/>
        <v>20.79</v>
      </c>
      <c r="R22" s="14" t="str">
        <f t="shared" si="6"/>
        <v>2026Q4</v>
      </c>
      <c r="S22" s="49">
        <v>0.29181615859714949</v>
      </c>
      <c r="T22" s="49">
        <v>0.25887337625456486</v>
      </c>
      <c r="U22" s="49">
        <v>0.32475894093973412</v>
      </c>
      <c r="V22" s="1">
        <f t="shared" si="3"/>
        <v>0.25900000000000001</v>
      </c>
      <c r="W22" s="1">
        <f t="shared" si="4"/>
        <v>0.29199999999999998</v>
      </c>
      <c r="X22" s="1">
        <f t="shared" si="5"/>
        <v>0.32500000000000001</v>
      </c>
    </row>
    <row r="23" spans="1:24" ht="15.5" thickTop="1" thickBot="1" x14ac:dyDescent="0.4">
      <c r="A23" s="5" t="str">
        <f t="shared" si="7"/>
        <v>2026Q4</v>
      </c>
      <c r="B23" s="2">
        <f t="shared" si="10"/>
        <v>15.109</v>
      </c>
      <c r="C23" s="3">
        <f t="shared" si="10"/>
        <v>17.95</v>
      </c>
      <c r="D23" s="2">
        <f t="shared" si="10"/>
        <v>20.79</v>
      </c>
      <c r="E23" s="2">
        <f t="shared" si="11"/>
        <v>0.25900000000000001</v>
      </c>
      <c r="F23" s="3">
        <f t="shared" si="11"/>
        <v>0.29199999999999998</v>
      </c>
      <c r="G23" s="2">
        <f t="shared" si="11"/>
        <v>0.32500000000000001</v>
      </c>
      <c r="K23" s="14" t="s">
        <v>96</v>
      </c>
      <c r="L23" s="64">
        <v>17.065714027981269</v>
      </c>
      <c r="M23" s="64">
        <v>14.198763332886381</v>
      </c>
      <c r="N23" s="64">
        <v>19.932664723076158</v>
      </c>
      <c r="O23" s="1">
        <f t="shared" si="0"/>
        <v>14.199</v>
      </c>
      <c r="P23" s="1">
        <f t="shared" si="1"/>
        <v>17.065999999999999</v>
      </c>
      <c r="Q23" s="1">
        <f t="shared" si="2"/>
        <v>19.933</v>
      </c>
      <c r="R23" s="14" t="str">
        <f t="shared" si="6"/>
        <v>2027Q1</v>
      </c>
      <c r="S23" s="49">
        <v>0.2908460820267279</v>
      </c>
      <c r="T23" s="49">
        <v>0.25709712469726848</v>
      </c>
      <c r="U23" s="49">
        <v>0.32459503935618733</v>
      </c>
      <c r="V23" s="1">
        <f t="shared" si="3"/>
        <v>0.25700000000000001</v>
      </c>
      <c r="W23" s="1">
        <f t="shared" si="4"/>
        <v>0.29099999999999998</v>
      </c>
      <c r="X23" s="1">
        <f t="shared" si="5"/>
        <v>0.32500000000000001</v>
      </c>
    </row>
    <row r="24" spans="1:24" ht="15.5" thickTop="1" thickBot="1" x14ac:dyDescent="0.4">
      <c r="A24" s="5" t="str">
        <f t="shared" si="7"/>
        <v>2027Q1</v>
      </c>
      <c r="B24" s="2">
        <f t="shared" si="10"/>
        <v>14.199</v>
      </c>
      <c r="C24" s="3">
        <f t="shared" si="10"/>
        <v>17.065999999999999</v>
      </c>
      <c r="D24" s="2">
        <f t="shared" si="10"/>
        <v>19.933</v>
      </c>
      <c r="E24" s="2">
        <f t="shared" si="11"/>
        <v>0.25700000000000001</v>
      </c>
      <c r="F24" s="3">
        <f t="shared" si="11"/>
        <v>0.29099999999999998</v>
      </c>
      <c r="G24" s="2">
        <f t="shared" si="11"/>
        <v>0.32500000000000001</v>
      </c>
      <c r="K24" s="14" t="s">
        <v>97</v>
      </c>
      <c r="L24" s="64">
        <v>17.923455940242661</v>
      </c>
      <c r="M24" s="64">
        <v>15.032786900488773</v>
      </c>
      <c r="N24" s="64">
        <v>20.814124979996549</v>
      </c>
      <c r="O24" s="1">
        <f t="shared" si="0"/>
        <v>15.032999999999999</v>
      </c>
      <c r="P24" s="1">
        <f t="shared" si="1"/>
        <v>17.922999999999998</v>
      </c>
      <c r="Q24" s="1">
        <f t="shared" si="2"/>
        <v>20.814</v>
      </c>
      <c r="R24" s="14" t="str">
        <f t="shared" si="6"/>
        <v>2027Q2</v>
      </c>
      <c r="S24" s="49">
        <v>0.29814877957853236</v>
      </c>
      <c r="T24" s="49">
        <v>0.26361255073149936</v>
      </c>
      <c r="U24" s="49">
        <v>0.33268500842556537</v>
      </c>
      <c r="V24" s="1">
        <f t="shared" si="3"/>
        <v>0.26400000000000001</v>
      </c>
      <c r="W24" s="1">
        <f t="shared" si="4"/>
        <v>0.29799999999999999</v>
      </c>
      <c r="X24" s="1">
        <f t="shared" si="5"/>
        <v>0.33300000000000002</v>
      </c>
    </row>
    <row r="25" spans="1:24" ht="15.5" thickTop="1" thickBot="1" x14ac:dyDescent="0.4">
      <c r="A25" s="5" t="str">
        <f t="shared" si="7"/>
        <v>2027Q2</v>
      </c>
      <c r="B25" s="2">
        <f t="shared" si="10"/>
        <v>15.032999999999999</v>
      </c>
      <c r="C25" s="3">
        <f t="shared" si="10"/>
        <v>17.922999999999998</v>
      </c>
      <c r="D25" s="2">
        <f t="shared" si="10"/>
        <v>20.814</v>
      </c>
      <c r="E25" s="2">
        <f t="shared" si="11"/>
        <v>0.26400000000000001</v>
      </c>
      <c r="F25" s="3">
        <f t="shared" si="11"/>
        <v>0.29799999999999999</v>
      </c>
      <c r="G25" s="2">
        <f t="shared" si="11"/>
        <v>0.33300000000000002</v>
      </c>
      <c r="K25" s="14" t="s">
        <v>98</v>
      </c>
      <c r="L25" s="64">
        <v>17.469888473590117</v>
      </c>
      <c r="M25" s="64">
        <v>14.557567782781927</v>
      </c>
      <c r="N25" s="64">
        <v>20.382209164398311</v>
      </c>
      <c r="O25" s="1">
        <f t="shared" si="0"/>
        <v>14.558</v>
      </c>
      <c r="P25" s="1">
        <f t="shared" si="1"/>
        <v>17.47</v>
      </c>
      <c r="Q25" s="1">
        <f t="shared" si="2"/>
        <v>20.382000000000001</v>
      </c>
      <c r="R25" s="14" t="str">
        <f t="shared" si="6"/>
        <v>2027Q3</v>
      </c>
      <c r="S25" s="49">
        <v>0.29871874683607269</v>
      </c>
      <c r="T25" s="49">
        <v>0.26341273863360731</v>
      </c>
      <c r="U25" s="49">
        <v>0.33402475503853807</v>
      </c>
      <c r="V25" s="1">
        <f t="shared" si="3"/>
        <v>0.26300000000000001</v>
      </c>
      <c r="W25" s="1">
        <f t="shared" si="4"/>
        <v>0.29899999999999999</v>
      </c>
      <c r="X25" s="1">
        <f t="shared" si="5"/>
        <v>0.33400000000000002</v>
      </c>
    </row>
    <row r="26" spans="1:24" ht="15.5" thickTop="1" thickBot="1" x14ac:dyDescent="0.4">
      <c r="A26" s="5" t="str">
        <f t="shared" si="7"/>
        <v>2027Q3</v>
      </c>
      <c r="B26" s="2">
        <f t="shared" si="10"/>
        <v>14.558</v>
      </c>
      <c r="C26" s="3">
        <f t="shared" si="10"/>
        <v>17.47</v>
      </c>
      <c r="D26" s="2">
        <f t="shared" si="10"/>
        <v>20.382000000000001</v>
      </c>
      <c r="E26" s="2">
        <f t="shared" si="11"/>
        <v>0.26300000000000001</v>
      </c>
      <c r="F26" s="3">
        <f t="shared" si="11"/>
        <v>0.29899999999999999</v>
      </c>
      <c r="G26" s="2">
        <f t="shared" si="11"/>
        <v>0.33400000000000002</v>
      </c>
      <c r="K26" s="14" t="s">
        <v>99</v>
      </c>
      <c r="L26" s="64">
        <v>18.022404313420076</v>
      </c>
      <c r="M26" s="64">
        <v>15.090304054718407</v>
      </c>
      <c r="N26" s="64">
        <v>20.954504572121742</v>
      </c>
      <c r="O26" s="1">
        <f t="shared" si="0"/>
        <v>15.09</v>
      </c>
      <c r="P26" s="1">
        <f t="shared" si="1"/>
        <v>18.021999999999998</v>
      </c>
      <c r="Q26" s="1">
        <f t="shared" si="2"/>
        <v>20.954999999999998</v>
      </c>
      <c r="R26" s="14" t="str">
        <f t="shared" si="6"/>
        <v>2027Q4</v>
      </c>
      <c r="S26" s="49">
        <v>0.30126546433872875</v>
      </c>
      <c r="T26" s="49">
        <v>0.26520614391390851</v>
      </c>
      <c r="U26" s="49">
        <v>0.33732478476354899</v>
      </c>
      <c r="V26" s="1">
        <f t="shared" si="3"/>
        <v>0.26500000000000001</v>
      </c>
      <c r="W26" s="1">
        <f t="shared" si="4"/>
        <v>0.30099999999999999</v>
      </c>
      <c r="X26" s="1">
        <f t="shared" si="5"/>
        <v>0.33700000000000002</v>
      </c>
    </row>
    <row r="27" spans="1:24" ht="15.5" thickTop="1" thickBot="1" x14ac:dyDescent="0.4">
      <c r="A27" s="5" t="str">
        <f t="shared" si="7"/>
        <v>2027Q4</v>
      </c>
      <c r="B27" s="2">
        <f t="shared" si="10"/>
        <v>15.09</v>
      </c>
      <c r="C27" s="3">
        <f t="shared" si="10"/>
        <v>18.021999999999998</v>
      </c>
      <c r="D27" s="2">
        <f t="shared" si="10"/>
        <v>20.954999999999998</v>
      </c>
      <c r="E27" s="2">
        <f t="shared" si="11"/>
        <v>0.26500000000000001</v>
      </c>
      <c r="F27" s="3">
        <f t="shared" si="11"/>
        <v>0.30099999999999999</v>
      </c>
      <c r="G27" s="2">
        <f t="shared" si="11"/>
        <v>0.33700000000000002</v>
      </c>
      <c r="K27" s="14" t="s">
        <v>100</v>
      </c>
      <c r="L27" s="64">
        <v>17.138980784953127</v>
      </c>
      <c r="M27" s="64">
        <v>14.188799297791176</v>
      </c>
      <c r="N27" s="64">
        <v>20.089162272115079</v>
      </c>
      <c r="O27" s="1">
        <f t="shared" si="0"/>
        <v>14.189</v>
      </c>
      <c r="P27" s="1">
        <f t="shared" si="1"/>
        <v>17.138999999999999</v>
      </c>
      <c r="Q27" s="1">
        <f t="shared" si="2"/>
        <v>20.088999999999999</v>
      </c>
      <c r="R27" s="14" t="str">
        <f t="shared" si="6"/>
        <v>2028Q1</v>
      </c>
      <c r="S27" s="49">
        <v>0.30029592319201504</v>
      </c>
      <c r="T27" s="49">
        <v>0.26349868445312535</v>
      </c>
      <c r="U27" s="49">
        <v>0.33709316193090472</v>
      </c>
      <c r="V27" s="1">
        <f t="shared" si="3"/>
        <v>0.26300000000000001</v>
      </c>
      <c r="W27" s="1">
        <f t="shared" si="4"/>
        <v>0.3</v>
      </c>
      <c r="X27" s="1">
        <f t="shared" si="5"/>
        <v>0.33700000000000002</v>
      </c>
    </row>
    <row r="28" spans="1:24" ht="15.5" thickTop="1" thickBot="1" x14ac:dyDescent="0.4">
      <c r="A28" s="5" t="str">
        <f t="shared" si="7"/>
        <v>2028Q1</v>
      </c>
      <c r="B28" s="2">
        <f t="shared" si="10"/>
        <v>14.189</v>
      </c>
      <c r="C28" s="3">
        <f t="shared" si="10"/>
        <v>17.138999999999999</v>
      </c>
      <c r="D28" s="2">
        <f t="shared" si="10"/>
        <v>20.088999999999999</v>
      </c>
      <c r="E28" s="2">
        <f t="shared" si="11"/>
        <v>0.26300000000000001</v>
      </c>
      <c r="F28" s="3">
        <f t="shared" si="11"/>
        <v>0.3</v>
      </c>
      <c r="G28" s="2">
        <f t="shared" si="11"/>
        <v>0.33700000000000002</v>
      </c>
      <c r="K28" s="14" t="s">
        <v>101</v>
      </c>
      <c r="L28" s="64">
        <v>17.997081974437645</v>
      </c>
      <c r="M28" s="64">
        <v>15.030362034063685</v>
      </c>
      <c r="N28" s="64">
        <v>20.963801914811604</v>
      </c>
      <c r="O28" s="1">
        <f t="shared" si="0"/>
        <v>15.03</v>
      </c>
      <c r="P28" s="1">
        <f t="shared" si="1"/>
        <v>17.997</v>
      </c>
      <c r="Q28" s="1">
        <f t="shared" si="2"/>
        <v>20.963999999999999</v>
      </c>
      <c r="R28" s="14" t="str">
        <f t="shared" si="6"/>
        <v>2028Q2</v>
      </c>
      <c r="S28" s="49">
        <v>0.30759826580234567</v>
      </c>
      <c r="T28" s="49">
        <v>0.27007763461207551</v>
      </c>
      <c r="U28" s="49">
        <v>0.34511889699261583</v>
      </c>
      <c r="V28" s="1">
        <f t="shared" si="3"/>
        <v>0.27</v>
      </c>
      <c r="W28" s="1">
        <f t="shared" si="4"/>
        <v>0.308</v>
      </c>
      <c r="X28" s="1">
        <f t="shared" si="5"/>
        <v>0.34499999999999997</v>
      </c>
    </row>
    <row r="29" spans="1:24" ht="15.5" thickTop="1" thickBot="1" x14ac:dyDescent="0.4">
      <c r="A29" s="5" t="str">
        <f t="shared" si="7"/>
        <v>2028Q2</v>
      </c>
      <c r="B29" s="2">
        <f t="shared" si="10"/>
        <v>15.03</v>
      </c>
      <c r="C29" s="3">
        <f t="shared" si="10"/>
        <v>17.997</v>
      </c>
      <c r="D29" s="2">
        <f t="shared" si="10"/>
        <v>20.963999999999999</v>
      </c>
      <c r="E29" s="2">
        <f t="shared" si="11"/>
        <v>0.27</v>
      </c>
      <c r="F29" s="3">
        <f t="shared" si="11"/>
        <v>0.308</v>
      </c>
      <c r="G29" s="2">
        <f t="shared" si="11"/>
        <v>0.34499999999999997</v>
      </c>
      <c r="K29" s="14" t="s">
        <v>102</v>
      </c>
      <c r="L29" s="64">
        <v>17.543859125357692</v>
      </c>
      <c r="M29" s="64">
        <v>14.562003860577111</v>
      </c>
      <c r="N29" s="64">
        <v>20.525714390138273</v>
      </c>
      <c r="O29" s="1">
        <f t="shared" si="0"/>
        <v>14.561999999999999</v>
      </c>
      <c r="P29" s="1">
        <f t="shared" si="1"/>
        <v>17.544</v>
      </c>
      <c r="Q29" s="1">
        <f t="shared" si="2"/>
        <v>20.526</v>
      </c>
      <c r="R29" s="14" t="str">
        <f t="shared" si="6"/>
        <v>2028Q3</v>
      </c>
      <c r="S29" s="49">
        <v>0.30816846835662015</v>
      </c>
      <c r="T29" s="49">
        <v>0.26993811982767912</v>
      </c>
      <c r="U29" s="49">
        <v>0.34639881688556118</v>
      </c>
      <c r="V29" s="1">
        <f t="shared" si="3"/>
        <v>0.27</v>
      </c>
      <c r="W29" s="1">
        <f t="shared" si="4"/>
        <v>0.308</v>
      </c>
      <c r="X29" s="1">
        <f t="shared" si="5"/>
        <v>0.34599999999999997</v>
      </c>
    </row>
    <row r="30" spans="1:24" ht="15.5" thickTop="1" thickBot="1" x14ac:dyDescent="0.4">
      <c r="A30" s="5" t="str">
        <f t="shared" si="7"/>
        <v>2028Q3</v>
      </c>
      <c r="B30" s="2">
        <f t="shared" si="10"/>
        <v>14.561999999999999</v>
      </c>
      <c r="C30" s="3">
        <f t="shared" si="10"/>
        <v>17.544</v>
      </c>
      <c r="D30" s="2">
        <f t="shared" si="10"/>
        <v>20.526</v>
      </c>
      <c r="E30" s="2">
        <f t="shared" si="11"/>
        <v>0.27</v>
      </c>
      <c r="F30" s="3">
        <f t="shared" si="11"/>
        <v>0.308</v>
      </c>
      <c r="G30" s="2">
        <f t="shared" si="11"/>
        <v>0.34599999999999997</v>
      </c>
      <c r="K30" s="14" t="s">
        <v>103</v>
      </c>
      <c r="L30" s="64">
        <v>18.096705521269961</v>
      </c>
      <c r="M30" s="64">
        <v>15.100992414486219</v>
      </c>
      <c r="N30" s="64">
        <v>21.0924186280537</v>
      </c>
      <c r="O30" s="1">
        <f t="shared" si="0"/>
        <v>15.101000000000001</v>
      </c>
      <c r="P30" s="1">
        <f t="shared" si="1"/>
        <v>18.097000000000001</v>
      </c>
      <c r="Q30" s="1">
        <f t="shared" si="2"/>
        <v>21.091999999999999</v>
      </c>
      <c r="R30" s="14" t="str">
        <f t="shared" si="6"/>
        <v>2028Q4</v>
      </c>
      <c r="S30" s="49">
        <v>0.31071502987707295</v>
      </c>
      <c r="T30" s="49">
        <v>0.27178790818002535</v>
      </c>
      <c r="U30" s="49">
        <v>0.34964215157412054</v>
      </c>
      <c r="V30" s="1">
        <f t="shared" si="3"/>
        <v>0.27200000000000002</v>
      </c>
      <c r="W30" s="1">
        <f t="shared" si="4"/>
        <v>0.311</v>
      </c>
      <c r="X30" s="1">
        <f t="shared" si="5"/>
        <v>0.35</v>
      </c>
    </row>
    <row r="31" spans="1:24" ht="15.5" thickTop="1" thickBot="1" x14ac:dyDescent="0.4">
      <c r="A31" s="5" t="str">
        <f t="shared" si="7"/>
        <v>2028Q4</v>
      </c>
      <c r="B31" s="2">
        <f t="shared" si="10"/>
        <v>15.101000000000001</v>
      </c>
      <c r="C31" s="3">
        <f t="shared" si="10"/>
        <v>18.097000000000001</v>
      </c>
      <c r="D31" s="2">
        <f t="shared" si="10"/>
        <v>21.091999999999999</v>
      </c>
      <c r="E31" s="2">
        <f t="shared" si="11"/>
        <v>0.27200000000000002</v>
      </c>
      <c r="F31" s="3">
        <f t="shared" si="11"/>
        <v>0.311</v>
      </c>
      <c r="G31" s="2">
        <f t="shared" si="11"/>
        <v>0.35</v>
      </c>
      <c r="K31" s="14" t="s">
        <v>104</v>
      </c>
      <c r="L31" s="64">
        <v>17.213599061148454</v>
      </c>
      <c r="M31" s="64">
        <v>14.205192311598188</v>
      </c>
      <c r="N31" s="64">
        <v>20.222005810698722</v>
      </c>
      <c r="O31" s="1">
        <f t="shared" si="0"/>
        <v>14.205</v>
      </c>
      <c r="P31" s="1">
        <f t="shared" si="1"/>
        <v>17.213999999999999</v>
      </c>
      <c r="Q31" s="1">
        <f t="shared" si="2"/>
        <v>20.222000000000001</v>
      </c>
      <c r="R31" s="14" t="str">
        <f t="shared" si="6"/>
        <v>2029Q1</v>
      </c>
      <c r="S31" s="49">
        <v>0.30974559213361219</v>
      </c>
      <c r="T31" s="49">
        <v>0.27013394726609918</v>
      </c>
      <c r="U31" s="49">
        <v>0.3493572370011252</v>
      </c>
      <c r="V31" s="1">
        <f t="shared" si="3"/>
        <v>0.27</v>
      </c>
      <c r="W31" s="1">
        <f t="shared" si="4"/>
        <v>0.31</v>
      </c>
      <c r="X31" s="1">
        <f t="shared" si="5"/>
        <v>0.34899999999999998</v>
      </c>
    </row>
    <row r="32" spans="1:24" ht="15.5" thickTop="1" thickBot="1" x14ac:dyDescent="0.4">
      <c r="A32" s="5" t="str">
        <f t="shared" si="7"/>
        <v>2029Q1</v>
      </c>
      <c r="B32" s="2">
        <f t="shared" si="10"/>
        <v>14.205</v>
      </c>
      <c r="C32" s="3">
        <f t="shared" si="10"/>
        <v>17.213999999999999</v>
      </c>
      <c r="D32" s="2">
        <f t="shared" si="10"/>
        <v>20.222000000000001</v>
      </c>
      <c r="E32" s="2">
        <f t="shared" si="11"/>
        <v>0.27</v>
      </c>
      <c r="F32" s="3">
        <f t="shared" si="11"/>
        <v>0.31</v>
      </c>
      <c r="G32" s="2">
        <f t="shared" si="11"/>
        <v>0.34899999999999998</v>
      </c>
      <c r="K32" s="14" t="s">
        <v>105</v>
      </c>
      <c r="L32" s="64">
        <v>18.072004381584001</v>
      </c>
      <c r="M32" s="64">
        <v>15.051965862998038</v>
      </c>
      <c r="N32" s="64">
        <v>21.092042900169965</v>
      </c>
      <c r="O32" s="1">
        <f t="shared" si="0"/>
        <v>15.052</v>
      </c>
      <c r="P32" s="1">
        <f t="shared" si="1"/>
        <v>18.071999999999999</v>
      </c>
      <c r="Q32" s="1">
        <f t="shared" si="2"/>
        <v>21.091999999999999</v>
      </c>
      <c r="R32" s="14" t="str">
        <f t="shared" si="6"/>
        <v>2029Q2</v>
      </c>
      <c r="S32" s="49">
        <v>0.31704786619616948</v>
      </c>
      <c r="T32" s="49">
        <v>0.27676333092223482</v>
      </c>
      <c r="U32" s="49">
        <v>0.35733240147010414</v>
      </c>
      <c r="V32" s="1">
        <f t="shared" si="3"/>
        <v>0.27700000000000002</v>
      </c>
      <c r="W32" s="1">
        <f t="shared" si="4"/>
        <v>0.317</v>
      </c>
      <c r="X32" s="1">
        <f t="shared" si="5"/>
        <v>0.35699999999999998</v>
      </c>
    </row>
    <row r="33" spans="1:24" ht="15.5" thickTop="1" thickBot="1" x14ac:dyDescent="0.4">
      <c r="A33" s="5" t="str">
        <f t="shared" si="7"/>
        <v>2029Q2</v>
      </c>
      <c r="B33" s="2">
        <f t="shared" si="10"/>
        <v>15.052</v>
      </c>
      <c r="C33" s="3">
        <f t="shared" si="10"/>
        <v>18.071999999999999</v>
      </c>
      <c r="D33" s="2">
        <f t="shared" si="10"/>
        <v>21.091999999999999</v>
      </c>
      <c r="E33" s="2">
        <f t="shared" si="11"/>
        <v>0.27700000000000002</v>
      </c>
      <c r="F33" s="3">
        <f t="shared" si="11"/>
        <v>0.317</v>
      </c>
      <c r="G33" s="2">
        <f t="shared" si="11"/>
        <v>0.35699999999999998</v>
      </c>
      <c r="K33" s="14" t="s">
        <v>106</v>
      </c>
      <c r="L33" s="64">
        <v>17.619073253947402</v>
      </c>
      <c r="M33" s="64">
        <v>14.588372258470715</v>
      </c>
      <c r="N33" s="64">
        <v>20.649774249424091</v>
      </c>
      <c r="O33" s="1">
        <f t="shared" si="0"/>
        <v>14.587999999999999</v>
      </c>
      <c r="P33" s="1">
        <f t="shared" si="1"/>
        <v>17.619</v>
      </c>
      <c r="Q33" s="1">
        <f t="shared" si="2"/>
        <v>20.65</v>
      </c>
      <c r="R33" s="14" t="str">
        <f t="shared" si="6"/>
        <v>2029Q3</v>
      </c>
      <c r="S33" s="49">
        <v>0.31761811419192765</v>
      </c>
      <c r="T33" s="49">
        <v>0.27667174305353109</v>
      </c>
      <c r="U33" s="49">
        <v>0.3585644853303242</v>
      </c>
      <c r="V33" s="1">
        <f t="shared" si="3"/>
        <v>0.27700000000000002</v>
      </c>
      <c r="W33" s="1">
        <f t="shared" si="4"/>
        <v>0.318</v>
      </c>
      <c r="X33" s="1">
        <f t="shared" si="5"/>
        <v>0.35899999999999999</v>
      </c>
    </row>
    <row r="34" spans="1:24" ht="15.5" thickTop="1" thickBot="1" x14ac:dyDescent="0.4">
      <c r="A34" s="5" t="str">
        <f t="shared" si="7"/>
        <v>2029Q3</v>
      </c>
      <c r="B34" s="2">
        <f t="shared" si="10"/>
        <v>14.587999999999999</v>
      </c>
      <c r="C34" s="3">
        <f t="shared" si="10"/>
        <v>17.619</v>
      </c>
      <c r="D34" s="2">
        <f t="shared" si="10"/>
        <v>20.65</v>
      </c>
      <c r="E34" s="2">
        <f t="shared" si="11"/>
        <v>0.27700000000000002</v>
      </c>
      <c r="F34" s="3">
        <f t="shared" si="11"/>
        <v>0.318</v>
      </c>
      <c r="G34" s="2">
        <f t="shared" si="11"/>
        <v>0.35899999999999999</v>
      </c>
      <c r="K34" s="14" t="s">
        <v>107</v>
      </c>
      <c r="L34" s="64">
        <v>18.172199468142633</v>
      </c>
      <c r="M34" s="64">
        <v>15.131721396810372</v>
      </c>
      <c r="N34" s="64">
        <v>21.212677539474893</v>
      </c>
      <c r="O34" s="1">
        <f t="shared" si="0"/>
        <v>15.132</v>
      </c>
      <c r="P34" s="1">
        <f t="shared" si="1"/>
        <v>18.172000000000001</v>
      </c>
      <c r="Q34" s="1">
        <f t="shared" si="2"/>
        <v>21.213000000000001</v>
      </c>
      <c r="R34" s="14" t="str">
        <f t="shared" si="6"/>
        <v>2029Q4</v>
      </c>
      <c r="S34" s="49">
        <v>0.32016464558844876</v>
      </c>
      <c r="T34" s="49">
        <v>0.27856696855650009</v>
      </c>
      <c r="U34" s="49">
        <v>0.36176232262039743</v>
      </c>
      <c r="V34" s="1">
        <f t="shared" si="3"/>
        <v>0.27900000000000003</v>
      </c>
      <c r="W34" s="1">
        <f t="shared" si="4"/>
        <v>0.32</v>
      </c>
      <c r="X34" s="1">
        <f t="shared" si="5"/>
        <v>0.36199999999999999</v>
      </c>
    </row>
    <row r="35" spans="1:24" ht="13" thickTop="1" thickBot="1" x14ac:dyDescent="0.35">
      <c r="A35" s="5" t="str">
        <f t="shared" si="7"/>
        <v>2029Q4</v>
      </c>
      <c r="B35" s="2">
        <f t="shared" si="10"/>
        <v>15.132</v>
      </c>
      <c r="C35" s="3">
        <f t="shared" si="10"/>
        <v>18.172000000000001</v>
      </c>
      <c r="D35" s="2">
        <f t="shared" si="10"/>
        <v>21.213000000000001</v>
      </c>
      <c r="E35" s="2">
        <f t="shared" si="11"/>
        <v>0.27900000000000003</v>
      </c>
      <c r="F35" s="3">
        <f t="shared" si="11"/>
        <v>0.32</v>
      </c>
      <c r="G35" s="2">
        <f t="shared" si="11"/>
        <v>0.36199999999999999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17.517749999999996</v>
      </c>
      <c r="F38" s="1">
        <f>AVERAGE(F4:F35)</f>
        <v>0.28306249999999999</v>
      </c>
    </row>
    <row r="40" spans="1:24" ht="12.5" thickBot="1" x14ac:dyDescent="0.35"/>
    <row r="41" spans="1:24" ht="15.5" thickTop="1" thickBot="1" x14ac:dyDescent="0.4">
      <c r="A41" s="29" t="s">
        <v>61</v>
      </c>
      <c r="B41" s="30"/>
      <c r="C41" s="30"/>
      <c r="D41" s="30"/>
      <c r="E41" s="30"/>
      <c r="F41" s="30"/>
      <c r="G41" s="30"/>
      <c r="K41" s="29" t="s">
        <v>36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16.495000000000001</v>
      </c>
      <c r="D44" s="6"/>
      <c r="E44" s="6"/>
      <c r="F44" s="9">
        <f>ROUND(F4-((G4-F4)*(0.5/2)),3)</f>
        <v>0.24099999999999999</v>
      </c>
      <c r="G44" s="6"/>
      <c r="K44" s="7" t="str">
        <f>A4</f>
        <v>2022Q1</v>
      </c>
      <c r="L44" s="6"/>
      <c r="M44" s="9">
        <f>ROUND(C4-((D4-C4)*(1/2)),3)</f>
        <v>16.260000000000002</v>
      </c>
      <c r="N44" s="6"/>
      <c r="O44" s="6"/>
      <c r="P44" s="9">
        <f>ROUND(F4-((G4-F4)*(1/2)),3)</f>
        <v>0.23899999999999999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17.268000000000001</v>
      </c>
      <c r="D45" s="6"/>
      <c r="E45" s="6"/>
      <c r="F45" s="9">
        <f t="shared" ref="F45:F75" si="14">ROUND(F5-((G5-F5)*(0.5/2)),3)</f>
        <v>0.25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16.951000000000001</v>
      </c>
      <c r="N45" s="6"/>
      <c r="O45" s="6"/>
      <c r="P45" s="9">
        <f t="shared" ref="P45:P75" si="17">ROUND(F5-((G5-F5)*(1/2)),3)</f>
        <v>0.247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16.751000000000001</v>
      </c>
      <c r="D46" s="6"/>
      <c r="E46" s="6"/>
      <c r="F46" s="9">
        <f t="shared" si="14"/>
        <v>0.248</v>
      </c>
      <c r="G46" s="6"/>
      <c r="K46" s="7" t="str">
        <f t="shared" si="15"/>
        <v>2022Q3</v>
      </c>
      <c r="L46" s="6"/>
      <c r="M46" s="9">
        <f t="shared" si="16"/>
        <v>16.373999999999999</v>
      </c>
      <c r="N46" s="6"/>
      <c r="O46" s="6"/>
      <c r="P46" s="9">
        <f t="shared" si="17"/>
        <v>0.245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17.253</v>
      </c>
      <c r="D47" s="6"/>
      <c r="E47" s="6"/>
      <c r="F47" s="9">
        <f t="shared" si="14"/>
        <v>0.25</v>
      </c>
      <c r="G47" s="6"/>
      <c r="K47" s="7" t="str">
        <f t="shared" si="15"/>
        <v>2022Q4</v>
      </c>
      <c r="L47" s="6"/>
      <c r="M47" s="9">
        <f t="shared" si="16"/>
        <v>16.829000000000001</v>
      </c>
      <c r="N47" s="6"/>
      <c r="O47" s="6"/>
      <c r="P47" s="9">
        <f t="shared" si="17"/>
        <v>0.247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16.327999999999999</v>
      </c>
      <c r="D48" s="6"/>
      <c r="E48" s="6"/>
      <c r="F48" s="9">
        <f t="shared" si="14"/>
        <v>0.249</v>
      </c>
      <c r="G48" s="6"/>
      <c r="K48" s="7" t="str">
        <f t="shared" si="15"/>
        <v>2023Q1</v>
      </c>
      <c r="L48" s="6"/>
      <c r="M48" s="9">
        <f t="shared" si="16"/>
        <v>15.864000000000001</v>
      </c>
      <c r="N48" s="6"/>
      <c r="O48" s="6"/>
      <c r="P48" s="9">
        <f t="shared" si="17"/>
        <v>0.245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17.149000000000001</v>
      </c>
      <c r="D49" s="6"/>
      <c r="E49" s="6"/>
      <c r="F49" s="9">
        <f t="shared" si="14"/>
        <v>0.255</v>
      </c>
      <c r="G49" s="6"/>
      <c r="K49" s="7" t="str">
        <f t="shared" si="15"/>
        <v>2023Q2</v>
      </c>
      <c r="L49" s="6"/>
      <c r="M49" s="9">
        <f t="shared" si="16"/>
        <v>16.651</v>
      </c>
      <c r="N49" s="6"/>
      <c r="O49" s="6"/>
      <c r="P49" s="9">
        <f t="shared" si="17"/>
        <v>0.251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16.664999999999999</v>
      </c>
      <c r="D50" s="6"/>
      <c r="E50" s="6"/>
      <c r="F50" s="9">
        <f t="shared" si="14"/>
        <v>0.25600000000000001</v>
      </c>
      <c r="G50" s="6"/>
      <c r="K50" s="7" t="str">
        <f t="shared" si="15"/>
        <v>2023Q3</v>
      </c>
      <c r="L50" s="6"/>
      <c r="M50" s="9">
        <f t="shared" si="16"/>
        <v>16.138999999999999</v>
      </c>
      <c r="N50" s="6"/>
      <c r="O50" s="6"/>
      <c r="P50" s="9">
        <f t="shared" si="17"/>
        <v>0.251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17.190000000000001</v>
      </c>
      <c r="D51" s="6"/>
      <c r="E51" s="6"/>
      <c r="F51" s="9">
        <f t="shared" si="14"/>
        <v>0.25900000000000001</v>
      </c>
      <c r="G51" s="6"/>
      <c r="K51" s="7" t="str">
        <f t="shared" si="15"/>
        <v>2023Q4</v>
      </c>
      <c r="L51" s="6"/>
      <c r="M51" s="9">
        <f t="shared" si="16"/>
        <v>16.637</v>
      </c>
      <c r="N51" s="6"/>
      <c r="O51" s="6"/>
      <c r="P51" s="9">
        <f t="shared" si="17"/>
        <v>0.254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16.282</v>
      </c>
      <c r="D52" s="6"/>
      <c r="E52" s="6"/>
      <c r="F52" s="9">
        <f t="shared" si="14"/>
        <v>0.25600000000000001</v>
      </c>
      <c r="G52" s="6"/>
      <c r="K52" s="7" t="str">
        <f t="shared" si="15"/>
        <v>2024Q1</v>
      </c>
      <c r="L52" s="6"/>
      <c r="M52" s="9">
        <f t="shared" si="16"/>
        <v>15.708</v>
      </c>
      <c r="N52" s="6"/>
      <c r="O52" s="6"/>
      <c r="P52" s="9">
        <f t="shared" si="17"/>
        <v>0.251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17.119</v>
      </c>
      <c r="D53" s="6"/>
      <c r="E53" s="6"/>
      <c r="F53" s="9">
        <f t="shared" si="14"/>
        <v>0.26400000000000001</v>
      </c>
      <c r="G53" s="6"/>
      <c r="K53" s="7" t="str">
        <f t="shared" si="15"/>
        <v>2024Q2</v>
      </c>
      <c r="L53" s="6"/>
      <c r="M53" s="9">
        <f t="shared" si="16"/>
        <v>16.524000000000001</v>
      </c>
      <c r="N53" s="6"/>
      <c r="O53" s="6"/>
      <c r="P53" s="9">
        <f t="shared" si="17"/>
        <v>0.25900000000000001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16.646000000000001</v>
      </c>
      <c r="D54" s="6"/>
      <c r="E54" s="6"/>
      <c r="F54" s="9">
        <f t="shared" si="14"/>
        <v>0.26400000000000001</v>
      </c>
      <c r="G54" s="6"/>
      <c r="K54" s="7" t="str">
        <f t="shared" si="15"/>
        <v>2024Q3</v>
      </c>
      <c r="L54" s="6"/>
      <c r="M54" s="9">
        <f t="shared" si="16"/>
        <v>16.033999999999999</v>
      </c>
      <c r="N54" s="6"/>
      <c r="O54" s="6"/>
      <c r="P54" s="9">
        <f t="shared" si="17"/>
        <v>0.25800000000000001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17.181000000000001</v>
      </c>
      <c r="D55" s="6"/>
      <c r="E55" s="6"/>
      <c r="F55" s="9">
        <f t="shared" si="14"/>
        <v>0.26700000000000002</v>
      </c>
      <c r="G55" s="6"/>
      <c r="K55" s="7" t="str">
        <f t="shared" si="15"/>
        <v>2024Q4</v>
      </c>
      <c r="L55" s="6"/>
      <c r="M55" s="9">
        <f t="shared" si="16"/>
        <v>16.553000000000001</v>
      </c>
      <c r="N55" s="6"/>
      <c r="O55" s="6"/>
      <c r="P55" s="9">
        <f t="shared" si="17"/>
        <v>0.26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16.282</v>
      </c>
      <c r="D56" s="6"/>
      <c r="E56" s="6"/>
      <c r="F56" s="9">
        <f t="shared" si="14"/>
        <v>0.26500000000000001</v>
      </c>
      <c r="G56" s="6"/>
      <c r="K56" s="7" t="str">
        <f t="shared" si="15"/>
        <v>2025Q1</v>
      </c>
      <c r="L56" s="6"/>
      <c r="M56" s="9">
        <f t="shared" si="16"/>
        <v>15.64</v>
      </c>
      <c r="N56" s="6"/>
      <c r="O56" s="6"/>
      <c r="P56" s="9">
        <f t="shared" si="17"/>
        <v>0.25900000000000001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17.126000000000001</v>
      </c>
      <c r="D57" s="6"/>
      <c r="E57" s="6"/>
      <c r="F57" s="9">
        <f t="shared" si="14"/>
        <v>0.27200000000000002</v>
      </c>
      <c r="G57" s="6"/>
      <c r="K57" s="7" t="str">
        <f t="shared" si="15"/>
        <v>2025Q2</v>
      </c>
      <c r="L57" s="6"/>
      <c r="M57" s="9">
        <f t="shared" si="16"/>
        <v>16.471</v>
      </c>
      <c r="N57" s="6"/>
      <c r="O57" s="6"/>
      <c r="P57" s="9">
        <f t="shared" si="17"/>
        <v>0.26500000000000001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16.661000000000001</v>
      </c>
      <c r="D58" s="6"/>
      <c r="E58" s="6"/>
      <c r="F58" s="9">
        <f t="shared" si="14"/>
        <v>0.27300000000000002</v>
      </c>
      <c r="G58" s="6"/>
      <c r="K58" s="7" t="str">
        <f t="shared" si="15"/>
        <v>2025Q3</v>
      </c>
      <c r="L58" s="6"/>
      <c r="M58" s="9">
        <f t="shared" si="16"/>
        <v>15.994</v>
      </c>
      <c r="N58" s="6"/>
      <c r="O58" s="6"/>
      <c r="P58" s="9">
        <f t="shared" si="17"/>
        <v>0.26600000000000001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17.201000000000001</v>
      </c>
      <c r="D59" s="6"/>
      <c r="E59" s="6"/>
      <c r="F59" s="9">
        <f t="shared" si="14"/>
        <v>0.27500000000000002</v>
      </c>
      <c r="G59" s="6"/>
      <c r="K59" s="7" t="str">
        <f t="shared" si="15"/>
        <v>2025Q4</v>
      </c>
      <c r="L59" s="6"/>
      <c r="M59" s="9">
        <f t="shared" si="16"/>
        <v>16.524000000000001</v>
      </c>
      <c r="N59" s="6"/>
      <c r="O59" s="6"/>
      <c r="P59" s="9">
        <f t="shared" si="17"/>
        <v>0.26700000000000002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16.306999999999999</v>
      </c>
      <c r="D60" s="6"/>
      <c r="E60" s="6"/>
      <c r="F60" s="9">
        <f t="shared" si="14"/>
        <v>0.27300000000000002</v>
      </c>
      <c r="G60" s="6"/>
      <c r="K60" s="7" t="str">
        <f t="shared" si="15"/>
        <v>2026Q1</v>
      </c>
      <c r="L60" s="6"/>
      <c r="M60" s="9">
        <f t="shared" si="16"/>
        <v>15.621</v>
      </c>
      <c r="N60" s="6"/>
      <c r="O60" s="6"/>
      <c r="P60" s="9">
        <f t="shared" si="17"/>
        <v>0.26600000000000001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17.155999999999999</v>
      </c>
      <c r="D61" s="6"/>
      <c r="E61" s="6"/>
      <c r="F61" s="9">
        <f t="shared" si="14"/>
        <v>0.28100000000000003</v>
      </c>
      <c r="G61" s="6"/>
      <c r="K61" s="7" t="str">
        <f t="shared" si="15"/>
        <v>2026Q2</v>
      </c>
      <c r="L61" s="6"/>
      <c r="M61" s="9">
        <f t="shared" si="16"/>
        <v>16.460999999999999</v>
      </c>
      <c r="N61" s="6"/>
      <c r="O61" s="6"/>
      <c r="P61" s="9">
        <f t="shared" si="17"/>
        <v>0.27400000000000002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16.693999999999999</v>
      </c>
      <c r="D62" s="6"/>
      <c r="E62" s="6"/>
      <c r="F62" s="9">
        <f t="shared" si="14"/>
        <v>0.28100000000000003</v>
      </c>
      <c r="G62" s="6"/>
      <c r="K62" s="7" t="str">
        <f t="shared" si="15"/>
        <v>2026Q3</v>
      </c>
      <c r="L62" s="6"/>
      <c r="M62" s="9">
        <f t="shared" si="16"/>
        <v>15.991</v>
      </c>
      <c r="N62" s="6"/>
      <c r="O62" s="6"/>
      <c r="P62" s="9">
        <f t="shared" si="17"/>
        <v>0.27300000000000002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17.239999999999998</v>
      </c>
      <c r="D63" s="6"/>
      <c r="E63" s="6"/>
      <c r="F63" s="9">
        <f t="shared" si="14"/>
        <v>0.28399999999999997</v>
      </c>
      <c r="G63" s="6"/>
      <c r="K63" s="7" t="str">
        <f t="shared" si="15"/>
        <v>2026Q4</v>
      </c>
      <c r="L63" s="6"/>
      <c r="M63" s="9">
        <f t="shared" si="16"/>
        <v>16.53</v>
      </c>
      <c r="N63" s="6"/>
      <c r="O63" s="6"/>
      <c r="P63" s="9">
        <f t="shared" si="17"/>
        <v>0.27600000000000002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16.349</v>
      </c>
      <c r="D64" s="6"/>
      <c r="E64" s="6"/>
      <c r="F64" s="9">
        <f t="shared" si="14"/>
        <v>0.28299999999999997</v>
      </c>
      <c r="G64" s="6"/>
      <c r="K64" s="7" t="str">
        <f t="shared" si="15"/>
        <v>2027Q1</v>
      </c>
      <c r="L64" s="6"/>
      <c r="M64" s="9">
        <f t="shared" si="16"/>
        <v>15.632999999999999</v>
      </c>
      <c r="N64" s="6"/>
      <c r="O64" s="6"/>
      <c r="P64" s="9">
        <f t="shared" si="17"/>
        <v>0.27400000000000002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17.2</v>
      </c>
      <c r="D65" s="6"/>
      <c r="E65" s="6"/>
      <c r="F65" s="9">
        <f t="shared" si="14"/>
        <v>0.28899999999999998</v>
      </c>
      <c r="G65" s="6"/>
      <c r="K65" s="7" t="str">
        <f t="shared" si="15"/>
        <v>2027Q2</v>
      </c>
      <c r="L65" s="6"/>
      <c r="M65" s="9">
        <f t="shared" si="16"/>
        <v>16.478000000000002</v>
      </c>
      <c r="N65" s="6"/>
      <c r="O65" s="6"/>
      <c r="P65" s="9">
        <f t="shared" si="17"/>
        <v>0.28100000000000003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16.742000000000001</v>
      </c>
      <c r="D66" s="6"/>
      <c r="E66" s="6"/>
      <c r="F66" s="9">
        <f t="shared" si="14"/>
        <v>0.28999999999999998</v>
      </c>
      <c r="G66" s="6"/>
      <c r="K66" s="7" t="str">
        <f t="shared" si="15"/>
        <v>2027Q3</v>
      </c>
      <c r="L66" s="6"/>
      <c r="M66" s="9">
        <f t="shared" si="16"/>
        <v>16.013999999999999</v>
      </c>
      <c r="N66" s="6"/>
      <c r="O66" s="6"/>
      <c r="P66" s="9">
        <f t="shared" si="17"/>
        <v>0.28199999999999997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17.289000000000001</v>
      </c>
      <c r="D67" s="6"/>
      <c r="E67" s="6"/>
      <c r="F67" s="9">
        <f t="shared" si="14"/>
        <v>0.29199999999999998</v>
      </c>
      <c r="G67" s="6"/>
      <c r="K67" s="7" t="str">
        <f t="shared" si="15"/>
        <v>2027Q4</v>
      </c>
      <c r="L67" s="6"/>
      <c r="M67" s="9">
        <f t="shared" si="16"/>
        <v>16.556000000000001</v>
      </c>
      <c r="N67" s="6"/>
      <c r="O67" s="6"/>
      <c r="P67" s="9">
        <f t="shared" si="17"/>
        <v>0.28299999999999997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16.402000000000001</v>
      </c>
      <c r="D68" s="6"/>
      <c r="E68" s="6"/>
      <c r="F68" s="9">
        <f t="shared" si="14"/>
        <v>0.29099999999999998</v>
      </c>
      <c r="G68" s="6"/>
      <c r="K68" s="7" t="str">
        <f t="shared" si="15"/>
        <v>2028Q1</v>
      </c>
      <c r="L68" s="6"/>
      <c r="M68" s="9">
        <f t="shared" si="16"/>
        <v>15.664</v>
      </c>
      <c r="N68" s="6"/>
      <c r="O68" s="6"/>
      <c r="P68" s="9">
        <f t="shared" si="17"/>
        <v>0.28199999999999997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17.254999999999999</v>
      </c>
      <c r="D69" s="6"/>
      <c r="E69" s="6"/>
      <c r="F69" s="9">
        <f t="shared" si="14"/>
        <v>0.29899999999999999</v>
      </c>
      <c r="G69" s="6"/>
      <c r="K69" s="7" t="str">
        <f t="shared" si="15"/>
        <v>2028Q2</v>
      </c>
      <c r="L69" s="6"/>
      <c r="M69" s="9">
        <f t="shared" si="16"/>
        <v>16.513999999999999</v>
      </c>
      <c r="N69" s="6"/>
      <c r="O69" s="6"/>
      <c r="P69" s="9">
        <f t="shared" si="17"/>
        <v>0.28999999999999998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16.798999999999999</v>
      </c>
      <c r="D70" s="6"/>
      <c r="E70" s="6"/>
      <c r="F70" s="9">
        <f t="shared" si="14"/>
        <v>0.29899999999999999</v>
      </c>
      <c r="G70" s="6"/>
      <c r="K70" s="7" t="str">
        <f t="shared" si="15"/>
        <v>2028Q3</v>
      </c>
      <c r="L70" s="6"/>
      <c r="M70" s="9">
        <f t="shared" si="16"/>
        <v>16.053000000000001</v>
      </c>
      <c r="N70" s="6"/>
      <c r="O70" s="6"/>
      <c r="P70" s="9">
        <f t="shared" si="17"/>
        <v>0.28899999999999998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17.347999999999999</v>
      </c>
      <c r="D71" s="6"/>
      <c r="E71" s="6"/>
      <c r="F71" s="9">
        <f t="shared" si="14"/>
        <v>0.30099999999999999</v>
      </c>
      <c r="G71" s="6"/>
      <c r="K71" s="7" t="str">
        <f t="shared" si="15"/>
        <v>2028Q4</v>
      </c>
      <c r="L71" s="6"/>
      <c r="M71" s="9">
        <f t="shared" si="16"/>
        <v>16.600000000000001</v>
      </c>
      <c r="N71" s="6"/>
      <c r="O71" s="6"/>
      <c r="P71" s="9">
        <f t="shared" si="17"/>
        <v>0.29199999999999998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16.462</v>
      </c>
      <c r="D72" s="6"/>
      <c r="E72" s="6"/>
      <c r="F72" s="9">
        <f t="shared" si="14"/>
        <v>0.3</v>
      </c>
      <c r="G72" s="6"/>
      <c r="K72" s="7" t="str">
        <f t="shared" si="15"/>
        <v>2029Q1</v>
      </c>
      <c r="L72" s="6"/>
      <c r="M72" s="9">
        <f t="shared" si="16"/>
        <v>15.71</v>
      </c>
      <c r="N72" s="6"/>
      <c r="O72" s="6"/>
      <c r="P72" s="9">
        <f t="shared" si="17"/>
        <v>0.29099999999999998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17.317</v>
      </c>
      <c r="D73" s="6"/>
      <c r="E73" s="6"/>
      <c r="F73" s="9">
        <f t="shared" si="14"/>
        <v>0.307</v>
      </c>
      <c r="G73" s="6"/>
      <c r="K73" s="7" t="str">
        <f t="shared" si="15"/>
        <v>2029Q2</v>
      </c>
      <c r="L73" s="6"/>
      <c r="M73" s="9">
        <f t="shared" si="16"/>
        <v>16.562000000000001</v>
      </c>
      <c r="N73" s="6"/>
      <c r="O73" s="6"/>
      <c r="P73" s="9">
        <f t="shared" si="17"/>
        <v>0.29699999999999999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16.861000000000001</v>
      </c>
      <c r="D74" s="6"/>
      <c r="E74" s="6"/>
      <c r="F74" s="9">
        <f t="shared" si="14"/>
        <v>0.308</v>
      </c>
      <c r="G74" s="6"/>
      <c r="K74" s="7" t="str">
        <f t="shared" si="15"/>
        <v>2029Q3</v>
      </c>
      <c r="L74" s="6"/>
      <c r="M74" s="9">
        <f t="shared" si="16"/>
        <v>16.103999999999999</v>
      </c>
      <c r="N74" s="6"/>
      <c r="O74" s="6"/>
      <c r="P74" s="9">
        <f t="shared" si="17"/>
        <v>0.29799999999999999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17.411999999999999</v>
      </c>
      <c r="D75" s="6"/>
      <c r="E75" s="6"/>
      <c r="F75" s="9">
        <f t="shared" si="14"/>
        <v>0.31</v>
      </c>
      <c r="G75" s="6"/>
      <c r="K75" s="7" t="str">
        <f t="shared" si="15"/>
        <v>2029Q4</v>
      </c>
      <c r="L75" s="6"/>
      <c r="M75" s="9">
        <f t="shared" si="16"/>
        <v>16.652000000000001</v>
      </c>
      <c r="N75" s="6"/>
      <c r="O75" s="6"/>
      <c r="P75" s="9">
        <f t="shared" si="17"/>
        <v>0.29899999999999999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76"/>
  <sheetViews>
    <sheetView topLeftCell="J1" zoomScale="80" zoomScaleNormal="80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3" t="s">
        <v>45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50">
        <v>3.8051617214607106E-2</v>
      </c>
      <c r="T3" s="50">
        <v>3.1363735786920352E-2</v>
      </c>
      <c r="U3" s="50">
        <v>4.473949864229386E-2</v>
      </c>
      <c r="V3" s="1">
        <f t="shared" ref="V3:V34" si="3">ROUND(T3,3)</f>
        <v>3.1E-2</v>
      </c>
      <c r="W3" s="1">
        <f t="shared" ref="W3:W34" si="4">ROUND(S3,3)</f>
        <v>3.7999999999999999E-2</v>
      </c>
      <c r="X3" s="1">
        <f t="shared" ref="X3:X34" si="5">ROUND(U3,3)</f>
        <v>4.4999999999999998E-2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3.1E-2</v>
      </c>
      <c r="F4" s="3">
        <f>W3</f>
        <v>3.7999999999999999E-2</v>
      </c>
      <c r="G4" s="2">
        <f>X3</f>
        <v>4.4999999999999998E-2</v>
      </c>
      <c r="K4" s="14" t="s">
        <v>70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50">
        <v>3.9097575620391893E-2</v>
      </c>
      <c r="T4" s="50">
        <v>3.1129668021405037E-2</v>
      </c>
      <c r="U4" s="50">
        <v>4.706548321937875E-2</v>
      </c>
      <c r="V4" s="1">
        <f t="shared" si="3"/>
        <v>3.1E-2</v>
      </c>
      <c r="W4" s="1">
        <f t="shared" si="4"/>
        <v>3.9E-2</v>
      </c>
      <c r="X4" s="1">
        <f t="shared" si="5"/>
        <v>4.7E-2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3.1E-2</v>
      </c>
      <c r="F5" s="3">
        <f t="shared" si="8"/>
        <v>3.9E-2</v>
      </c>
      <c r="G5" s="2">
        <f t="shared" si="8"/>
        <v>4.7E-2</v>
      </c>
      <c r="I5" s="1">
        <f>SUM(F5:F8)</f>
        <v>0.16400000000000001</v>
      </c>
      <c r="K5" s="14" t="s">
        <v>71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50">
        <v>4.1324786799550449E-2</v>
      </c>
      <c r="T5" s="50">
        <v>3.2856980232385119E-2</v>
      </c>
      <c r="U5" s="50">
        <v>4.9792593366715779E-2</v>
      </c>
      <c r="V5" s="1">
        <f t="shared" si="3"/>
        <v>3.3000000000000002E-2</v>
      </c>
      <c r="W5" s="1">
        <f t="shared" si="4"/>
        <v>4.1000000000000002E-2</v>
      </c>
      <c r="X5" s="1">
        <f t="shared" si="5"/>
        <v>0.05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3.3000000000000002E-2</v>
      </c>
      <c r="F6" s="3">
        <f t="shared" si="8"/>
        <v>4.1000000000000002E-2</v>
      </c>
      <c r="G6" s="2">
        <f t="shared" si="8"/>
        <v>0.05</v>
      </c>
      <c r="I6" s="1">
        <f>SUM(F9:F12)</f>
        <v>0.183</v>
      </c>
      <c r="K6" s="14" t="s">
        <v>72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50">
        <v>4.2057540424013398E-2</v>
      </c>
      <c r="T6" s="50">
        <v>3.3368671285114594E-2</v>
      </c>
      <c r="U6" s="50">
        <v>5.0746409562912202E-2</v>
      </c>
      <c r="V6" s="1">
        <f t="shared" si="3"/>
        <v>3.3000000000000002E-2</v>
      </c>
      <c r="W6" s="1">
        <f t="shared" si="4"/>
        <v>4.2000000000000003E-2</v>
      </c>
      <c r="X6" s="1">
        <f t="shared" si="5"/>
        <v>5.0999999999999997E-2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3.3000000000000002E-2</v>
      </c>
      <c r="F7" s="3">
        <f t="shared" si="8"/>
        <v>4.2000000000000003E-2</v>
      </c>
      <c r="G7" s="2">
        <f t="shared" si="8"/>
        <v>5.0999999999999997E-2</v>
      </c>
      <c r="I7" s="1">
        <f>SUM(F13:F16)</f>
        <v>0.20699999999999999</v>
      </c>
      <c r="K7" s="14" t="s">
        <v>73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50">
        <v>4.1646415676229724E-2</v>
      </c>
      <c r="T7" s="50">
        <v>3.2851469589614143E-2</v>
      </c>
      <c r="U7" s="50">
        <v>5.0441361762845305E-2</v>
      </c>
      <c r="V7" s="1">
        <f t="shared" si="3"/>
        <v>3.3000000000000002E-2</v>
      </c>
      <c r="W7" s="1">
        <f t="shared" si="4"/>
        <v>4.2000000000000003E-2</v>
      </c>
      <c r="X7" s="1">
        <f t="shared" si="5"/>
        <v>0.05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3.3000000000000002E-2</v>
      </c>
      <c r="F8" s="3">
        <f t="shared" si="8"/>
        <v>4.2000000000000003E-2</v>
      </c>
      <c r="G8" s="2">
        <f t="shared" si="8"/>
        <v>0.05</v>
      </c>
      <c r="I8" s="1">
        <f>SUM(F17:F20)</f>
        <v>0.22700000000000001</v>
      </c>
      <c r="K8" s="14" t="s">
        <v>74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50">
        <v>4.3463011028339285E-2</v>
      </c>
      <c r="T8" s="50">
        <v>3.4613678500118469E-2</v>
      </c>
      <c r="U8" s="50">
        <v>5.2312343556560101E-2</v>
      </c>
      <c r="V8" s="1">
        <f t="shared" si="3"/>
        <v>3.5000000000000003E-2</v>
      </c>
      <c r="W8" s="1">
        <f t="shared" si="4"/>
        <v>4.2999999999999997E-2</v>
      </c>
      <c r="X8" s="1">
        <f t="shared" si="5"/>
        <v>5.1999999999999998E-2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3.5000000000000003E-2</v>
      </c>
      <c r="F9" s="3">
        <f t="shared" si="8"/>
        <v>4.2999999999999997E-2</v>
      </c>
      <c r="G9" s="2">
        <f t="shared" si="8"/>
        <v>5.1999999999999998E-2</v>
      </c>
      <c r="I9" s="1">
        <f>SUM(F21:F24)</f>
        <v>0.251</v>
      </c>
      <c r="K9" s="14" t="s">
        <v>75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50">
        <v>4.6165229194196682E-2</v>
      </c>
      <c r="T9" s="50">
        <v>3.7286465971985192E-2</v>
      </c>
      <c r="U9" s="50">
        <v>5.5043992416408172E-2</v>
      </c>
      <c r="V9" s="1">
        <f t="shared" si="3"/>
        <v>3.6999999999999998E-2</v>
      </c>
      <c r="W9" s="1">
        <f t="shared" si="4"/>
        <v>4.5999999999999999E-2</v>
      </c>
      <c r="X9" s="1">
        <f t="shared" si="5"/>
        <v>5.5E-2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3.6999999999999998E-2</v>
      </c>
      <c r="F10" s="3">
        <f t="shared" si="8"/>
        <v>4.5999999999999999E-2</v>
      </c>
      <c r="G10" s="2">
        <f t="shared" si="8"/>
        <v>5.5E-2</v>
      </c>
      <c r="I10" s="1">
        <f>SUM(F25:F28)</f>
        <v>0.27300000000000002</v>
      </c>
      <c r="K10" s="14" t="s">
        <v>76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50">
        <v>4.7190768725809261E-2</v>
      </c>
      <c r="T10" s="50">
        <v>3.829540255801852E-2</v>
      </c>
      <c r="U10" s="50">
        <v>5.6086134893600002E-2</v>
      </c>
      <c r="V10" s="1">
        <f t="shared" si="3"/>
        <v>3.7999999999999999E-2</v>
      </c>
      <c r="W10" s="1">
        <f t="shared" si="4"/>
        <v>4.7E-2</v>
      </c>
      <c r="X10" s="1">
        <f t="shared" si="5"/>
        <v>5.6000000000000001E-2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3.7999999999999999E-2</v>
      </c>
      <c r="F11" s="3">
        <f t="shared" si="8"/>
        <v>4.7E-2</v>
      </c>
      <c r="G11" s="2">
        <f t="shared" si="8"/>
        <v>5.6000000000000001E-2</v>
      </c>
      <c r="I11" s="1">
        <f>SUM(F29:F32)</f>
        <v>0.29499999999999998</v>
      </c>
      <c r="K11" s="14" t="s">
        <v>77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50">
        <v>4.6960112033919206E-2</v>
      </c>
      <c r="T11" s="50">
        <v>3.8055092695064824E-2</v>
      </c>
      <c r="U11" s="50">
        <v>5.5865131372773588E-2</v>
      </c>
      <c r="V11" s="1">
        <f t="shared" si="3"/>
        <v>3.7999999999999999E-2</v>
      </c>
      <c r="W11" s="1">
        <f t="shared" si="4"/>
        <v>4.7E-2</v>
      </c>
      <c r="X11" s="1">
        <f t="shared" si="5"/>
        <v>5.6000000000000001E-2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3.7999999999999999E-2</v>
      </c>
      <c r="F12" s="3">
        <f t="shared" si="8"/>
        <v>4.7E-2</v>
      </c>
      <c r="G12" s="2">
        <f t="shared" si="8"/>
        <v>5.6000000000000001E-2</v>
      </c>
      <c r="K12" s="14" t="s">
        <v>78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50">
        <v>4.8887944704501821E-2</v>
      </c>
      <c r="T12" s="50">
        <v>3.9977195121127788E-2</v>
      </c>
      <c r="U12" s="50">
        <v>5.7798694287875853E-2</v>
      </c>
      <c r="V12" s="1">
        <f t="shared" si="3"/>
        <v>0.04</v>
      </c>
      <c r="W12" s="1">
        <f t="shared" si="4"/>
        <v>4.9000000000000002E-2</v>
      </c>
      <c r="X12" s="1">
        <f t="shared" si="5"/>
        <v>5.8000000000000003E-2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0.04</v>
      </c>
      <c r="F13" s="3">
        <f t="shared" si="8"/>
        <v>4.9000000000000002E-2</v>
      </c>
      <c r="G13" s="2">
        <f t="shared" si="8"/>
        <v>5.8000000000000003E-2</v>
      </c>
      <c r="K13" s="14" t="s">
        <v>79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50">
        <v>5.1658727586479221E-2</v>
      </c>
      <c r="T13" s="50">
        <v>4.2744529314345067E-2</v>
      </c>
      <c r="U13" s="50">
        <v>6.0572925858613375E-2</v>
      </c>
      <c r="V13" s="1">
        <f t="shared" si="3"/>
        <v>4.2999999999999997E-2</v>
      </c>
      <c r="W13" s="1">
        <f t="shared" si="4"/>
        <v>5.1999999999999998E-2</v>
      </c>
      <c r="X13" s="1">
        <f t="shared" si="5"/>
        <v>6.0999999999999999E-2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4.2999999999999997E-2</v>
      </c>
      <c r="F14" s="3">
        <f t="shared" si="8"/>
        <v>5.1999999999999998E-2</v>
      </c>
      <c r="G14" s="2">
        <f t="shared" si="8"/>
        <v>6.0999999999999999E-2</v>
      </c>
      <c r="K14" s="14" t="s">
        <v>84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50">
        <v>5.2726529196692302E-2</v>
      </c>
      <c r="T14" s="50">
        <v>4.3810236834275061E-2</v>
      </c>
      <c r="U14" s="50">
        <v>6.1642821559109544E-2</v>
      </c>
      <c r="V14" s="1">
        <f t="shared" si="3"/>
        <v>4.3999999999999997E-2</v>
      </c>
      <c r="W14" s="1">
        <f t="shared" si="4"/>
        <v>5.2999999999999999E-2</v>
      </c>
      <c r="X14" s="1">
        <f t="shared" si="5"/>
        <v>6.2E-2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4.3999999999999997E-2</v>
      </c>
      <c r="F15" s="3">
        <f t="shared" si="8"/>
        <v>5.2999999999999999E-2</v>
      </c>
      <c r="G15" s="2">
        <f t="shared" si="8"/>
        <v>6.2E-2</v>
      </c>
      <c r="K15" s="14" t="s">
        <v>81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50">
        <v>5.2521922102739892E-2</v>
      </c>
      <c r="T15" s="50">
        <v>4.3604350984419275E-2</v>
      </c>
      <c r="U15" s="50">
        <v>6.1439493221060508E-2</v>
      </c>
      <c r="V15" s="1">
        <f t="shared" si="3"/>
        <v>4.3999999999999997E-2</v>
      </c>
      <c r="W15" s="1">
        <f t="shared" si="4"/>
        <v>5.2999999999999999E-2</v>
      </c>
      <c r="X15" s="1">
        <f t="shared" si="5"/>
        <v>6.0999999999999999E-2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4.3999999999999997E-2</v>
      </c>
      <c r="F16" s="3">
        <f t="shared" si="8"/>
        <v>5.2999999999999999E-2</v>
      </c>
      <c r="G16" s="2">
        <f t="shared" si="8"/>
        <v>6.0999999999999999E-2</v>
      </c>
      <c r="K16" s="14" t="s">
        <v>82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50">
        <v>5.4465811284861547E-2</v>
      </c>
      <c r="T16" s="50">
        <v>4.5547456522658139E-2</v>
      </c>
      <c r="U16" s="50">
        <v>6.3384166047064955E-2</v>
      </c>
      <c r="V16" s="1">
        <f t="shared" si="3"/>
        <v>4.5999999999999999E-2</v>
      </c>
      <c r="W16" s="1">
        <f t="shared" si="4"/>
        <v>5.3999999999999999E-2</v>
      </c>
      <c r="X16" s="1">
        <f t="shared" si="5"/>
        <v>6.3E-2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4.5999999999999999E-2</v>
      </c>
      <c r="F17" s="3">
        <f t="shared" si="8"/>
        <v>5.3999999999999999E-2</v>
      </c>
      <c r="G17" s="2">
        <f t="shared" si="8"/>
        <v>6.3E-2</v>
      </c>
      <c r="K17" s="14" t="s">
        <v>83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50">
        <v>5.72464911166276E-2</v>
      </c>
      <c r="T17" s="50">
        <v>4.832765506165064E-2</v>
      </c>
      <c r="U17" s="50">
        <v>6.616532717160456E-2</v>
      </c>
      <c r="V17" s="1">
        <f t="shared" si="3"/>
        <v>4.8000000000000001E-2</v>
      </c>
      <c r="W17" s="1">
        <f t="shared" si="4"/>
        <v>5.7000000000000002E-2</v>
      </c>
      <c r="X17" s="1">
        <f t="shared" si="5"/>
        <v>6.6000000000000003E-2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4.8000000000000001E-2</v>
      </c>
      <c r="F18" s="3">
        <f t="shared" si="8"/>
        <v>5.7000000000000002E-2</v>
      </c>
      <c r="G18" s="2">
        <f t="shared" si="8"/>
        <v>6.6000000000000003E-2</v>
      </c>
      <c r="K18" s="14" t="s">
        <v>80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50">
        <v>5.832039303168466E-2</v>
      </c>
      <c r="T18" s="50">
        <v>4.9401260974065338E-2</v>
      </c>
      <c r="U18" s="50">
        <v>6.7239525089303989E-2</v>
      </c>
      <c r="V18" s="1">
        <f t="shared" si="3"/>
        <v>4.9000000000000002E-2</v>
      </c>
      <c r="W18" s="1">
        <f t="shared" si="4"/>
        <v>5.8000000000000003E-2</v>
      </c>
      <c r="X18" s="1">
        <f t="shared" si="5"/>
        <v>6.7000000000000004E-2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4.9000000000000002E-2</v>
      </c>
      <c r="F19" s="3">
        <f t="shared" si="8"/>
        <v>5.8000000000000003E-2</v>
      </c>
      <c r="G19" s="2">
        <f t="shared" si="8"/>
        <v>6.7000000000000004E-2</v>
      </c>
      <c r="K19" s="14" t="s">
        <v>92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50">
        <v>5.8119546057767632E-2</v>
      </c>
      <c r="T19" s="50">
        <v>4.9200231799209238E-2</v>
      </c>
      <c r="U19" s="50">
        <v>6.703886031632604E-2</v>
      </c>
      <c r="V19" s="1">
        <f t="shared" si="3"/>
        <v>4.9000000000000002E-2</v>
      </c>
      <c r="W19" s="1">
        <f t="shared" si="4"/>
        <v>5.8000000000000003E-2</v>
      </c>
      <c r="X19" s="1">
        <f t="shared" si="5"/>
        <v>6.7000000000000004E-2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4.9000000000000002E-2</v>
      </c>
      <c r="F20" s="3">
        <f t="shared" si="8"/>
        <v>5.8000000000000003E-2</v>
      </c>
      <c r="G20" s="2">
        <f t="shared" si="8"/>
        <v>6.7000000000000004E-2</v>
      </c>
      <c r="K20" s="14" t="s">
        <v>93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50">
        <v>6.0065752911389658E-2</v>
      </c>
      <c r="T20" s="50">
        <v>5.1146326442314351E-2</v>
      </c>
      <c r="U20" s="50">
        <v>6.8985179380464973E-2</v>
      </c>
      <c r="V20" s="1">
        <f t="shared" si="3"/>
        <v>5.0999999999999997E-2</v>
      </c>
      <c r="W20" s="1">
        <f t="shared" si="4"/>
        <v>0.06</v>
      </c>
      <c r="X20" s="1">
        <f t="shared" si="5"/>
        <v>6.9000000000000006E-2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5.0999999999999997E-2</v>
      </c>
      <c r="F21" s="3">
        <f t="shared" si="9"/>
        <v>0.06</v>
      </c>
      <c r="G21" s="2">
        <f t="shared" si="9"/>
        <v>6.9000000000000006E-2</v>
      </c>
      <c r="K21" s="14" t="s">
        <v>94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50">
        <v>6.284786131488565E-2</v>
      </c>
      <c r="T21" s="50">
        <v>5.3928365717292648E-2</v>
      </c>
      <c r="U21" s="50">
        <v>7.1767356912478639E-2</v>
      </c>
      <c r="V21" s="1">
        <f t="shared" si="3"/>
        <v>5.3999999999999999E-2</v>
      </c>
      <c r="W21" s="1">
        <f t="shared" si="4"/>
        <v>6.3E-2</v>
      </c>
      <c r="X21" s="1">
        <f t="shared" si="5"/>
        <v>7.1999999999999995E-2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5.3999999999999999E-2</v>
      </c>
      <c r="F22" s="3">
        <f t="shared" si="9"/>
        <v>6.3E-2</v>
      </c>
      <c r="G22" s="2">
        <f t="shared" si="9"/>
        <v>7.1999999999999995E-2</v>
      </c>
      <c r="K22" s="14" t="s">
        <v>95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50">
        <v>6.392264377629589E-2</v>
      </c>
      <c r="T22" s="50">
        <v>5.5003105582806577E-2</v>
      </c>
      <c r="U22" s="50">
        <v>7.2842181969785202E-2</v>
      </c>
      <c r="V22" s="1">
        <f t="shared" si="3"/>
        <v>5.5E-2</v>
      </c>
      <c r="W22" s="1">
        <f t="shared" si="4"/>
        <v>6.4000000000000001E-2</v>
      </c>
      <c r="X22" s="1">
        <f t="shared" si="5"/>
        <v>7.2999999999999995E-2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5.5E-2</v>
      </c>
      <c r="F23" s="3">
        <f t="shared" si="9"/>
        <v>6.4000000000000001E-2</v>
      </c>
      <c r="G23" s="2">
        <f t="shared" si="9"/>
        <v>7.2999999999999995E-2</v>
      </c>
      <c r="K23" s="14" t="s">
        <v>96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50">
        <v>6.3722339555580446E-2</v>
      </c>
      <c r="T23" s="50">
        <v>5.4802775111938117E-2</v>
      </c>
      <c r="U23" s="50">
        <v>7.2641903999222768E-2</v>
      </c>
      <c r="V23" s="1">
        <f t="shared" si="3"/>
        <v>5.5E-2</v>
      </c>
      <c r="W23" s="1">
        <f t="shared" si="4"/>
        <v>6.4000000000000001E-2</v>
      </c>
      <c r="X23" s="1">
        <f t="shared" si="5"/>
        <v>7.2999999999999995E-2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5.5E-2</v>
      </c>
      <c r="F24" s="3">
        <f t="shared" si="9"/>
        <v>6.4000000000000001E-2</v>
      </c>
      <c r="G24" s="2">
        <f t="shared" si="9"/>
        <v>7.2999999999999995E-2</v>
      </c>
      <c r="K24" s="14" t="s">
        <v>97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50">
        <v>6.5668880952678546E-2</v>
      </c>
      <c r="T24" s="50">
        <v>5.6749300330882789E-2</v>
      </c>
      <c r="U24" s="50">
        <v>7.4588461574474296E-2</v>
      </c>
      <c r="V24" s="1">
        <f t="shared" si="3"/>
        <v>5.7000000000000002E-2</v>
      </c>
      <c r="W24" s="1">
        <f t="shared" si="4"/>
        <v>6.6000000000000003E-2</v>
      </c>
      <c r="X24" s="1">
        <f t="shared" si="5"/>
        <v>7.4999999999999997E-2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5.7000000000000002E-2</v>
      </c>
      <c r="F25" s="3">
        <f t="shared" si="9"/>
        <v>6.6000000000000003E-2</v>
      </c>
      <c r="G25" s="2">
        <f t="shared" si="9"/>
        <v>7.4999999999999997E-2</v>
      </c>
      <c r="K25" s="14" t="s">
        <v>98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50">
        <v>6.8451195562857489E-2</v>
      </c>
      <c r="T25" s="50">
        <v>5.9531604969884529E-2</v>
      </c>
      <c r="U25" s="50">
        <v>7.7370786155830457E-2</v>
      </c>
      <c r="V25" s="1">
        <f t="shared" si="3"/>
        <v>0.06</v>
      </c>
      <c r="W25" s="1">
        <f t="shared" si="4"/>
        <v>6.8000000000000005E-2</v>
      </c>
      <c r="X25" s="1">
        <f t="shared" si="5"/>
        <v>7.6999999999999999E-2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0.06</v>
      </c>
      <c r="F26" s="3">
        <f t="shared" si="9"/>
        <v>6.8000000000000005E-2</v>
      </c>
      <c r="G26" s="2">
        <f t="shared" si="9"/>
        <v>7.6999999999999999E-2</v>
      </c>
      <c r="K26" s="14" t="s">
        <v>99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50">
        <v>6.9526105126420809E-2</v>
      </c>
      <c r="T26" s="50">
        <v>6.0606508387675152E-2</v>
      </c>
      <c r="U26" s="50">
        <v>7.8445701865166459E-2</v>
      </c>
      <c r="V26" s="1">
        <f t="shared" si="3"/>
        <v>6.0999999999999999E-2</v>
      </c>
      <c r="W26" s="1">
        <f t="shared" si="4"/>
        <v>7.0000000000000007E-2</v>
      </c>
      <c r="X26" s="1">
        <f t="shared" si="5"/>
        <v>7.8E-2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6.0999999999999999E-2</v>
      </c>
      <c r="F27" s="3">
        <f t="shared" si="9"/>
        <v>7.0000000000000007E-2</v>
      </c>
      <c r="G27" s="2">
        <f t="shared" si="9"/>
        <v>7.8E-2</v>
      </c>
      <c r="K27" s="14" t="s">
        <v>100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50">
        <v>6.9325879249225009E-2</v>
      </c>
      <c r="T27" s="50">
        <v>6.0406278722441364E-2</v>
      </c>
      <c r="U27" s="50">
        <v>7.8245479776008653E-2</v>
      </c>
      <c r="V27" s="1">
        <f t="shared" si="3"/>
        <v>0.06</v>
      </c>
      <c r="W27" s="1">
        <f t="shared" si="4"/>
        <v>6.9000000000000006E-2</v>
      </c>
      <c r="X27" s="1">
        <f t="shared" si="5"/>
        <v>7.8E-2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0.06</v>
      </c>
      <c r="F28" s="3">
        <f t="shared" si="9"/>
        <v>6.9000000000000006E-2</v>
      </c>
      <c r="G28" s="2">
        <f t="shared" si="9"/>
        <v>7.8E-2</v>
      </c>
      <c r="K28" s="14" t="s">
        <v>101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50">
        <v>7.1272468935883265E-2</v>
      </c>
      <c r="T28" s="50">
        <v>6.2352866074260362E-2</v>
      </c>
      <c r="U28" s="50">
        <v>8.0192071797506162E-2</v>
      </c>
      <c r="V28" s="1">
        <f t="shared" si="3"/>
        <v>6.2E-2</v>
      </c>
      <c r="W28" s="1">
        <f t="shared" si="4"/>
        <v>7.0999999999999994E-2</v>
      </c>
      <c r="X28" s="1">
        <f t="shared" si="5"/>
        <v>0.08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6.2E-2</v>
      </c>
      <c r="F29" s="3">
        <f t="shared" si="9"/>
        <v>7.0999999999999994E-2</v>
      </c>
      <c r="G29" s="2">
        <f t="shared" si="9"/>
        <v>0.08</v>
      </c>
      <c r="K29" s="14" t="s">
        <v>102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50">
        <v>7.4054813310893211E-2</v>
      </c>
      <c r="T29" s="50">
        <v>6.513520901013152E-2</v>
      </c>
      <c r="U29" s="50">
        <v>8.2974417611654902E-2</v>
      </c>
      <c r="V29" s="1">
        <f t="shared" si="3"/>
        <v>6.5000000000000002E-2</v>
      </c>
      <c r="W29" s="1">
        <f t="shared" si="4"/>
        <v>7.3999999999999996E-2</v>
      </c>
      <c r="X29" s="1">
        <f t="shared" si="5"/>
        <v>8.3000000000000004E-2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6.5000000000000002E-2</v>
      </c>
      <c r="F30" s="3">
        <f t="shared" si="9"/>
        <v>7.3999999999999996E-2</v>
      </c>
      <c r="G30" s="2">
        <f t="shared" si="9"/>
        <v>8.3000000000000004E-2</v>
      </c>
      <c r="K30" s="14" t="s">
        <v>103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50">
        <v>7.5129741220972032E-2</v>
      </c>
      <c r="T30" s="50">
        <v>6.6210136033155745E-2</v>
      </c>
      <c r="U30" s="50">
        <v>8.404934640878832E-2</v>
      </c>
      <c r="V30" s="1">
        <f t="shared" si="3"/>
        <v>6.6000000000000003E-2</v>
      </c>
      <c r="W30" s="1">
        <f t="shared" si="4"/>
        <v>7.4999999999999997E-2</v>
      </c>
      <c r="X30" s="1">
        <f t="shared" si="5"/>
        <v>8.4000000000000005E-2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6.6000000000000003E-2</v>
      </c>
      <c r="F31" s="3">
        <f t="shared" si="9"/>
        <v>7.4999999999999997E-2</v>
      </c>
      <c r="G31" s="2">
        <f t="shared" si="9"/>
        <v>8.4000000000000005E-2</v>
      </c>
      <c r="K31" s="14" t="s">
        <v>104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50">
        <v>7.4929526652243963E-2</v>
      </c>
      <c r="T31" s="50">
        <v>6.6009920917664361E-2</v>
      </c>
      <c r="U31" s="50">
        <v>8.3849132386823566E-2</v>
      </c>
      <c r="V31" s="1">
        <f t="shared" si="3"/>
        <v>6.6000000000000003E-2</v>
      </c>
      <c r="W31" s="1">
        <f t="shared" si="4"/>
        <v>7.4999999999999997E-2</v>
      </c>
      <c r="X31" s="1">
        <f t="shared" si="5"/>
        <v>8.4000000000000005E-2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6.6000000000000003E-2</v>
      </c>
      <c r="F32" s="3">
        <f t="shared" si="9"/>
        <v>7.4999999999999997E-2</v>
      </c>
      <c r="G32" s="2">
        <f t="shared" si="9"/>
        <v>8.4000000000000005E-2</v>
      </c>
      <c r="K32" s="14" t="s">
        <v>105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50">
        <v>7.6876123309241776E-2</v>
      </c>
      <c r="T32" s="50">
        <v>6.7956517237646966E-2</v>
      </c>
      <c r="U32" s="50">
        <v>8.5795729380836586E-2</v>
      </c>
      <c r="V32" s="1">
        <f t="shared" si="3"/>
        <v>6.8000000000000005E-2</v>
      </c>
      <c r="W32" s="1">
        <f t="shared" si="4"/>
        <v>7.6999999999999999E-2</v>
      </c>
      <c r="X32" s="1">
        <f t="shared" si="5"/>
        <v>8.5999999999999993E-2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6.8000000000000005E-2</v>
      </c>
      <c r="F33" s="3">
        <f t="shared" si="9"/>
        <v>7.6999999999999999E-2</v>
      </c>
      <c r="G33" s="2">
        <f t="shared" si="9"/>
        <v>8.5999999999999993E-2</v>
      </c>
      <c r="K33" s="14" t="s">
        <v>106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50">
        <v>7.9658471980645754E-2</v>
      </c>
      <c r="T33" s="50">
        <v>7.0738865701320222E-2</v>
      </c>
      <c r="U33" s="50">
        <v>8.8578078259971285E-2</v>
      </c>
      <c r="V33" s="1">
        <f t="shared" si="3"/>
        <v>7.0999999999999994E-2</v>
      </c>
      <c r="W33" s="1">
        <f t="shared" si="4"/>
        <v>0.08</v>
      </c>
      <c r="X33" s="1">
        <f t="shared" si="5"/>
        <v>8.8999999999999996E-2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7.0999999999999994E-2</v>
      </c>
      <c r="F34" s="3">
        <f t="shared" si="9"/>
        <v>0.08</v>
      </c>
      <c r="G34" s="2">
        <f t="shared" si="9"/>
        <v>8.8999999999999996E-2</v>
      </c>
      <c r="K34" s="14" t="s">
        <v>107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50">
        <v>8.0733402538945898E-2</v>
      </c>
      <c r="T34" s="50">
        <v>7.1813796131578136E-2</v>
      </c>
      <c r="U34" s="50">
        <v>8.9653008946313659E-2</v>
      </c>
      <c r="V34" s="1">
        <f t="shared" si="3"/>
        <v>7.1999999999999995E-2</v>
      </c>
      <c r="W34" s="1">
        <f t="shared" si="4"/>
        <v>8.1000000000000003E-2</v>
      </c>
      <c r="X34" s="1">
        <f t="shared" si="5"/>
        <v>0.09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7.1999999999999995E-2</v>
      </c>
      <c r="F35" s="3">
        <f t="shared" si="9"/>
        <v>8.1000000000000003E-2</v>
      </c>
      <c r="G35" s="2">
        <f t="shared" si="9"/>
        <v>0.09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5.862500000000001E-2</v>
      </c>
    </row>
    <row r="39" spans="1:24" x14ac:dyDescent="0.3">
      <c r="A39" s="34" t="s">
        <v>66</v>
      </c>
      <c r="B39" s="34"/>
      <c r="C39" s="34"/>
      <c r="D39" s="34"/>
      <c r="E39" s="34"/>
      <c r="F39" s="34"/>
      <c r="G39" s="34"/>
    </row>
    <row r="40" spans="1:24" ht="12.5" thickBot="1" x14ac:dyDescent="0.35"/>
    <row r="41" spans="1:24" ht="15.5" thickTop="1" thickBot="1" x14ac:dyDescent="0.4">
      <c r="A41" s="29" t="s">
        <v>62</v>
      </c>
      <c r="B41" s="30"/>
      <c r="C41" s="30"/>
      <c r="D41" s="30"/>
      <c r="E41" s="30"/>
      <c r="F41" s="30"/>
      <c r="G41" s="30"/>
      <c r="K41" s="29" t="s">
        <v>63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3.5999999999999997E-2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3.5000000000000003E-2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3.6999999999999998E-2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3.5000000000000003E-2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3.9E-2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3.6999999999999998E-2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0.04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3.7999999999999999E-2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0.04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3.7999999999999999E-2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4.1000000000000002E-2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3.9E-2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4.3999999999999997E-2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4.2000000000000003E-2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4.4999999999999998E-2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4.2999999999999997E-2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4.4999999999999998E-2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4.2999999999999997E-2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4.7E-2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4.4999999999999998E-2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0.05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4.8000000000000001E-2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5.0999999999999997E-2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4.9000000000000002E-2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5.0999999999999997E-2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4.9000000000000002E-2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5.1999999999999998E-2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0.05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5.5E-2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5.2999999999999999E-2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5.6000000000000001E-2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5.3999999999999999E-2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5.6000000000000001E-2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5.3999999999999999E-2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5.8000000000000003E-2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5.6000000000000001E-2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6.0999999999999999E-2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5.8999999999999997E-2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6.2E-2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0.06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6.2E-2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0.06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6.4000000000000001E-2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6.2E-2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6.6000000000000003E-2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6.4000000000000001E-2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6.8000000000000005E-2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6.6000000000000003E-2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6.7000000000000004E-2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6.5000000000000002E-2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6.9000000000000006E-2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6.7000000000000004E-2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7.1999999999999995E-2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7.0000000000000007E-2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7.2999999999999995E-2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7.0999999999999994E-2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7.2999999999999995E-2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7.0999999999999994E-2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7.4999999999999997E-2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7.2999999999999995E-2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7.8E-2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7.5999999999999998E-2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7.9000000000000001E-2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7.6999999999999999E-2</v>
      </c>
      <c r="Q75" s="6"/>
    </row>
    <row r="76" spans="1:17" ht="12.5" thickTop="1" x14ac:dyDescent="0.3"/>
  </sheetData>
  <mergeCells count="12">
    <mergeCell ref="B42:D42"/>
    <mergeCell ref="E42:G42"/>
    <mergeCell ref="A1:G1"/>
    <mergeCell ref="L1:Q1"/>
    <mergeCell ref="S1:X1"/>
    <mergeCell ref="B2:D2"/>
    <mergeCell ref="E2:G2"/>
    <mergeCell ref="A39:G39"/>
    <mergeCell ref="A41:G41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76"/>
  <sheetViews>
    <sheetView zoomScale="80" zoomScaleNormal="80" workbookViewId="0">
      <selection activeCell="K3" sqref="K3:K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81640625" style="1" customWidth="1"/>
    <col min="14" max="15" width="9.1796875" style="1"/>
    <col min="16" max="16" width="19" style="1" customWidth="1"/>
    <col min="17" max="16384" width="9.1796875" style="1"/>
  </cols>
  <sheetData>
    <row r="1" spans="1:30" ht="13" thickTop="1" thickBot="1" x14ac:dyDescent="0.35">
      <c r="A1" s="33" t="s">
        <v>22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/>
      <c r="T3"/>
      <c r="U3"/>
      <c r="V3" s="1">
        <f t="shared" ref="V3:V34" si="3">ROUND(T3,3)</f>
        <v>0</v>
      </c>
      <c r="W3" s="1">
        <f t="shared" ref="W3:W34" si="4">ROUND(S3,3)</f>
        <v>0</v>
      </c>
      <c r="X3" s="1">
        <f t="shared" ref="X3:X34" si="5">ROUND(U3,3)</f>
        <v>0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0</v>
      </c>
      <c r="F4" s="3">
        <f>W3</f>
        <v>0</v>
      </c>
      <c r="G4" s="2">
        <f>X3</f>
        <v>0</v>
      </c>
      <c r="K4" s="14" t="s">
        <v>70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/>
      <c r="T4"/>
      <c r="U4"/>
      <c r="V4" s="1">
        <f t="shared" si="3"/>
        <v>0</v>
      </c>
      <c r="W4" s="1">
        <f t="shared" si="4"/>
        <v>0</v>
      </c>
      <c r="X4" s="1">
        <f t="shared" si="5"/>
        <v>0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0</v>
      </c>
      <c r="F5" s="3">
        <f t="shared" si="8"/>
        <v>0</v>
      </c>
      <c r="G5" s="2">
        <f t="shared" si="8"/>
        <v>0</v>
      </c>
      <c r="I5" s="1">
        <f>SUM(F5:F8)</f>
        <v>0</v>
      </c>
      <c r="K5" s="14" t="s">
        <v>71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/>
      <c r="T5"/>
      <c r="U5"/>
      <c r="V5" s="1">
        <f t="shared" si="3"/>
        <v>0</v>
      </c>
      <c r="W5" s="1">
        <f t="shared" si="4"/>
        <v>0</v>
      </c>
      <c r="X5" s="1">
        <f t="shared" si="5"/>
        <v>0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0</v>
      </c>
      <c r="F6" s="3">
        <f t="shared" si="8"/>
        <v>0</v>
      </c>
      <c r="G6" s="2">
        <f t="shared" si="8"/>
        <v>0</v>
      </c>
      <c r="I6" s="1">
        <f>SUM(F9:F12)</f>
        <v>0</v>
      </c>
      <c r="K6" s="14" t="s">
        <v>72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/>
      <c r="T6"/>
      <c r="U6"/>
      <c r="V6" s="1">
        <f t="shared" si="3"/>
        <v>0</v>
      </c>
      <c r="W6" s="1">
        <f t="shared" si="4"/>
        <v>0</v>
      </c>
      <c r="X6" s="1">
        <f t="shared" si="5"/>
        <v>0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0</v>
      </c>
      <c r="F7" s="3">
        <f t="shared" si="8"/>
        <v>0</v>
      </c>
      <c r="G7" s="2">
        <f t="shared" si="8"/>
        <v>0</v>
      </c>
      <c r="I7" s="1">
        <f>SUM(F13:F16)</f>
        <v>0</v>
      </c>
      <c r="K7" s="14" t="s">
        <v>73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/>
      <c r="T7"/>
      <c r="U7"/>
      <c r="V7" s="1">
        <f t="shared" si="3"/>
        <v>0</v>
      </c>
      <c r="W7" s="1">
        <f t="shared" si="4"/>
        <v>0</v>
      </c>
      <c r="X7" s="1">
        <f t="shared" si="5"/>
        <v>0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0</v>
      </c>
      <c r="F8" s="3">
        <f t="shared" si="8"/>
        <v>0</v>
      </c>
      <c r="G8" s="2">
        <f t="shared" si="8"/>
        <v>0</v>
      </c>
      <c r="I8" s="1">
        <f>SUM(F17:F20)</f>
        <v>0</v>
      </c>
      <c r="K8" s="14" t="s">
        <v>74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/>
      <c r="T8"/>
      <c r="U8"/>
      <c r="V8" s="1">
        <f t="shared" si="3"/>
        <v>0</v>
      </c>
      <c r="W8" s="1">
        <f t="shared" si="4"/>
        <v>0</v>
      </c>
      <c r="X8" s="1">
        <f t="shared" si="5"/>
        <v>0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0</v>
      </c>
      <c r="F9" s="3">
        <f t="shared" si="8"/>
        <v>0</v>
      </c>
      <c r="G9" s="2">
        <f t="shared" si="8"/>
        <v>0</v>
      </c>
      <c r="I9" s="1">
        <f>SUM(F21:F24)</f>
        <v>0</v>
      </c>
      <c r="K9" s="14" t="s">
        <v>75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/>
      <c r="T9"/>
      <c r="U9"/>
      <c r="V9" s="1">
        <f t="shared" si="3"/>
        <v>0</v>
      </c>
      <c r="W9" s="1">
        <f t="shared" si="4"/>
        <v>0</v>
      </c>
      <c r="X9" s="1">
        <f t="shared" si="5"/>
        <v>0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0</v>
      </c>
      <c r="F10" s="3">
        <f t="shared" si="8"/>
        <v>0</v>
      </c>
      <c r="G10" s="2">
        <f t="shared" si="8"/>
        <v>0</v>
      </c>
      <c r="I10" s="1">
        <f>SUM(F25:F28)</f>
        <v>0</v>
      </c>
      <c r="K10" s="14" t="s">
        <v>76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/>
      <c r="T10"/>
      <c r="U10"/>
      <c r="V10" s="1">
        <f t="shared" si="3"/>
        <v>0</v>
      </c>
      <c r="W10" s="1">
        <f t="shared" si="4"/>
        <v>0</v>
      </c>
      <c r="X10" s="1">
        <f t="shared" si="5"/>
        <v>0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0</v>
      </c>
      <c r="F11" s="3">
        <f t="shared" si="8"/>
        <v>0</v>
      </c>
      <c r="G11" s="2">
        <f t="shared" si="8"/>
        <v>0</v>
      </c>
      <c r="I11" s="1">
        <f>SUM(F29:F32)</f>
        <v>0</v>
      </c>
      <c r="K11" s="14" t="s">
        <v>77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/>
      <c r="T11"/>
      <c r="U11"/>
      <c r="V11" s="1">
        <f t="shared" si="3"/>
        <v>0</v>
      </c>
      <c r="W11" s="1">
        <f t="shared" si="4"/>
        <v>0</v>
      </c>
      <c r="X11" s="1">
        <f t="shared" si="5"/>
        <v>0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0</v>
      </c>
      <c r="F12" s="3">
        <f t="shared" si="8"/>
        <v>0</v>
      </c>
      <c r="G12" s="2">
        <f t="shared" si="8"/>
        <v>0</v>
      </c>
      <c r="K12" s="14" t="s">
        <v>78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/>
      <c r="T12"/>
      <c r="U12"/>
      <c r="V12" s="1">
        <f t="shared" si="3"/>
        <v>0</v>
      </c>
      <c r="W12" s="1">
        <f t="shared" si="4"/>
        <v>0</v>
      </c>
      <c r="X12" s="1">
        <f t="shared" si="5"/>
        <v>0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0</v>
      </c>
      <c r="F13" s="3">
        <f t="shared" si="8"/>
        <v>0</v>
      </c>
      <c r="G13" s="2">
        <f t="shared" si="8"/>
        <v>0</v>
      </c>
      <c r="K13" s="14" t="s">
        <v>79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/>
      <c r="T13"/>
      <c r="U13"/>
      <c r="V13" s="1">
        <f t="shared" si="3"/>
        <v>0</v>
      </c>
      <c r="W13" s="1">
        <f t="shared" si="4"/>
        <v>0</v>
      </c>
      <c r="X13" s="1">
        <f t="shared" si="5"/>
        <v>0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0</v>
      </c>
      <c r="F14" s="3">
        <f t="shared" si="8"/>
        <v>0</v>
      </c>
      <c r="G14" s="2">
        <f t="shared" si="8"/>
        <v>0</v>
      </c>
      <c r="K14" s="14" t="s">
        <v>84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/>
      <c r="T14"/>
      <c r="U14"/>
      <c r="V14" s="1">
        <f t="shared" si="3"/>
        <v>0</v>
      </c>
      <c r="W14" s="1">
        <f t="shared" si="4"/>
        <v>0</v>
      </c>
      <c r="X14" s="1">
        <f t="shared" si="5"/>
        <v>0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0</v>
      </c>
      <c r="F15" s="3">
        <f t="shared" si="8"/>
        <v>0</v>
      </c>
      <c r="G15" s="2">
        <f t="shared" si="8"/>
        <v>0</v>
      </c>
      <c r="K15" s="14" t="s">
        <v>81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/>
      <c r="T15"/>
      <c r="U15"/>
      <c r="V15" s="1">
        <f t="shared" si="3"/>
        <v>0</v>
      </c>
      <c r="W15" s="1">
        <f t="shared" si="4"/>
        <v>0</v>
      </c>
      <c r="X15" s="1">
        <f t="shared" si="5"/>
        <v>0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0</v>
      </c>
      <c r="F16" s="3">
        <f t="shared" si="8"/>
        <v>0</v>
      </c>
      <c r="G16" s="2">
        <f t="shared" si="8"/>
        <v>0</v>
      </c>
      <c r="K16" s="14" t="s">
        <v>82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/>
      <c r="T16"/>
      <c r="U16"/>
      <c r="V16" s="1">
        <f t="shared" si="3"/>
        <v>0</v>
      </c>
      <c r="W16" s="1">
        <f t="shared" si="4"/>
        <v>0</v>
      </c>
      <c r="X16" s="1">
        <f t="shared" si="5"/>
        <v>0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0</v>
      </c>
      <c r="F17" s="3">
        <f t="shared" si="8"/>
        <v>0</v>
      </c>
      <c r="G17" s="2">
        <f t="shared" si="8"/>
        <v>0</v>
      </c>
      <c r="K17" s="14" t="s">
        <v>83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/>
      <c r="T17"/>
      <c r="U17"/>
      <c r="V17" s="1">
        <f t="shared" si="3"/>
        <v>0</v>
      </c>
      <c r="W17" s="1">
        <f t="shared" si="4"/>
        <v>0</v>
      </c>
      <c r="X17" s="1">
        <f t="shared" si="5"/>
        <v>0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0</v>
      </c>
      <c r="F18" s="3">
        <f t="shared" si="8"/>
        <v>0</v>
      </c>
      <c r="G18" s="2">
        <f t="shared" si="8"/>
        <v>0</v>
      </c>
      <c r="K18" s="14" t="s">
        <v>80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/>
      <c r="T18"/>
      <c r="U18"/>
      <c r="V18" s="1">
        <f t="shared" si="3"/>
        <v>0</v>
      </c>
      <c r="W18" s="1">
        <f t="shared" si="4"/>
        <v>0</v>
      </c>
      <c r="X18" s="1">
        <f t="shared" si="5"/>
        <v>0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0</v>
      </c>
      <c r="F19" s="3">
        <f t="shared" si="8"/>
        <v>0</v>
      </c>
      <c r="G19" s="2">
        <f t="shared" si="8"/>
        <v>0</v>
      </c>
      <c r="K19" s="14" t="s">
        <v>92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/>
      <c r="T19"/>
      <c r="U19"/>
      <c r="V19" s="1">
        <f t="shared" si="3"/>
        <v>0</v>
      </c>
      <c r="W19" s="1">
        <f t="shared" si="4"/>
        <v>0</v>
      </c>
      <c r="X19" s="1">
        <f t="shared" si="5"/>
        <v>0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0</v>
      </c>
      <c r="F20" s="3">
        <f t="shared" si="8"/>
        <v>0</v>
      </c>
      <c r="G20" s="2">
        <f t="shared" si="8"/>
        <v>0</v>
      </c>
      <c r="K20" s="14" t="s">
        <v>93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/>
      <c r="T20"/>
      <c r="U20"/>
      <c r="V20" s="1">
        <f t="shared" si="3"/>
        <v>0</v>
      </c>
      <c r="W20" s="1">
        <f t="shared" si="4"/>
        <v>0</v>
      </c>
      <c r="X20" s="1">
        <f t="shared" si="5"/>
        <v>0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0</v>
      </c>
      <c r="F21" s="3">
        <f t="shared" si="9"/>
        <v>0</v>
      </c>
      <c r="G21" s="2">
        <f t="shared" si="9"/>
        <v>0</v>
      </c>
      <c r="K21" s="14" t="s">
        <v>94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/>
      <c r="T21"/>
      <c r="U21"/>
      <c r="V21" s="1">
        <f t="shared" si="3"/>
        <v>0</v>
      </c>
      <c r="W21" s="1">
        <f t="shared" si="4"/>
        <v>0</v>
      </c>
      <c r="X21" s="1">
        <f t="shared" si="5"/>
        <v>0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0</v>
      </c>
      <c r="F22" s="3">
        <f t="shared" si="9"/>
        <v>0</v>
      </c>
      <c r="G22" s="2">
        <f t="shared" si="9"/>
        <v>0</v>
      </c>
      <c r="K22" s="14" t="s">
        <v>95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/>
      <c r="T22"/>
      <c r="U22"/>
      <c r="V22" s="1">
        <f t="shared" si="3"/>
        <v>0</v>
      </c>
      <c r="W22" s="1">
        <f t="shared" si="4"/>
        <v>0</v>
      </c>
      <c r="X22" s="1">
        <f t="shared" si="5"/>
        <v>0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0</v>
      </c>
      <c r="F23" s="3">
        <f t="shared" si="9"/>
        <v>0</v>
      </c>
      <c r="G23" s="2">
        <f t="shared" si="9"/>
        <v>0</v>
      </c>
      <c r="K23" s="14" t="s">
        <v>96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/>
      <c r="T23"/>
      <c r="U23"/>
      <c r="V23" s="1">
        <f t="shared" si="3"/>
        <v>0</v>
      </c>
      <c r="W23" s="1">
        <f t="shared" si="4"/>
        <v>0</v>
      </c>
      <c r="X23" s="1">
        <f t="shared" si="5"/>
        <v>0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0</v>
      </c>
      <c r="F24" s="3">
        <f t="shared" si="9"/>
        <v>0</v>
      </c>
      <c r="G24" s="2">
        <f t="shared" si="9"/>
        <v>0</v>
      </c>
      <c r="K24" s="14" t="s">
        <v>97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/>
      <c r="T24"/>
      <c r="U24"/>
      <c r="V24" s="1">
        <f t="shared" si="3"/>
        <v>0</v>
      </c>
      <c r="W24" s="1">
        <f t="shared" si="4"/>
        <v>0</v>
      </c>
      <c r="X24" s="1">
        <f t="shared" si="5"/>
        <v>0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0</v>
      </c>
      <c r="F25" s="3">
        <f t="shared" si="9"/>
        <v>0</v>
      </c>
      <c r="G25" s="2">
        <f t="shared" si="9"/>
        <v>0</v>
      </c>
      <c r="K25" s="14" t="s">
        <v>98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/>
      <c r="T25"/>
      <c r="U25"/>
      <c r="V25" s="1">
        <f t="shared" si="3"/>
        <v>0</v>
      </c>
      <c r="W25" s="1">
        <f t="shared" si="4"/>
        <v>0</v>
      </c>
      <c r="X25" s="1">
        <f t="shared" si="5"/>
        <v>0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0</v>
      </c>
      <c r="F26" s="3">
        <f t="shared" si="9"/>
        <v>0</v>
      </c>
      <c r="G26" s="2">
        <f t="shared" si="9"/>
        <v>0</v>
      </c>
      <c r="K26" s="14" t="s">
        <v>99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/>
      <c r="T26"/>
      <c r="U26"/>
      <c r="V26" s="1">
        <f t="shared" si="3"/>
        <v>0</v>
      </c>
      <c r="W26" s="1">
        <f t="shared" si="4"/>
        <v>0</v>
      </c>
      <c r="X26" s="1">
        <f t="shared" si="5"/>
        <v>0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0</v>
      </c>
      <c r="F27" s="3">
        <f t="shared" si="9"/>
        <v>0</v>
      </c>
      <c r="G27" s="2">
        <f t="shared" si="9"/>
        <v>0</v>
      </c>
      <c r="K27" s="14" t="s">
        <v>100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/>
      <c r="T27"/>
      <c r="U27"/>
      <c r="V27" s="1">
        <f t="shared" si="3"/>
        <v>0</v>
      </c>
      <c r="W27" s="1">
        <f t="shared" si="4"/>
        <v>0</v>
      </c>
      <c r="X27" s="1">
        <f t="shared" si="5"/>
        <v>0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0</v>
      </c>
      <c r="F28" s="3">
        <f t="shared" si="9"/>
        <v>0</v>
      </c>
      <c r="G28" s="2">
        <f t="shared" si="9"/>
        <v>0</v>
      </c>
      <c r="K28" s="14" t="s">
        <v>101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/>
      <c r="T28"/>
      <c r="U28"/>
      <c r="V28" s="1">
        <f t="shared" si="3"/>
        <v>0</v>
      </c>
      <c r="W28" s="1">
        <f t="shared" si="4"/>
        <v>0</v>
      </c>
      <c r="X28" s="1">
        <f t="shared" si="5"/>
        <v>0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0</v>
      </c>
      <c r="F29" s="3">
        <f t="shared" si="9"/>
        <v>0</v>
      </c>
      <c r="G29" s="2">
        <f t="shared" si="9"/>
        <v>0</v>
      </c>
      <c r="K29" s="14" t="s">
        <v>102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/>
      <c r="T29"/>
      <c r="U29"/>
      <c r="V29" s="1">
        <f t="shared" si="3"/>
        <v>0</v>
      </c>
      <c r="W29" s="1">
        <f t="shared" si="4"/>
        <v>0</v>
      </c>
      <c r="X29" s="1">
        <f t="shared" si="5"/>
        <v>0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0</v>
      </c>
      <c r="F30" s="3">
        <f t="shared" si="9"/>
        <v>0</v>
      </c>
      <c r="G30" s="2">
        <f t="shared" si="9"/>
        <v>0</v>
      </c>
      <c r="K30" s="14" t="s">
        <v>103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/>
      <c r="T30"/>
      <c r="U30"/>
      <c r="V30" s="1">
        <f t="shared" si="3"/>
        <v>0</v>
      </c>
      <c r="W30" s="1">
        <f t="shared" si="4"/>
        <v>0</v>
      </c>
      <c r="X30" s="1">
        <f t="shared" si="5"/>
        <v>0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0</v>
      </c>
      <c r="F31" s="3">
        <f t="shared" si="9"/>
        <v>0</v>
      </c>
      <c r="G31" s="2">
        <f t="shared" si="9"/>
        <v>0</v>
      </c>
      <c r="K31" s="14" t="s">
        <v>104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/>
      <c r="T31"/>
      <c r="U31"/>
      <c r="V31" s="1">
        <f t="shared" si="3"/>
        <v>0</v>
      </c>
      <c r="W31" s="1">
        <f t="shared" si="4"/>
        <v>0</v>
      </c>
      <c r="X31" s="1">
        <f t="shared" si="5"/>
        <v>0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0</v>
      </c>
      <c r="F32" s="3">
        <f t="shared" si="9"/>
        <v>0</v>
      </c>
      <c r="G32" s="2">
        <f t="shared" si="9"/>
        <v>0</v>
      </c>
      <c r="K32" s="14" t="s">
        <v>105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/>
      <c r="T32"/>
      <c r="U32"/>
      <c r="V32" s="1">
        <f t="shared" si="3"/>
        <v>0</v>
      </c>
      <c r="W32" s="1">
        <f t="shared" si="4"/>
        <v>0</v>
      </c>
      <c r="X32" s="1">
        <f t="shared" si="5"/>
        <v>0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0</v>
      </c>
      <c r="F33" s="3">
        <f t="shared" si="9"/>
        <v>0</v>
      </c>
      <c r="G33" s="2">
        <f t="shared" si="9"/>
        <v>0</v>
      </c>
      <c r="K33" s="14" t="s">
        <v>106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/>
      <c r="T33"/>
      <c r="U33"/>
      <c r="V33" s="1">
        <f t="shared" si="3"/>
        <v>0</v>
      </c>
      <c r="W33" s="1">
        <f t="shared" si="4"/>
        <v>0</v>
      </c>
      <c r="X33" s="1">
        <f t="shared" si="5"/>
        <v>0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0</v>
      </c>
      <c r="F34" s="3">
        <f t="shared" si="9"/>
        <v>0</v>
      </c>
      <c r="G34" s="2">
        <f t="shared" si="9"/>
        <v>0</v>
      </c>
      <c r="K34" s="14" t="s">
        <v>107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/>
      <c r="T34"/>
      <c r="U34"/>
      <c r="V34" s="1">
        <f t="shared" si="3"/>
        <v>0</v>
      </c>
      <c r="W34" s="1">
        <f t="shared" si="4"/>
        <v>0</v>
      </c>
      <c r="X34" s="1">
        <f t="shared" si="5"/>
        <v>0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0</v>
      </c>
      <c r="F35" s="3">
        <f t="shared" si="9"/>
        <v>0</v>
      </c>
      <c r="G35" s="2">
        <f t="shared" si="9"/>
        <v>0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0</v>
      </c>
    </row>
    <row r="39" spans="1:24" x14ac:dyDescent="0.3">
      <c r="A39" s="34" t="s">
        <v>21</v>
      </c>
      <c r="B39" s="34"/>
      <c r="C39" s="34"/>
      <c r="D39" s="34"/>
      <c r="E39" s="34"/>
      <c r="F39" s="34"/>
      <c r="G39" s="34"/>
    </row>
    <row r="40" spans="1:24" ht="12.5" thickBot="1" x14ac:dyDescent="0.35"/>
    <row r="41" spans="1:24" ht="15.5" thickTop="1" thickBot="1" x14ac:dyDescent="0.4">
      <c r="A41" s="29" t="s">
        <v>64</v>
      </c>
      <c r="B41" s="30"/>
      <c r="C41" s="30"/>
      <c r="D41" s="30"/>
      <c r="E41" s="30"/>
      <c r="F41" s="30"/>
      <c r="G41" s="30"/>
      <c r="K41" s="29" t="s">
        <v>37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0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0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0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0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0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0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0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0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0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0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0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0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0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0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0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0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0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0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0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0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0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0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0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0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0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0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0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0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0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0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0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0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0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0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0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0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0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0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0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0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0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0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0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0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0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0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0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0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0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0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0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0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0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0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0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0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0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0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0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0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0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0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0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0</v>
      </c>
      <c r="Q75" s="6"/>
    </row>
    <row r="76" spans="1:17" ht="12.5" thickTop="1" x14ac:dyDescent="0.3"/>
  </sheetData>
  <mergeCells count="12">
    <mergeCell ref="S1:X1"/>
    <mergeCell ref="L1:Q1"/>
    <mergeCell ref="B42:D42"/>
    <mergeCell ref="E42:G42"/>
    <mergeCell ref="A39:G39"/>
    <mergeCell ref="A1:G1"/>
    <mergeCell ref="B2:D2"/>
    <mergeCell ref="E2:G2"/>
    <mergeCell ref="A41:G41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76"/>
  <sheetViews>
    <sheetView topLeftCell="D1" zoomScale="85" zoomScaleNormal="85" workbookViewId="0">
      <selection activeCell="S3" sqref="S3:U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8.54296875" style="1" customWidth="1"/>
    <col min="14" max="15" width="9.1796875" style="1"/>
    <col min="16" max="16" width="19.81640625" style="1" customWidth="1"/>
    <col min="17" max="16384" width="9.1796875" style="1"/>
  </cols>
  <sheetData>
    <row r="1" spans="1:30" ht="13" thickTop="1" thickBot="1" x14ac:dyDescent="0.35">
      <c r="A1" s="33" t="s">
        <v>17</v>
      </c>
      <c r="B1" s="33"/>
      <c r="C1" s="33"/>
      <c r="D1" s="33"/>
      <c r="E1" s="33"/>
      <c r="F1" s="33"/>
      <c r="G1" s="33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4"/>
      <c r="B2" s="33" t="s">
        <v>41</v>
      </c>
      <c r="C2" s="33"/>
      <c r="D2" s="33"/>
      <c r="E2" s="33" t="s">
        <v>2</v>
      </c>
      <c r="F2" s="33"/>
      <c r="G2" s="33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/>
      <c r="M3"/>
      <c r="N3"/>
      <c r="O3" s="1">
        <f t="shared" ref="O3:O34" si="0">ROUND(M3,3)</f>
        <v>0</v>
      </c>
      <c r="P3" s="1">
        <f t="shared" ref="P3:P34" si="1">ROUND(L3,3)</f>
        <v>0</v>
      </c>
      <c r="Q3" s="1">
        <f t="shared" ref="Q3:Q34" si="2">ROUND(N3,3)</f>
        <v>0</v>
      </c>
      <c r="R3" s="14" t="str">
        <f>K3</f>
        <v>2022Q1</v>
      </c>
      <c r="S3" s="53">
        <v>0.11967053228571686</v>
      </c>
      <c r="T3" s="53">
        <v>0.11129356228635236</v>
      </c>
      <c r="U3" s="53">
        <v>0.12804750228508138</v>
      </c>
      <c r="V3" s="1">
        <f t="shared" ref="V3:V34" si="3">ROUND(T3,3)</f>
        <v>0.111</v>
      </c>
      <c r="W3" s="1">
        <f t="shared" ref="W3:W34" si="4">ROUND(S3,3)</f>
        <v>0.12</v>
      </c>
      <c r="X3" s="1">
        <f t="shared" ref="X3:X34" si="5">ROUND(U3,3)</f>
        <v>0.128</v>
      </c>
    </row>
    <row r="4" spans="1:30" ht="15.5" thickTop="1" thickBot="1" x14ac:dyDescent="0.4">
      <c r="A4" s="5" t="str">
        <f>K3</f>
        <v>2022Q1</v>
      </c>
      <c r="B4" s="18" t="s">
        <v>8</v>
      </c>
      <c r="C4" s="13" t="s">
        <v>8</v>
      </c>
      <c r="D4" s="18" t="s">
        <v>8</v>
      </c>
      <c r="E4" s="2">
        <f>V3</f>
        <v>0.111</v>
      </c>
      <c r="F4" s="3">
        <f>W3</f>
        <v>0.12</v>
      </c>
      <c r="G4" s="2">
        <f>X3</f>
        <v>0.128</v>
      </c>
      <c r="K4" s="14" t="s">
        <v>70</v>
      </c>
      <c r="L4"/>
      <c r="M4"/>
      <c r="N4"/>
      <c r="O4" s="1">
        <f t="shared" si="0"/>
        <v>0</v>
      </c>
      <c r="P4" s="1">
        <f t="shared" si="1"/>
        <v>0</v>
      </c>
      <c r="Q4" s="1">
        <f t="shared" si="2"/>
        <v>0</v>
      </c>
      <c r="R4" s="14" t="str">
        <f t="shared" ref="R4:R34" si="6">K4</f>
        <v>2022Q2</v>
      </c>
      <c r="S4" s="53">
        <v>0.12193203638208897</v>
      </c>
      <c r="T4" s="53">
        <v>0.11147160246548328</v>
      </c>
      <c r="U4" s="53">
        <v>0.13239247029869464</v>
      </c>
      <c r="V4" s="1">
        <f t="shared" si="3"/>
        <v>0.111</v>
      </c>
      <c r="W4" s="1">
        <f t="shared" si="4"/>
        <v>0.122</v>
      </c>
      <c r="X4" s="1">
        <f t="shared" si="5"/>
        <v>0.13200000000000001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18" t="s">
        <v>8</v>
      </c>
      <c r="C5" s="13" t="s">
        <v>8</v>
      </c>
      <c r="D5" s="18" t="s">
        <v>8</v>
      </c>
      <c r="E5" s="2">
        <f t="shared" ref="E5:G20" si="8">V4</f>
        <v>0.111</v>
      </c>
      <c r="F5" s="3">
        <f t="shared" si="8"/>
        <v>0.122</v>
      </c>
      <c r="G5" s="2">
        <f t="shared" si="8"/>
        <v>0.13200000000000001</v>
      </c>
      <c r="I5" s="1">
        <f>SUM(F5:F8)</f>
        <v>0.49099999999999999</v>
      </c>
      <c r="K5" s="14" t="s">
        <v>71</v>
      </c>
      <c r="L5"/>
      <c r="M5"/>
      <c r="N5"/>
      <c r="O5" s="1">
        <f t="shared" si="0"/>
        <v>0</v>
      </c>
      <c r="P5" s="1">
        <f t="shared" si="1"/>
        <v>0</v>
      </c>
      <c r="Q5" s="1">
        <f t="shared" si="2"/>
        <v>0</v>
      </c>
      <c r="R5" s="14" t="str">
        <f t="shared" si="6"/>
        <v>2022Q3</v>
      </c>
      <c r="S5" s="53">
        <v>0.12093991932463885</v>
      </c>
      <c r="T5" s="53">
        <v>0.10892204487899095</v>
      </c>
      <c r="U5" s="53">
        <v>0.13295779377028674</v>
      </c>
      <c r="V5" s="1">
        <f t="shared" si="3"/>
        <v>0.109</v>
      </c>
      <c r="W5" s="1">
        <f t="shared" si="4"/>
        <v>0.121</v>
      </c>
      <c r="X5" s="1">
        <f t="shared" si="5"/>
        <v>0.13300000000000001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18" t="s">
        <v>8</v>
      </c>
      <c r="C6" s="13" t="s">
        <v>8</v>
      </c>
      <c r="D6" s="18" t="s">
        <v>8</v>
      </c>
      <c r="E6" s="2">
        <f t="shared" si="8"/>
        <v>0.109</v>
      </c>
      <c r="F6" s="3">
        <f t="shared" si="8"/>
        <v>0.121</v>
      </c>
      <c r="G6" s="2">
        <f t="shared" si="8"/>
        <v>0.13300000000000001</v>
      </c>
      <c r="I6" s="1">
        <f>SUM(F9:F12)</f>
        <v>0.51100000000000001</v>
      </c>
      <c r="K6" s="14" t="s">
        <v>72</v>
      </c>
      <c r="L6"/>
      <c r="M6"/>
      <c r="N6"/>
      <c r="O6" s="1">
        <f t="shared" si="0"/>
        <v>0</v>
      </c>
      <c r="P6" s="1">
        <f t="shared" si="1"/>
        <v>0</v>
      </c>
      <c r="Q6" s="1">
        <f t="shared" si="2"/>
        <v>0</v>
      </c>
      <c r="R6" s="14" t="str">
        <f t="shared" si="6"/>
        <v>2022Q4</v>
      </c>
      <c r="S6" s="53">
        <v>0.12269205678281934</v>
      </c>
      <c r="T6" s="53">
        <v>0.10932182927230528</v>
      </c>
      <c r="U6" s="53">
        <v>0.13606228429333342</v>
      </c>
      <c r="V6" s="1">
        <f t="shared" si="3"/>
        <v>0.109</v>
      </c>
      <c r="W6" s="1">
        <f t="shared" si="4"/>
        <v>0.123</v>
      </c>
      <c r="X6" s="1">
        <f t="shared" si="5"/>
        <v>0.13600000000000001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18" t="s">
        <v>8</v>
      </c>
      <c r="C7" s="13" t="s">
        <v>8</v>
      </c>
      <c r="D7" s="18" t="s">
        <v>8</v>
      </c>
      <c r="E7" s="2">
        <f t="shared" si="8"/>
        <v>0.109</v>
      </c>
      <c r="F7" s="3">
        <f t="shared" si="8"/>
        <v>0.123</v>
      </c>
      <c r="G7" s="2">
        <f t="shared" si="8"/>
        <v>0.13600000000000001</v>
      </c>
      <c r="I7" s="1">
        <f>SUM(F13:F16)</f>
        <v>0.53400000000000003</v>
      </c>
      <c r="K7" s="14" t="s">
        <v>73</v>
      </c>
      <c r="L7"/>
      <c r="M7"/>
      <c r="N7"/>
      <c r="O7" s="1">
        <f t="shared" si="0"/>
        <v>0</v>
      </c>
      <c r="P7" s="1">
        <f t="shared" si="1"/>
        <v>0</v>
      </c>
      <c r="Q7" s="1">
        <f t="shared" si="2"/>
        <v>0</v>
      </c>
      <c r="R7" s="14" t="str">
        <f t="shared" si="6"/>
        <v>2023Q1</v>
      </c>
      <c r="S7" s="53">
        <v>0.12487115955702825</v>
      </c>
      <c r="T7" s="53">
        <v>0.11027711592398012</v>
      </c>
      <c r="U7" s="53">
        <v>0.13946520319007638</v>
      </c>
      <c r="V7" s="1">
        <f t="shared" si="3"/>
        <v>0.11</v>
      </c>
      <c r="W7" s="1">
        <f t="shared" si="4"/>
        <v>0.125</v>
      </c>
      <c r="X7" s="1">
        <f t="shared" si="5"/>
        <v>0.13900000000000001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18" t="s">
        <v>8</v>
      </c>
      <c r="C8" s="13" t="s">
        <v>8</v>
      </c>
      <c r="D8" s="18" t="s">
        <v>8</v>
      </c>
      <c r="E8" s="2">
        <f t="shared" si="8"/>
        <v>0.11</v>
      </c>
      <c r="F8" s="3">
        <f t="shared" si="8"/>
        <v>0.125</v>
      </c>
      <c r="G8" s="2">
        <f t="shared" si="8"/>
        <v>0.13900000000000001</v>
      </c>
      <c r="I8" s="1">
        <f>SUM(F17:F20)</f>
        <v>0.55500000000000005</v>
      </c>
      <c r="K8" s="14" t="s">
        <v>74</v>
      </c>
      <c r="L8"/>
      <c r="M8"/>
      <c r="N8"/>
      <c r="O8" s="1">
        <f t="shared" si="0"/>
        <v>0</v>
      </c>
      <c r="P8" s="1">
        <f t="shared" si="1"/>
        <v>0</v>
      </c>
      <c r="Q8" s="1">
        <f t="shared" si="2"/>
        <v>0</v>
      </c>
      <c r="R8" s="14" t="str">
        <f t="shared" si="6"/>
        <v>2023Q2</v>
      </c>
      <c r="S8" s="53">
        <v>0.12724691262776139</v>
      </c>
      <c r="T8" s="53">
        <v>0.11152460230645811</v>
      </c>
      <c r="U8" s="53">
        <v>0.14296922294906469</v>
      </c>
      <c r="V8" s="1">
        <f t="shared" si="3"/>
        <v>0.112</v>
      </c>
      <c r="W8" s="1">
        <f t="shared" si="4"/>
        <v>0.127</v>
      </c>
      <c r="X8" s="1">
        <f t="shared" si="5"/>
        <v>0.14299999999999999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18" t="s">
        <v>8</v>
      </c>
      <c r="C9" s="13" t="s">
        <v>8</v>
      </c>
      <c r="D9" s="18" t="s">
        <v>8</v>
      </c>
      <c r="E9" s="2">
        <f t="shared" si="8"/>
        <v>0.112</v>
      </c>
      <c r="F9" s="3">
        <f t="shared" si="8"/>
        <v>0.127</v>
      </c>
      <c r="G9" s="2">
        <f t="shared" si="8"/>
        <v>0.14299999999999999</v>
      </c>
      <c r="I9" s="1">
        <f>SUM(F21:F24)</f>
        <v>0.57499999999999996</v>
      </c>
      <c r="K9" s="14" t="s">
        <v>75</v>
      </c>
      <c r="L9"/>
      <c r="M9"/>
      <c r="N9"/>
      <c r="O9" s="1">
        <f t="shared" si="0"/>
        <v>0</v>
      </c>
      <c r="P9" s="1">
        <f t="shared" si="1"/>
        <v>0</v>
      </c>
      <c r="Q9" s="1">
        <f t="shared" si="2"/>
        <v>0</v>
      </c>
      <c r="R9" s="14" t="str">
        <f t="shared" si="6"/>
        <v>2023Q3</v>
      </c>
      <c r="S9" s="53">
        <v>0.12627361532743636</v>
      </c>
      <c r="T9" s="53">
        <v>0.10949884326869072</v>
      </c>
      <c r="U9" s="53">
        <v>0.143048387386182</v>
      </c>
      <c r="V9" s="1">
        <f t="shared" si="3"/>
        <v>0.109</v>
      </c>
      <c r="W9" s="1">
        <f t="shared" si="4"/>
        <v>0.126</v>
      </c>
      <c r="X9" s="1">
        <f t="shared" si="5"/>
        <v>0.14299999999999999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18" t="s">
        <v>8</v>
      </c>
      <c r="C10" s="13" t="s">
        <v>8</v>
      </c>
      <c r="D10" s="18" t="s">
        <v>8</v>
      </c>
      <c r="E10" s="2">
        <f t="shared" si="8"/>
        <v>0.109</v>
      </c>
      <c r="F10" s="3">
        <f t="shared" si="8"/>
        <v>0.126</v>
      </c>
      <c r="G10" s="2">
        <f t="shared" si="8"/>
        <v>0.14299999999999999</v>
      </c>
      <c r="I10" s="1">
        <f>SUM(F25:F28)</f>
        <v>0.59799999999999998</v>
      </c>
      <c r="K10" s="14" t="s">
        <v>76</v>
      </c>
      <c r="L10"/>
      <c r="M10"/>
      <c r="N10"/>
      <c r="O10" s="1">
        <f t="shared" si="0"/>
        <v>0</v>
      </c>
      <c r="P10" s="1">
        <f t="shared" si="1"/>
        <v>0</v>
      </c>
      <c r="Q10" s="1">
        <f t="shared" si="2"/>
        <v>0</v>
      </c>
      <c r="R10" s="14" t="str">
        <f t="shared" si="6"/>
        <v>2023Q4</v>
      </c>
      <c r="S10" s="53">
        <v>0.12802885288572916</v>
      </c>
      <c r="T10" s="53">
        <v>0.11026387554774028</v>
      </c>
      <c r="U10" s="53">
        <v>0.14579383022371803</v>
      </c>
      <c r="V10" s="1">
        <f t="shared" si="3"/>
        <v>0.11</v>
      </c>
      <c r="W10" s="1">
        <f t="shared" si="4"/>
        <v>0.128</v>
      </c>
      <c r="X10" s="1">
        <f t="shared" si="5"/>
        <v>0.14599999999999999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18" t="s">
        <v>8</v>
      </c>
      <c r="C11" s="13" t="s">
        <v>8</v>
      </c>
      <c r="D11" s="18" t="s">
        <v>8</v>
      </c>
      <c r="E11" s="2">
        <f t="shared" si="8"/>
        <v>0.11</v>
      </c>
      <c r="F11" s="3">
        <f t="shared" si="8"/>
        <v>0.128</v>
      </c>
      <c r="G11" s="2">
        <f t="shared" si="8"/>
        <v>0.14599999999999999</v>
      </c>
      <c r="I11" s="1">
        <f>SUM(F29:F32)</f>
        <v>0.61899999999999999</v>
      </c>
      <c r="K11" s="14" t="s">
        <v>77</v>
      </c>
      <c r="L11"/>
      <c r="M11"/>
      <c r="N11"/>
      <c r="O11" s="1">
        <f t="shared" si="0"/>
        <v>0</v>
      </c>
      <c r="P11" s="1">
        <f t="shared" si="1"/>
        <v>0</v>
      </c>
      <c r="Q11" s="1">
        <f t="shared" si="2"/>
        <v>0</v>
      </c>
      <c r="R11" s="14" t="str">
        <f t="shared" si="6"/>
        <v>2024Q1</v>
      </c>
      <c r="S11" s="53">
        <v>0.13020846632650207</v>
      </c>
      <c r="T11" s="53">
        <v>0.11150563817914863</v>
      </c>
      <c r="U11" s="53">
        <v>0.14891129447385551</v>
      </c>
      <c r="V11" s="1">
        <f t="shared" si="3"/>
        <v>0.112</v>
      </c>
      <c r="W11" s="1">
        <f t="shared" si="4"/>
        <v>0.13</v>
      </c>
      <c r="X11" s="1">
        <f t="shared" si="5"/>
        <v>0.14899999999999999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18" t="s">
        <v>8</v>
      </c>
      <c r="C12" s="13" t="s">
        <v>8</v>
      </c>
      <c r="D12" s="18" t="s">
        <v>8</v>
      </c>
      <c r="E12" s="2">
        <f t="shared" si="8"/>
        <v>0.112</v>
      </c>
      <c r="F12" s="3">
        <f t="shared" si="8"/>
        <v>0.13</v>
      </c>
      <c r="G12" s="2">
        <f t="shared" si="8"/>
        <v>0.14899999999999999</v>
      </c>
      <c r="K12" s="14" t="s">
        <v>78</v>
      </c>
      <c r="L12"/>
      <c r="M12"/>
      <c r="N12"/>
      <c r="O12" s="1">
        <f t="shared" si="0"/>
        <v>0</v>
      </c>
      <c r="P12" s="1">
        <f t="shared" si="1"/>
        <v>0</v>
      </c>
      <c r="Q12" s="1">
        <f t="shared" si="2"/>
        <v>0</v>
      </c>
      <c r="R12" s="14" t="str">
        <f t="shared" si="6"/>
        <v>2024Q2</v>
      </c>
      <c r="S12" s="53">
        <v>0.13258430351720882</v>
      </c>
      <c r="T12" s="53">
        <v>0.1129884588503824</v>
      </c>
      <c r="U12" s="53">
        <v>0.15218014818403525</v>
      </c>
      <c r="V12" s="1">
        <f t="shared" si="3"/>
        <v>0.113</v>
      </c>
      <c r="W12" s="1">
        <f t="shared" si="4"/>
        <v>0.13300000000000001</v>
      </c>
      <c r="X12" s="1">
        <f t="shared" si="5"/>
        <v>0.152</v>
      </c>
    </row>
    <row r="13" spans="1:30" ht="15.5" thickTop="1" thickBot="1" x14ac:dyDescent="0.4">
      <c r="A13" s="5" t="str">
        <f t="shared" si="7"/>
        <v>2024Q2</v>
      </c>
      <c r="B13" s="18" t="s">
        <v>8</v>
      </c>
      <c r="C13" s="13" t="s">
        <v>8</v>
      </c>
      <c r="D13" s="18" t="s">
        <v>8</v>
      </c>
      <c r="E13" s="2">
        <f t="shared" si="8"/>
        <v>0.113</v>
      </c>
      <c r="F13" s="3">
        <f t="shared" si="8"/>
        <v>0.13300000000000001</v>
      </c>
      <c r="G13" s="2">
        <f t="shared" si="8"/>
        <v>0.152</v>
      </c>
      <c r="K13" s="14" t="s">
        <v>79</v>
      </c>
      <c r="L13"/>
      <c r="M13"/>
      <c r="N13"/>
      <c r="O13" s="1">
        <f t="shared" si="0"/>
        <v>0</v>
      </c>
      <c r="P13" s="1">
        <f t="shared" si="1"/>
        <v>0</v>
      </c>
      <c r="Q13" s="1">
        <f t="shared" si="2"/>
        <v>0</v>
      </c>
      <c r="R13" s="14" t="str">
        <f t="shared" si="6"/>
        <v>2024Q3</v>
      </c>
      <c r="S13" s="53">
        <v>0.13161102007361627</v>
      </c>
      <c r="T13" s="53">
        <v>0.11116111852135607</v>
      </c>
      <c r="U13" s="53">
        <v>0.15206092162587648</v>
      </c>
      <c r="V13" s="1">
        <f t="shared" si="3"/>
        <v>0.111</v>
      </c>
      <c r="W13" s="1">
        <f t="shared" si="4"/>
        <v>0.13200000000000001</v>
      </c>
      <c r="X13" s="1">
        <f t="shared" si="5"/>
        <v>0.152</v>
      </c>
    </row>
    <row r="14" spans="1:30" ht="15.5" thickTop="1" thickBot="1" x14ac:dyDescent="0.4">
      <c r="A14" s="5" t="str">
        <f t="shared" si="7"/>
        <v>2024Q3</v>
      </c>
      <c r="B14" s="18" t="s">
        <v>8</v>
      </c>
      <c r="C14" s="13" t="s">
        <v>8</v>
      </c>
      <c r="D14" s="18" t="s">
        <v>8</v>
      </c>
      <c r="E14" s="2">
        <f t="shared" si="8"/>
        <v>0.111</v>
      </c>
      <c r="F14" s="3">
        <f t="shared" si="8"/>
        <v>0.13200000000000001</v>
      </c>
      <c r="G14" s="2">
        <f t="shared" si="8"/>
        <v>0.152</v>
      </c>
      <c r="K14" s="14" t="s">
        <v>84</v>
      </c>
      <c r="L14"/>
      <c r="M14"/>
      <c r="N14"/>
      <c r="O14" s="1">
        <f t="shared" si="0"/>
        <v>0</v>
      </c>
      <c r="P14" s="1">
        <f t="shared" si="1"/>
        <v>0</v>
      </c>
      <c r="Q14" s="1">
        <f t="shared" si="2"/>
        <v>0</v>
      </c>
      <c r="R14" s="14" t="str">
        <f t="shared" si="6"/>
        <v>2024Q4</v>
      </c>
      <c r="S14" s="53">
        <v>0.13336625991447082</v>
      </c>
      <c r="T14" s="53">
        <v>0.11209656742904783</v>
      </c>
      <c r="U14" s="53">
        <v>0.15463595239989381</v>
      </c>
      <c r="V14" s="1">
        <f t="shared" si="3"/>
        <v>0.112</v>
      </c>
      <c r="W14" s="1">
        <f t="shared" si="4"/>
        <v>0.13300000000000001</v>
      </c>
      <c r="X14" s="1">
        <f t="shared" si="5"/>
        <v>0.155</v>
      </c>
    </row>
    <row r="15" spans="1:30" ht="15.5" thickTop="1" thickBot="1" x14ac:dyDescent="0.4">
      <c r="A15" s="5" t="str">
        <f t="shared" si="7"/>
        <v>2024Q4</v>
      </c>
      <c r="B15" s="18" t="s">
        <v>8</v>
      </c>
      <c r="C15" s="13" t="s">
        <v>8</v>
      </c>
      <c r="D15" s="18" t="s">
        <v>8</v>
      </c>
      <c r="E15" s="2">
        <f t="shared" si="8"/>
        <v>0.112</v>
      </c>
      <c r="F15" s="3">
        <f t="shared" si="8"/>
        <v>0.13300000000000001</v>
      </c>
      <c r="G15" s="2">
        <f t="shared" si="8"/>
        <v>0.155</v>
      </c>
      <c r="K15" s="14" t="s">
        <v>81</v>
      </c>
      <c r="O15" s="1">
        <f t="shared" si="0"/>
        <v>0</v>
      </c>
      <c r="P15" s="1">
        <f t="shared" si="1"/>
        <v>0</v>
      </c>
      <c r="Q15" s="1">
        <f t="shared" si="2"/>
        <v>0</v>
      </c>
      <c r="R15" s="14" t="str">
        <f t="shared" si="6"/>
        <v>2025Q1</v>
      </c>
      <c r="S15" s="53">
        <v>0.13554587373124061</v>
      </c>
      <c r="T15" s="53">
        <v>0.11348683559962844</v>
      </c>
      <c r="U15" s="53">
        <v>0.15760491186285278</v>
      </c>
      <c r="V15" s="1">
        <f t="shared" si="3"/>
        <v>0.113</v>
      </c>
      <c r="W15" s="1">
        <f t="shared" si="4"/>
        <v>0.13600000000000001</v>
      </c>
      <c r="X15" s="1">
        <f t="shared" si="5"/>
        <v>0.158</v>
      </c>
    </row>
    <row r="16" spans="1:30" ht="15.5" thickTop="1" thickBot="1" x14ac:dyDescent="0.4">
      <c r="A16" s="5" t="str">
        <f t="shared" si="7"/>
        <v>2025Q1</v>
      </c>
      <c r="B16" s="18" t="s">
        <v>8</v>
      </c>
      <c r="C16" s="13" t="s">
        <v>8</v>
      </c>
      <c r="D16" s="18" t="s">
        <v>8</v>
      </c>
      <c r="E16" s="2">
        <f t="shared" si="8"/>
        <v>0.113</v>
      </c>
      <c r="F16" s="3">
        <f t="shared" si="8"/>
        <v>0.13600000000000001</v>
      </c>
      <c r="G16" s="2">
        <f t="shared" si="8"/>
        <v>0.158</v>
      </c>
      <c r="K16" s="14" t="s">
        <v>82</v>
      </c>
      <c r="L16"/>
      <c r="M16"/>
      <c r="N16"/>
      <c r="O16" s="1">
        <f t="shared" si="0"/>
        <v>0</v>
      </c>
      <c r="P16" s="1">
        <f t="shared" si="1"/>
        <v>0</v>
      </c>
      <c r="Q16" s="1">
        <f t="shared" si="2"/>
        <v>0</v>
      </c>
      <c r="R16" s="14" t="str">
        <f t="shared" si="6"/>
        <v>2025Q2</v>
      </c>
      <c r="S16" s="53">
        <v>0.13792171098388376</v>
      </c>
      <c r="T16" s="53">
        <v>0.11510061311043521</v>
      </c>
      <c r="U16" s="53">
        <v>0.16074280885733233</v>
      </c>
      <c r="V16" s="1">
        <f t="shared" si="3"/>
        <v>0.115</v>
      </c>
      <c r="W16" s="1">
        <f t="shared" si="4"/>
        <v>0.13800000000000001</v>
      </c>
      <c r="X16" s="1">
        <f t="shared" si="5"/>
        <v>0.161</v>
      </c>
    </row>
    <row r="17" spans="1:24" ht="15.5" thickTop="1" thickBot="1" x14ac:dyDescent="0.4">
      <c r="A17" s="5" t="str">
        <f t="shared" si="7"/>
        <v>2025Q2</v>
      </c>
      <c r="B17" s="18" t="s">
        <v>8</v>
      </c>
      <c r="C17" s="13" t="s">
        <v>8</v>
      </c>
      <c r="D17" s="18" t="s">
        <v>8</v>
      </c>
      <c r="E17" s="2">
        <f t="shared" si="8"/>
        <v>0.115</v>
      </c>
      <c r="F17" s="3">
        <f t="shared" si="8"/>
        <v>0.13800000000000001</v>
      </c>
      <c r="G17" s="2">
        <f t="shared" si="8"/>
        <v>0.161</v>
      </c>
      <c r="K17" s="14" t="s">
        <v>83</v>
      </c>
      <c r="L17"/>
      <c r="M17"/>
      <c r="N17"/>
      <c r="O17" s="1">
        <f t="shared" si="0"/>
        <v>0</v>
      </c>
      <c r="P17" s="1">
        <f t="shared" si="1"/>
        <v>0</v>
      </c>
      <c r="Q17" s="1">
        <f t="shared" si="2"/>
        <v>0</v>
      </c>
      <c r="R17" s="14" t="str">
        <f t="shared" si="6"/>
        <v>2025Q3</v>
      </c>
      <c r="S17" s="53">
        <v>0.13694842755049372</v>
      </c>
      <c r="T17" s="53">
        <v>0.11338990779636882</v>
      </c>
      <c r="U17" s="53">
        <v>0.16050694730461862</v>
      </c>
      <c r="V17" s="1">
        <f t="shared" si="3"/>
        <v>0.113</v>
      </c>
      <c r="W17" s="1">
        <f t="shared" si="4"/>
        <v>0.13700000000000001</v>
      </c>
      <c r="X17" s="1">
        <f t="shared" si="5"/>
        <v>0.161</v>
      </c>
    </row>
    <row r="18" spans="1:24" ht="15.5" thickTop="1" thickBot="1" x14ac:dyDescent="0.4">
      <c r="A18" s="5" t="str">
        <f t="shared" si="7"/>
        <v>2025Q3</v>
      </c>
      <c r="B18" s="18" t="s">
        <v>8</v>
      </c>
      <c r="C18" s="13" t="s">
        <v>8</v>
      </c>
      <c r="D18" s="18" t="s">
        <v>8</v>
      </c>
      <c r="E18" s="2">
        <f t="shared" si="8"/>
        <v>0.113</v>
      </c>
      <c r="F18" s="3">
        <f t="shared" si="8"/>
        <v>0.13700000000000001</v>
      </c>
      <c r="G18" s="2">
        <f t="shared" si="8"/>
        <v>0.161</v>
      </c>
      <c r="K18" s="14" t="s">
        <v>80</v>
      </c>
      <c r="L18"/>
      <c r="M18"/>
      <c r="N18"/>
      <c r="O18" s="1">
        <f t="shared" si="0"/>
        <v>0</v>
      </c>
      <c r="P18" s="1">
        <f t="shared" si="1"/>
        <v>0</v>
      </c>
      <c r="Q18" s="1">
        <f t="shared" si="2"/>
        <v>0</v>
      </c>
      <c r="R18" s="14" t="str">
        <f t="shared" si="6"/>
        <v>2025Q4</v>
      </c>
      <c r="S18" s="53">
        <v>0.13870366739302889</v>
      </c>
      <c r="T18" s="53">
        <v>0.11443011804685374</v>
      </c>
      <c r="U18" s="53">
        <v>0.16297721673920404</v>
      </c>
      <c r="V18" s="1">
        <f t="shared" si="3"/>
        <v>0.114</v>
      </c>
      <c r="W18" s="1">
        <f t="shared" si="4"/>
        <v>0.13900000000000001</v>
      </c>
      <c r="X18" s="1">
        <f t="shared" si="5"/>
        <v>0.16300000000000001</v>
      </c>
    </row>
    <row r="19" spans="1:24" ht="15.5" thickTop="1" thickBot="1" x14ac:dyDescent="0.4">
      <c r="A19" s="5" t="str">
        <f t="shared" si="7"/>
        <v>2025Q4</v>
      </c>
      <c r="B19" s="18" t="s">
        <v>8</v>
      </c>
      <c r="C19" s="13" t="s">
        <v>8</v>
      </c>
      <c r="D19" s="18" t="s">
        <v>8</v>
      </c>
      <c r="E19" s="2">
        <f t="shared" si="8"/>
        <v>0.114</v>
      </c>
      <c r="F19" s="3">
        <f t="shared" si="8"/>
        <v>0.13900000000000001</v>
      </c>
      <c r="G19" s="2">
        <f t="shared" si="8"/>
        <v>0.16300000000000001</v>
      </c>
      <c r="K19" s="14" t="s">
        <v>92</v>
      </c>
      <c r="O19" s="1">
        <f t="shared" si="0"/>
        <v>0</v>
      </c>
      <c r="P19" s="1">
        <f t="shared" si="1"/>
        <v>0</v>
      </c>
      <c r="Q19" s="1">
        <f t="shared" si="2"/>
        <v>0</v>
      </c>
      <c r="R19" s="14" t="str">
        <f t="shared" si="6"/>
        <v>2026Q1</v>
      </c>
      <c r="S19" s="53">
        <v>0.14088328121007551</v>
      </c>
      <c r="T19" s="53">
        <v>0.11591517069452262</v>
      </c>
      <c r="U19" s="53">
        <v>0.16585139172562841</v>
      </c>
      <c r="V19" s="1">
        <f t="shared" si="3"/>
        <v>0.11600000000000001</v>
      </c>
      <c r="W19" s="1">
        <f t="shared" si="4"/>
        <v>0.14099999999999999</v>
      </c>
      <c r="X19" s="1">
        <f t="shared" si="5"/>
        <v>0.16600000000000001</v>
      </c>
    </row>
    <row r="20" spans="1:24" ht="15.5" thickTop="1" thickBot="1" x14ac:dyDescent="0.4">
      <c r="A20" s="5" t="str">
        <f t="shared" si="7"/>
        <v>2026Q1</v>
      </c>
      <c r="B20" s="18" t="s">
        <v>8</v>
      </c>
      <c r="C20" s="13" t="s">
        <v>8</v>
      </c>
      <c r="D20" s="18" t="s">
        <v>8</v>
      </c>
      <c r="E20" s="2">
        <f t="shared" si="8"/>
        <v>0.11600000000000001</v>
      </c>
      <c r="F20" s="3">
        <f t="shared" si="8"/>
        <v>0.14099999999999999</v>
      </c>
      <c r="G20" s="2">
        <f t="shared" si="8"/>
        <v>0.16600000000000001</v>
      </c>
      <c r="K20" s="14" t="s">
        <v>93</v>
      </c>
      <c r="L20"/>
      <c r="M20"/>
      <c r="N20"/>
      <c r="O20" s="1">
        <f t="shared" si="0"/>
        <v>0</v>
      </c>
      <c r="P20" s="1">
        <f t="shared" si="1"/>
        <v>0</v>
      </c>
      <c r="Q20" s="1">
        <f t="shared" si="2"/>
        <v>0</v>
      </c>
      <c r="R20" s="14" t="str">
        <f t="shared" si="6"/>
        <v>2026Q2</v>
      </c>
      <c r="S20" s="53">
        <v>0.14325911846276426</v>
      </c>
      <c r="T20" s="53">
        <v>0.11761525199195846</v>
      </c>
      <c r="U20" s="53">
        <v>0.16890298493357009</v>
      </c>
      <c r="V20" s="1">
        <f t="shared" si="3"/>
        <v>0.11799999999999999</v>
      </c>
      <c r="W20" s="1">
        <f t="shared" si="4"/>
        <v>0.14299999999999999</v>
      </c>
      <c r="X20" s="1">
        <f t="shared" si="5"/>
        <v>0.16900000000000001</v>
      </c>
    </row>
    <row r="21" spans="1:24" ht="15.5" thickTop="1" thickBot="1" x14ac:dyDescent="0.4">
      <c r="A21" s="5" t="str">
        <f t="shared" si="7"/>
        <v>2026Q2</v>
      </c>
      <c r="B21" s="18" t="s">
        <v>8</v>
      </c>
      <c r="C21" s="13" t="s">
        <v>8</v>
      </c>
      <c r="D21" s="18" t="s">
        <v>8</v>
      </c>
      <c r="E21" s="2">
        <f t="shared" ref="E21:G35" si="9">V20</f>
        <v>0.11799999999999999</v>
      </c>
      <c r="F21" s="3">
        <f t="shared" si="9"/>
        <v>0.14299999999999999</v>
      </c>
      <c r="G21" s="2">
        <f t="shared" si="9"/>
        <v>0.16900000000000001</v>
      </c>
      <c r="K21" s="14" t="s">
        <v>94</v>
      </c>
      <c r="L21"/>
      <c r="M21"/>
      <c r="N21"/>
      <c r="O21" s="1">
        <f t="shared" si="0"/>
        <v>0</v>
      </c>
      <c r="P21" s="1">
        <f t="shared" si="1"/>
        <v>0</v>
      </c>
      <c r="Q21" s="1">
        <f t="shared" si="2"/>
        <v>0</v>
      </c>
      <c r="R21" s="14" t="str">
        <f t="shared" si="6"/>
        <v>2026Q3</v>
      </c>
      <c r="S21" s="53">
        <v>0.14228583502938175</v>
      </c>
      <c r="T21" s="53">
        <v>0.11598356835085814</v>
      </c>
      <c r="U21" s="53">
        <v>0.16858810170790536</v>
      </c>
      <c r="V21" s="1">
        <f t="shared" si="3"/>
        <v>0.11600000000000001</v>
      </c>
      <c r="W21" s="1">
        <f t="shared" si="4"/>
        <v>0.14199999999999999</v>
      </c>
      <c r="X21" s="1">
        <f t="shared" si="5"/>
        <v>0.16900000000000001</v>
      </c>
    </row>
    <row r="22" spans="1:24" ht="15.5" thickTop="1" thickBot="1" x14ac:dyDescent="0.4">
      <c r="A22" s="5" t="str">
        <f t="shared" si="7"/>
        <v>2026Q3</v>
      </c>
      <c r="B22" s="18" t="s">
        <v>8</v>
      </c>
      <c r="C22" s="13" t="s">
        <v>8</v>
      </c>
      <c r="D22" s="18" t="s">
        <v>8</v>
      </c>
      <c r="E22" s="2">
        <f t="shared" si="9"/>
        <v>0.11600000000000001</v>
      </c>
      <c r="F22" s="3">
        <f t="shared" si="9"/>
        <v>0.14199999999999999</v>
      </c>
      <c r="G22" s="2">
        <f t="shared" si="9"/>
        <v>0.16900000000000001</v>
      </c>
      <c r="K22" s="14" t="s">
        <v>95</v>
      </c>
      <c r="L22"/>
      <c r="M22"/>
      <c r="N22"/>
      <c r="O22" s="1">
        <f t="shared" si="0"/>
        <v>0</v>
      </c>
      <c r="P22" s="1">
        <f t="shared" si="1"/>
        <v>0</v>
      </c>
      <c r="Q22" s="1">
        <f t="shared" si="2"/>
        <v>0</v>
      </c>
      <c r="R22" s="14" t="str">
        <f t="shared" si="6"/>
        <v>2026Q4</v>
      </c>
      <c r="S22" s="53">
        <v>0.14404107487191817</v>
      </c>
      <c r="T22" s="53">
        <v>0.11709649142210719</v>
      </c>
      <c r="U22" s="53">
        <v>0.17098565832172916</v>
      </c>
      <c r="V22" s="1">
        <f t="shared" si="3"/>
        <v>0.11700000000000001</v>
      </c>
      <c r="W22" s="1">
        <f t="shared" si="4"/>
        <v>0.14399999999999999</v>
      </c>
      <c r="X22" s="1">
        <f t="shared" si="5"/>
        <v>0.17100000000000001</v>
      </c>
    </row>
    <row r="23" spans="1:24" ht="15.5" thickTop="1" thickBot="1" x14ac:dyDescent="0.4">
      <c r="A23" s="5" t="str">
        <f t="shared" si="7"/>
        <v>2026Q4</v>
      </c>
      <c r="B23" s="18" t="s">
        <v>8</v>
      </c>
      <c r="C23" s="13" t="s">
        <v>8</v>
      </c>
      <c r="D23" s="18" t="s">
        <v>8</v>
      </c>
      <c r="E23" s="2">
        <f t="shared" si="9"/>
        <v>0.11700000000000001</v>
      </c>
      <c r="F23" s="3">
        <f t="shared" si="9"/>
        <v>0.14399999999999999</v>
      </c>
      <c r="G23" s="2">
        <f t="shared" si="9"/>
        <v>0.17100000000000001</v>
      </c>
      <c r="K23" s="14" t="s">
        <v>96</v>
      </c>
      <c r="O23" s="1">
        <f t="shared" si="0"/>
        <v>0</v>
      </c>
      <c r="P23" s="1">
        <f t="shared" si="1"/>
        <v>0</v>
      </c>
      <c r="Q23" s="1">
        <f t="shared" si="2"/>
        <v>0</v>
      </c>
      <c r="R23" s="14" t="str">
        <f t="shared" si="6"/>
        <v>2027Q1</v>
      </c>
      <c r="S23" s="53">
        <v>0.14622068868896498</v>
      </c>
      <c r="T23" s="53">
        <v>0.11864874784071344</v>
      </c>
      <c r="U23" s="53">
        <v>0.17379262953721653</v>
      </c>
      <c r="V23" s="1">
        <f t="shared" si="3"/>
        <v>0.11899999999999999</v>
      </c>
      <c r="W23" s="1">
        <f t="shared" si="4"/>
        <v>0.14599999999999999</v>
      </c>
      <c r="X23" s="1">
        <f t="shared" si="5"/>
        <v>0.17399999999999999</v>
      </c>
    </row>
    <row r="24" spans="1:24" ht="15.5" thickTop="1" thickBot="1" x14ac:dyDescent="0.4">
      <c r="A24" s="5" t="str">
        <f t="shared" si="7"/>
        <v>2027Q1</v>
      </c>
      <c r="B24" s="18" t="s">
        <v>8</v>
      </c>
      <c r="C24" s="13" t="s">
        <v>8</v>
      </c>
      <c r="D24" s="18" t="s">
        <v>8</v>
      </c>
      <c r="E24" s="2">
        <f t="shared" si="9"/>
        <v>0.11899999999999999</v>
      </c>
      <c r="F24" s="3">
        <f t="shared" si="9"/>
        <v>0.14599999999999999</v>
      </c>
      <c r="G24" s="2">
        <f t="shared" si="9"/>
        <v>0.17399999999999999</v>
      </c>
      <c r="K24" s="14" t="s">
        <v>97</v>
      </c>
      <c r="L24"/>
      <c r="M24"/>
      <c r="N24"/>
      <c r="O24" s="1">
        <f t="shared" si="0"/>
        <v>0</v>
      </c>
      <c r="P24" s="1">
        <f t="shared" si="1"/>
        <v>0</v>
      </c>
      <c r="Q24" s="1">
        <f t="shared" si="2"/>
        <v>0</v>
      </c>
      <c r="R24" s="14" t="str">
        <f t="shared" si="6"/>
        <v>2027Q2</v>
      </c>
      <c r="S24" s="53">
        <v>0.14859652594165376</v>
      </c>
      <c r="T24" s="53">
        <v>0.12041118813996803</v>
      </c>
      <c r="U24" s="53">
        <v>0.17678186374333951</v>
      </c>
      <c r="V24" s="1">
        <f t="shared" si="3"/>
        <v>0.12</v>
      </c>
      <c r="W24" s="1">
        <f t="shared" si="4"/>
        <v>0.14899999999999999</v>
      </c>
      <c r="X24" s="1">
        <f t="shared" si="5"/>
        <v>0.17699999999999999</v>
      </c>
    </row>
    <row r="25" spans="1:24" ht="15.5" thickTop="1" thickBot="1" x14ac:dyDescent="0.4">
      <c r="A25" s="5" t="str">
        <f t="shared" si="7"/>
        <v>2027Q2</v>
      </c>
      <c r="B25" s="18" t="s">
        <v>8</v>
      </c>
      <c r="C25" s="13" t="s">
        <v>8</v>
      </c>
      <c r="D25" s="18" t="s">
        <v>8</v>
      </c>
      <c r="E25" s="2">
        <f t="shared" si="9"/>
        <v>0.12</v>
      </c>
      <c r="F25" s="3">
        <f t="shared" si="9"/>
        <v>0.14899999999999999</v>
      </c>
      <c r="G25" s="2">
        <f t="shared" si="9"/>
        <v>0.17699999999999999</v>
      </c>
      <c r="K25" s="14" t="s">
        <v>98</v>
      </c>
      <c r="L25"/>
      <c r="M25"/>
      <c r="N25"/>
      <c r="O25" s="1">
        <f t="shared" si="0"/>
        <v>0</v>
      </c>
      <c r="P25" s="1">
        <f t="shared" si="1"/>
        <v>0</v>
      </c>
      <c r="Q25" s="1">
        <f t="shared" si="2"/>
        <v>0</v>
      </c>
      <c r="R25" s="14" t="str">
        <f t="shared" si="6"/>
        <v>2027Q3</v>
      </c>
      <c r="S25" s="53">
        <v>0.14762324250827125</v>
      </c>
      <c r="T25" s="53">
        <v>0.11883757573032792</v>
      </c>
      <c r="U25" s="53">
        <v>0.17640890928621458</v>
      </c>
      <c r="V25" s="1">
        <f t="shared" si="3"/>
        <v>0.11899999999999999</v>
      </c>
      <c r="W25" s="1">
        <f t="shared" si="4"/>
        <v>0.14799999999999999</v>
      </c>
      <c r="X25" s="1">
        <f t="shared" si="5"/>
        <v>0.17599999999999999</v>
      </c>
    </row>
    <row r="26" spans="1:24" ht="15.5" thickTop="1" thickBot="1" x14ac:dyDescent="0.4">
      <c r="A26" s="5" t="str">
        <f t="shared" si="7"/>
        <v>2027Q3</v>
      </c>
      <c r="B26" s="18" t="s">
        <v>8</v>
      </c>
      <c r="C26" s="13" t="s">
        <v>8</v>
      </c>
      <c r="D26" s="18" t="s">
        <v>8</v>
      </c>
      <c r="E26" s="2">
        <f t="shared" si="9"/>
        <v>0.11899999999999999</v>
      </c>
      <c r="F26" s="3">
        <f t="shared" si="9"/>
        <v>0.14799999999999999</v>
      </c>
      <c r="G26" s="2">
        <f t="shared" si="9"/>
        <v>0.17599999999999999</v>
      </c>
      <c r="K26" s="14" t="s">
        <v>99</v>
      </c>
      <c r="L26"/>
      <c r="M26"/>
      <c r="N26"/>
      <c r="O26" s="1">
        <f t="shared" si="0"/>
        <v>0</v>
      </c>
      <c r="P26" s="1">
        <f t="shared" si="1"/>
        <v>0</v>
      </c>
      <c r="Q26" s="1">
        <f t="shared" si="2"/>
        <v>0</v>
      </c>
      <c r="R26" s="14" t="str">
        <f t="shared" si="6"/>
        <v>2027Q4</v>
      </c>
      <c r="S26" s="53">
        <v>0.14937848235080767</v>
      </c>
      <c r="T26" s="53">
        <v>0.12000475332798109</v>
      </c>
      <c r="U26" s="53">
        <v>0.17875221137363426</v>
      </c>
      <c r="V26" s="1">
        <f t="shared" si="3"/>
        <v>0.12</v>
      </c>
      <c r="W26" s="1">
        <f t="shared" si="4"/>
        <v>0.14899999999999999</v>
      </c>
      <c r="X26" s="1">
        <f t="shared" si="5"/>
        <v>0.17899999999999999</v>
      </c>
    </row>
    <row r="27" spans="1:24" ht="15.5" thickTop="1" thickBot="1" x14ac:dyDescent="0.4">
      <c r="A27" s="5" t="str">
        <f t="shared" si="7"/>
        <v>2027Q4</v>
      </c>
      <c r="B27" s="18" t="s">
        <v>8</v>
      </c>
      <c r="C27" s="13" t="s">
        <v>8</v>
      </c>
      <c r="D27" s="18" t="s">
        <v>8</v>
      </c>
      <c r="E27" s="2">
        <f t="shared" si="9"/>
        <v>0.12</v>
      </c>
      <c r="F27" s="3">
        <f t="shared" si="9"/>
        <v>0.14899999999999999</v>
      </c>
      <c r="G27" s="2">
        <f t="shared" si="9"/>
        <v>0.17899999999999999</v>
      </c>
      <c r="K27" s="14" t="s">
        <v>100</v>
      </c>
      <c r="O27" s="1">
        <f t="shared" si="0"/>
        <v>0</v>
      </c>
      <c r="P27" s="1">
        <f t="shared" si="1"/>
        <v>0</v>
      </c>
      <c r="Q27" s="1">
        <f t="shared" si="2"/>
        <v>0</v>
      </c>
      <c r="R27" s="14" t="str">
        <f t="shared" si="6"/>
        <v>2028Q1</v>
      </c>
      <c r="S27" s="53">
        <v>0.15155809616785451</v>
      </c>
      <c r="T27" s="53">
        <v>0.12160784906433134</v>
      </c>
      <c r="U27" s="53">
        <v>0.18150834327137769</v>
      </c>
      <c r="V27" s="1">
        <f t="shared" si="3"/>
        <v>0.122</v>
      </c>
      <c r="W27" s="1">
        <f t="shared" si="4"/>
        <v>0.152</v>
      </c>
      <c r="X27" s="1">
        <f t="shared" si="5"/>
        <v>0.182</v>
      </c>
    </row>
    <row r="28" spans="1:24" ht="15.5" thickTop="1" thickBot="1" x14ac:dyDescent="0.4">
      <c r="A28" s="5" t="str">
        <f t="shared" si="7"/>
        <v>2028Q1</v>
      </c>
      <c r="B28" s="18" t="s">
        <v>8</v>
      </c>
      <c r="C28" s="13" t="s">
        <v>8</v>
      </c>
      <c r="D28" s="18" t="s">
        <v>8</v>
      </c>
      <c r="E28" s="2">
        <f t="shared" si="9"/>
        <v>0.122</v>
      </c>
      <c r="F28" s="3">
        <f t="shared" si="9"/>
        <v>0.152</v>
      </c>
      <c r="G28" s="2">
        <f t="shared" si="9"/>
        <v>0.182</v>
      </c>
      <c r="K28" s="14" t="s">
        <v>101</v>
      </c>
      <c r="L28"/>
      <c r="M28"/>
      <c r="N28"/>
      <c r="O28" s="1">
        <f t="shared" si="0"/>
        <v>0</v>
      </c>
      <c r="P28" s="1">
        <f t="shared" si="1"/>
        <v>0</v>
      </c>
      <c r="Q28" s="1">
        <f t="shared" si="2"/>
        <v>0</v>
      </c>
      <c r="R28" s="14" t="str">
        <f t="shared" si="6"/>
        <v>2028Q2</v>
      </c>
      <c r="S28" s="53">
        <v>0.15393393342054326</v>
      </c>
      <c r="T28" s="53">
        <v>0.12341805810264107</v>
      </c>
      <c r="U28" s="53">
        <v>0.18444980873844546</v>
      </c>
      <c r="V28" s="1">
        <f t="shared" si="3"/>
        <v>0.123</v>
      </c>
      <c r="W28" s="1">
        <f t="shared" si="4"/>
        <v>0.154</v>
      </c>
      <c r="X28" s="1">
        <f t="shared" si="5"/>
        <v>0.184</v>
      </c>
    </row>
    <row r="29" spans="1:24" ht="15.5" thickTop="1" thickBot="1" x14ac:dyDescent="0.4">
      <c r="A29" s="5" t="str">
        <f t="shared" si="7"/>
        <v>2028Q2</v>
      </c>
      <c r="B29" s="18" t="s">
        <v>8</v>
      </c>
      <c r="C29" s="13" t="s">
        <v>8</v>
      </c>
      <c r="D29" s="18" t="s">
        <v>8</v>
      </c>
      <c r="E29" s="2">
        <f t="shared" si="9"/>
        <v>0.123</v>
      </c>
      <c r="F29" s="3">
        <f t="shared" si="9"/>
        <v>0.154</v>
      </c>
      <c r="G29" s="2">
        <f t="shared" si="9"/>
        <v>0.184</v>
      </c>
      <c r="K29" s="14" t="s">
        <v>102</v>
      </c>
      <c r="L29"/>
      <c r="M29"/>
      <c r="N29"/>
      <c r="O29" s="1">
        <f t="shared" si="0"/>
        <v>0</v>
      </c>
      <c r="P29" s="1">
        <f t="shared" si="1"/>
        <v>0</v>
      </c>
      <c r="Q29" s="1">
        <f t="shared" si="2"/>
        <v>0</v>
      </c>
      <c r="R29" s="14" t="str">
        <f t="shared" si="6"/>
        <v>2028Q3</v>
      </c>
      <c r="S29" s="53">
        <v>0.15296064998716077</v>
      </c>
      <c r="T29" s="53">
        <v>0.12188944158978095</v>
      </c>
      <c r="U29" s="53">
        <v>0.18403185838454061</v>
      </c>
      <c r="V29" s="1">
        <f t="shared" si="3"/>
        <v>0.122</v>
      </c>
      <c r="W29" s="1">
        <f t="shared" si="4"/>
        <v>0.153</v>
      </c>
      <c r="X29" s="1">
        <f t="shared" si="5"/>
        <v>0.184</v>
      </c>
    </row>
    <row r="30" spans="1:24" ht="15.5" thickTop="1" thickBot="1" x14ac:dyDescent="0.4">
      <c r="A30" s="5" t="str">
        <f t="shared" si="7"/>
        <v>2028Q3</v>
      </c>
      <c r="B30" s="18" t="s">
        <v>8</v>
      </c>
      <c r="C30" s="13" t="s">
        <v>8</v>
      </c>
      <c r="D30" s="18" t="s">
        <v>8</v>
      </c>
      <c r="E30" s="2">
        <f t="shared" si="9"/>
        <v>0.122</v>
      </c>
      <c r="F30" s="3">
        <f t="shared" si="9"/>
        <v>0.153</v>
      </c>
      <c r="G30" s="2">
        <f t="shared" si="9"/>
        <v>0.184</v>
      </c>
      <c r="K30" s="14" t="s">
        <v>103</v>
      </c>
      <c r="L30"/>
      <c r="M30"/>
      <c r="N30"/>
      <c r="O30" s="1">
        <f t="shared" si="0"/>
        <v>0</v>
      </c>
      <c r="P30" s="1">
        <f t="shared" si="1"/>
        <v>0</v>
      </c>
      <c r="Q30" s="1">
        <f t="shared" si="2"/>
        <v>0</v>
      </c>
      <c r="R30" s="14" t="str">
        <f t="shared" si="6"/>
        <v>2028Q4</v>
      </c>
      <c r="S30" s="53">
        <v>0.1547158898296972</v>
      </c>
      <c r="T30" s="53">
        <v>0.12309910099640388</v>
      </c>
      <c r="U30" s="53">
        <v>0.1863326786629905</v>
      </c>
      <c r="V30" s="1">
        <f t="shared" si="3"/>
        <v>0.123</v>
      </c>
      <c r="W30" s="1">
        <f t="shared" si="4"/>
        <v>0.155</v>
      </c>
      <c r="X30" s="1">
        <f t="shared" si="5"/>
        <v>0.186</v>
      </c>
    </row>
    <row r="31" spans="1:24" ht="15.5" thickTop="1" thickBot="1" x14ac:dyDescent="0.4">
      <c r="A31" s="5" t="str">
        <f t="shared" si="7"/>
        <v>2028Q4</v>
      </c>
      <c r="B31" s="18" t="s">
        <v>8</v>
      </c>
      <c r="C31" s="13" t="s">
        <v>8</v>
      </c>
      <c r="D31" s="18" t="s">
        <v>8</v>
      </c>
      <c r="E31" s="2">
        <f t="shared" si="9"/>
        <v>0.123</v>
      </c>
      <c r="F31" s="3">
        <f t="shared" si="9"/>
        <v>0.155</v>
      </c>
      <c r="G31" s="2">
        <f t="shared" si="9"/>
        <v>0.186</v>
      </c>
      <c r="K31" s="14" t="s">
        <v>104</v>
      </c>
      <c r="O31" s="1">
        <f t="shared" si="0"/>
        <v>0</v>
      </c>
      <c r="P31" s="1">
        <f t="shared" si="1"/>
        <v>0</v>
      </c>
      <c r="Q31" s="1">
        <f t="shared" si="2"/>
        <v>0</v>
      </c>
      <c r="R31" s="14" t="str">
        <f t="shared" si="6"/>
        <v>2029Q1</v>
      </c>
      <c r="S31" s="53">
        <v>0.15689550364674401</v>
      </c>
      <c r="T31" s="53">
        <v>0.12474239056286494</v>
      </c>
      <c r="U31" s="53">
        <v>0.18904861673062306</v>
      </c>
      <c r="V31" s="1">
        <f t="shared" si="3"/>
        <v>0.125</v>
      </c>
      <c r="W31" s="1">
        <f t="shared" si="4"/>
        <v>0.157</v>
      </c>
      <c r="X31" s="1">
        <f t="shared" si="5"/>
        <v>0.189</v>
      </c>
    </row>
    <row r="32" spans="1:24" ht="15.5" thickTop="1" thickBot="1" x14ac:dyDescent="0.4">
      <c r="A32" s="5" t="str">
        <f t="shared" si="7"/>
        <v>2029Q1</v>
      </c>
      <c r="B32" s="18" t="s">
        <v>8</v>
      </c>
      <c r="C32" s="13" t="s">
        <v>8</v>
      </c>
      <c r="D32" s="18" t="s">
        <v>8</v>
      </c>
      <c r="E32" s="2">
        <f t="shared" si="9"/>
        <v>0.125</v>
      </c>
      <c r="F32" s="3">
        <f t="shared" si="9"/>
        <v>0.157</v>
      </c>
      <c r="G32" s="2">
        <f t="shared" si="9"/>
        <v>0.189</v>
      </c>
      <c r="K32" s="14" t="s">
        <v>105</v>
      </c>
      <c r="L32"/>
      <c r="M32"/>
      <c r="N32"/>
      <c r="O32" s="1">
        <f t="shared" si="0"/>
        <v>0</v>
      </c>
      <c r="P32" s="1">
        <f t="shared" si="1"/>
        <v>0</v>
      </c>
      <c r="Q32" s="1">
        <f t="shared" si="2"/>
        <v>0</v>
      </c>
      <c r="R32" s="14" t="str">
        <f t="shared" si="6"/>
        <v>2029Q2</v>
      </c>
      <c r="S32" s="53">
        <v>0.15927134089943279</v>
      </c>
      <c r="T32" s="53">
        <v>0.12659070403537567</v>
      </c>
      <c r="U32" s="53">
        <v>0.19195197776348991</v>
      </c>
      <c r="V32" s="1">
        <f t="shared" si="3"/>
        <v>0.127</v>
      </c>
      <c r="W32" s="1">
        <f t="shared" si="4"/>
        <v>0.159</v>
      </c>
      <c r="X32" s="1">
        <f t="shared" si="5"/>
        <v>0.192</v>
      </c>
    </row>
    <row r="33" spans="1:24" ht="15.5" thickTop="1" thickBot="1" x14ac:dyDescent="0.4">
      <c r="A33" s="5" t="str">
        <f t="shared" si="7"/>
        <v>2029Q2</v>
      </c>
      <c r="B33" s="18" t="s">
        <v>8</v>
      </c>
      <c r="C33" s="13" t="s">
        <v>8</v>
      </c>
      <c r="D33" s="18" t="s">
        <v>8</v>
      </c>
      <c r="E33" s="2">
        <f t="shared" si="9"/>
        <v>0.127</v>
      </c>
      <c r="F33" s="3">
        <f t="shared" si="9"/>
        <v>0.159</v>
      </c>
      <c r="G33" s="2">
        <f t="shared" si="9"/>
        <v>0.192</v>
      </c>
      <c r="K33" s="14" t="s">
        <v>106</v>
      </c>
      <c r="L33"/>
      <c r="M33"/>
      <c r="N33"/>
      <c r="O33" s="1">
        <f t="shared" si="0"/>
        <v>0</v>
      </c>
      <c r="P33" s="1">
        <f t="shared" si="1"/>
        <v>0</v>
      </c>
      <c r="Q33" s="1">
        <f t="shared" si="2"/>
        <v>0</v>
      </c>
      <c r="R33" s="14" t="str">
        <f t="shared" si="6"/>
        <v>2029Q3</v>
      </c>
      <c r="S33" s="53">
        <v>0.15829805746605027</v>
      </c>
      <c r="T33" s="53">
        <v>0.12509827778762433</v>
      </c>
      <c r="U33" s="53">
        <v>0.19149783714447621</v>
      </c>
      <c r="V33" s="1">
        <f t="shared" si="3"/>
        <v>0.125</v>
      </c>
      <c r="W33" s="1">
        <f t="shared" si="4"/>
        <v>0.158</v>
      </c>
      <c r="X33" s="1">
        <f t="shared" si="5"/>
        <v>0.191</v>
      </c>
    </row>
    <row r="34" spans="1:24" ht="15.5" thickTop="1" thickBot="1" x14ac:dyDescent="0.4">
      <c r="A34" s="5" t="str">
        <f t="shared" si="7"/>
        <v>2029Q3</v>
      </c>
      <c r="B34" s="18" t="s">
        <v>8</v>
      </c>
      <c r="C34" s="13" t="s">
        <v>8</v>
      </c>
      <c r="D34" s="18" t="s">
        <v>8</v>
      </c>
      <c r="E34" s="2">
        <f t="shared" si="9"/>
        <v>0.125</v>
      </c>
      <c r="F34" s="3">
        <f t="shared" si="9"/>
        <v>0.158</v>
      </c>
      <c r="G34" s="2">
        <f t="shared" si="9"/>
        <v>0.191</v>
      </c>
      <c r="K34" s="14" t="s">
        <v>107</v>
      </c>
      <c r="L34"/>
      <c r="M34"/>
      <c r="N34"/>
      <c r="O34" s="1">
        <f t="shared" si="0"/>
        <v>0</v>
      </c>
      <c r="P34" s="1">
        <f t="shared" si="1"/>
        <v>0</v>
      </c>
      <c r="Q34" s="1">
        <f t="shared" si="2"/>
        <v>0</v>
      </c>
      <c r="R34" s="14" t="str">
        <f t="shared" si="6"/>
        <v>2029Q4</v>
      </c>
      <c r="S34" s="53">
        <v>0.1600532973085867</v>
      </c>
      <c r="T34" s="53">
        <v>0.12634236858285033</v>
      </c>
      <c r="U34" s="53">
        <v>0.19376422603432306</v>
      </c>
      <c r="V34" s="1">
        <f t="shared" si="3"/>
        <v>0.126</v>
      </c>
      <c r="W34" s="1">
        <f t="shared" si="4"/>
        <v>0.16</v>
      </c>
      <c r="X34" s="1">
        <f t="shared" si="5"/>
        <v>0.19400000000000001</v>
      </c>
    </row>
    <row r="35" spans="1:24" ht="13" thickTop="1" thickBot="1" x14ac:dyDescent="0.35">
      <c r="A35" s="5" t="str">
        <f t="shared" si="7"/>
        <v>2029Q4</v>
      </c>
      <c r="B35" s="18" t="s">
        <v>8</v>
      </c>
      <c r="C35" s="13" t="s">
        <v>8</v>
      </c>
      <c r="D35" s="18" t="s">
        <v>8</v>
      </c>
      <c r="E35" s="2">
        <f t="shared" si="9"/>
        <v>0.126</v>
      </c>
      <c r="F35" s="3">
        <f t="shared" si="9"/>
        <v>0.16</v>
      </c>
      <c r="G35" s="2">
        <f t="shared" si="9"/>
        <v>0.19400000000000001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 t="e">
        <f>AVERAGE(C4:C35)</f>
        <v>#DIV/0!</v>
      </c>
      <c r="F38" s="1">
        <f>AVERAGE(F4:F35)</f>
        <v>0.14000000000000001</v>
      </c>
    </row>
    <row r="40" spans="1:24" ht="12.5" thickBot="1" x14ac:dyDescent="0.35"/>
    <row r="41" spans="1:24" ht="15.5" thickTop="1" thickBot="1" x14ac:dyDescent="0.4">
      <c r="A41" s="29" t="s">
        <v>65</v>
      </c>
      <c r="B41" s="30"/>
      <c r="C41" s="30"/>
      <c r="D41" s="30"/>
      <c r="E41" s="30"/>
      <c r="F41" s="30"/>
      <c r="G41" s="30"/>
      <c r="K41" s="29" t="s">
        <v>38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8" t="s">
        <v>8</v>
      </c>
      <c r="D44" s="6"/>
      <c r="E44" s="6"/>
      <c r="F44" s="9">
        <f>ROUND(F4-((G4-F4)*(0.5/2)),3)</f>
        <v>0.11799999999999999</v>
      </c>
      <c r="G44" s="6"/>
      <c r="K44" s="7" t="str">
        <f>A4</f>
        <v>2022Q1</v>
      </c>
      <c r="L44" s="6"/>
      <c r="M44" s="8" t="s">
        <v>8</v>
      </c>
      <c r="N44" s="6"/>
      <c r="O44" s="6"/>
      <c r="P44" s="9">
        <f>ROUND(F4-((G4-F4)*(1/2)),3)</f>
        <v>0.11600000000000001</v>
      </c>
      <c r="Q44" s="6"/>
    </row>
    <row r="45" spans="1:24" ht="15.5" thickTop="1" thickBot="1" x14ac:dyDescent="0.4">
      <c r="A45" s="7" t="str">
        <f t="shared" ref="A45:A75" si="10">A5</f>
        <v>2022Q2</v>
      </c>
      <c r="B45" s="6"/>
      <c r="C45" s="8" t="s">
        <v>8</v>
      </c>
      <c r="D45" s="6"/>
      <c r="E45" s="6"/>
      <c r="F45" s="9">
        <f t="shared" ref="F45:F75" si="11">ROUND(F5-((G5-F5)*(0.5/2)),3)</f>
        <v>0.12</v>
      </c>
      <c r="G45" s="6"/>
      <c r="K45" s="7" t="str">
        <f t="shared" ref="K45:K75" si="12">A5</f>
        <v>2022Q2</v>
      </c>
      <c r="L45" s="6"/>
      <c r="M45" s="8" t="s">
        <v>8</v>
      </c>
      <c r="N45" s="6"/>
      <c r="O45" s="6"/>
      <c r="P45" s="9">
        <f t="shared" ref="P45:P75" si="13">ROUND(F5-((G5-F5)*(1/2)),3)</f>
        <v>0.11700000000000001</v>
      </c>
      <c r="Q45" s="6"/>
    </row>
    <row r="46" spans="1:24" ht="15.5" thickTop="1" thickBot="1" x14ac:dyDescent="0.4">
      <c r="A46" s="7" t="str">
        <f t="shared" si="10"/>
        <v>2022Q3</v>
      </c>
      <c r="B46" s="6"/>
      <c r="C46" s="8" t="s">
        <v>8</v>
      </c>
      <c r="D46" s="6"/>
      <c r="E46" s="6"/>
      <c r="F46" s="9">
        <f t="shared" si="11"/>
        <v>0.11799999999999999</v>
      </c>
      <c r="G46" s="6"/>
      <c r="K46" s="7" t="str">
        <f t="shared" si="12"/>
        <v>2022Q3</v>
      </c>
      <c r="L46" s="6"/>
      <c r="M46" s="8" t="s">
        <v>8</v>
      </c>
      <c r="N46" s="6"/>
      <c r="O46" s="6"/>
      <c r="P46" s="9">
        <f t="shared" si="13"/>
        <v>0.115</v>
      </c>
      <c r="Q46" s="6"/>
    </row>
    <row r="47" spans="1:24" ht="15.5" thickTop="1" thickBot="1" x14ac:dyDescent="0.4">
      <c r="A47" s="7" t="str">
        <f t="shared" si="10"/>
        <v>2022Q4</v>
      </c>
      <c r="B47" s="6"/>
      <c r="C47" s="8" t="s">
        <v>8</v>
      </c>
      <c r="D47" s="6"/>
      <c r="E47" s="6"/>
      <c r="F47" s="9">
        <f t="shared" si="11"/>
        <v>0.12</v>
      </c>
      <c r="G47" s="6"/>
      <c r="K47" s="7" t="str">
        <f t="shared" si="12"/>
        <v>2022Q4</v>
      </c>
      <c r="L47" s="6"/>
      <c r="M47" s="8" t="s">
        <v>8</v>
      </c>
      <c r="N47" s="6"/>
      <c r="O47" s="6"/>
      <c r="P47" s="9">
        <f t="shared" si="13"/>
        <v>0.11700000000000001</v>
      </c>
      <c r="Q47" s="6"/>
    </row>
    <row r="48" spans="1:24" ht="15.5" thickTop="1" thickBot="1" x14ac:dyDescent="0.4">
      <c r="A48" s="7" t="str">
        <f t="shared" si="10"/>
        <v>2023Q1</v>
      </c>
      <c r="B48" s="6"/>
      <c r="C48" s="8" t="s">
        <v>8</v>
      </c>
      <c r="D48" s="6"/>
      <c r="E48" s="6"/>
      <c r="F48" s="9">
        <f t="shared" si="11"/>
        <v>0.122</v>
      </c>
      <c r="G48" s="6"/>
      <c r="K48" s="7" t="str">
        <f t="shared" si="12"/>
        <v>2023Q1</v>
      </c>
      <c r="L48" s="6"/>
      <c r="M48" s="8" t="s">
        <v>8</v>
      </c>
      <c r="N48" s="6"/>
      <c r="O48" s="6"/>
      <c r="P48" s="9">
        <f t="shared" si="13"/>
        <v>0.11799999999999999</v>
      </c>
      <c r="Q48" s="6"/>
    </row>
    <row r="49" spans="1:17" ht="15.5" thickTop="1" thickBot="1" x14ac:dyDescent="0.4">
      <c r="A49" s="7" t="str">
        <f t="shared" si="10"/>
        <v>2023Q2</v>
      </c>
      <c r="B49" s="6"/>
      <c r="C49" s="8" t="s">
        <v>8</v>
      </c>
      <c r="D49" s="6"/>
      <c r="E49" s="6"/>
      <c r="F49" s="9">
        <f t="shared" si="11"/>
        <v>0.123</v>
      </c>
      <c r="G49" s="6"/>
      <c r="K49" s="7" t="str">
        <f t="shared" si="12"/>
        <v>2023Q2</v>
      </c>
      <c r="L49" s="6"/>
      <c r="M49" s="8" t="s">
        <v>8</v>
      </c>
      <c r="N49" s="6"/>
      <c r="O49" s="6"/>
      <c r="P49" s="9">
        <f t="shared" si="13"/>
        <v>0.11899999999999999</v>
      </c>
      <c r="Q49" s="6"/>
    </row>
    <row r="50" spans="1:17" ht="15.5" thickTop="1" thickBot="1" x14ac:dyDescent="0.4">
      <c r="A50" s="7" t="str">
        <f t="shared" si="10"/>
        <v>2023Q3</v>
      </c>
      <c r="B50" s="6"/>
      <c r="C50" s="8" t="s">
        <v>8</v>
      </c>
      <c r="D50" s="6"/>
      <c r="E50" s="6"/>
      <c r="F50" s="9">
        <f t="shared" si="11"/>
        <v>0.122</v>
      </c>
      <c r="G50" s="6"/>
      <c r="K50" s="7" t="str">
        <f t="shared" si="12"/>
        <v>2023Q3</v>
      </c>
      <c r="L50" s="6"/>
      <c r="M50" s="8" t="s">
        <v>8</v>
      </c>
      <c r="N50" s="6"/>
      <c r="O50" s="6"/>
      <c r="P50" s="9">
        <f t="shared" si="13"/>
        <v>0.11799999999999999</v>
      </c>
      <c r="Q50" s="6"/>
    </row>
    <row r="51" spans="1:17" ht="15.5" thickTop="1" thickBot="1" x14ac:dyDescent="0.4">
      <c r="A51" s="7" t="str">
        <f t="shared" si="10"/>
        <v>2023Q4</v>
      </c>
      <c r="B51" s="6"/>
      <c r="C51" s="8" t="s">
        <v>8</v>
      </c>
      <c r="D51" s="6"/>
      <c r="E51" s="6"/>
      <c r="F51" s="9">
        <f t="shared" si="11"/>
        <v>0.124</v>
      </c>
      <c r="G51" s="6"/>
      <c r="K51" s="7" t="str">
        <f t="shared" si="12"/>
        <v>2023Q4</v>
      </c>
      <c r="L51" s="6"/>
      <c r="M51" s="8" t="s">
        <v>8</v>
      </c>
      <c r="N51" s="6"/>
      <c r="O51" s="6"/>
      <c r="P51" s="9">
        <f t="shared" si="13"/>
        <v>0.11899999999999999</v>
      </c>
      <c r="Q51" s="6"/>
    </row>
    <row r="52" spans="1:17" ht="15.5" thickTop="1" thickBot="1" x14ac:dyDescent="0.4">
      <c r="A52" s="7" t="str">
        <f t="shared" si="10"/>
        <v>2024Q1</v>
      </c>
      <c r="B52" s="6"/>
      <c r="C52" s="8" t="s">
        <v>8</v>
      </c>
      <c r="D52" s="6"/>
      <c r="E52" s="6"/>
      <c r="F52" s="9">
        <f t="shared" si="11"/>
        <v>0.125</v>
      </c>
      <c r="G52" s="6"/>
      <c r="K52" s="7" t="str">
        <f t="shared" si="12"/>
        <v>2024Q1</v>
      </c>
      <c r="L52" s="6"/>
      <c r="M52" s="8" t="s">
        <v>8</v>
      </c>
      <c r="N52" s="6"/>
      <c r="O52" s="6"/>
      <c r="P52" s="9">
        <f t="shared" si="13"/>
        <v>0.121</v>
      </c>
      <c r="Q52" s="6"/>
    </row>
    <row r="53" spans="1:17" ht="15.5" thickTop="1" thickBot="1" x14ac:dyDescent="0.4">
      <c r="A53" s="7" t="str">
        <f t="shared" si="10"/>
        <v>2024Q2</v>
      </c>
      <c r="B53" s="6"/>
      <c r="C53" s="8" t="s">
        <v>8</v>
      </c>
      <c r="D53" s="6"/>
      <c r="E53" s="6"/>
      <c r="F53" s="9">
        <f t="shared" si="11"/>
        <v>0.128</v>
      </c>
      <c r="G53" s="6"/>
      <c r="K53" s="7" t="str">
        <f t="shared" si="12"/>
        <v>2024Q2</v>
      </c>
      <c r="L53" s="6"/>
      <c r="M53" s="8" t="s">
        <v>8</v>
      </c>
      <c r="N53" s="6"/>
      <c r="O53" s="6"/>
      <c r="P53" s="9">
        <f t="shared" si="13"/>
        <v>0.124</v>
      </c>
      <c r="Q53" s="6"/>
    </row>
    <row r="54" spans="1:17" ht="15.5" thickTop="1" thickBot="1" x14ac:dyDescent="0.4">
      <c r="A54" s="7" t="str">
        <f t="shared" si="10"/>
        <v>2024Q3</v>
      </c>
      <c r="B54" s="6"/>
      <c r="C54" s="8" t="s">
        <v>8</v>
      </c>
      <c r="D54" s="6"/>
      <c r="E54" s="6"/>
      <c r="F54" s="9">
        <f t="shared" si="11"/>
        <v>0.127</v>
      </c>
      <c r="G54" s="6"/>
      <c r="K54" s="7" t="str">
        <f t="shared" si="12"/>
        <v>2024Q3</v>
      </c>
      <c r="L54" s="6"/>
      <c r="M54" s="8" t="s">
        <v>8</v>
      </c>
      <c r="N54" s="6"/>
      <c r="O54" s="6"/>
      <c r="P54" s="9">
        <f t="shared" si="13"/>
        <v>0.122</v>
      </c>
      <c r="Q54" s="6"/>
    </row>
    <row r="55" spans="1:17" ht="15.5" thickTop="1" thickBot="1" x14ac:dyDescent="0.4">
      <c r="A55" s="7" t="str">
        <f t="shared" si="10"/>
        <v>2024Q4</v>
      </c>
      <c r="B55" s="6"/>
      <c r="C55" s="8" t="s">
        <v>8</v>
      </c>
      <c r="D55" s="6"/>
      <c r="E55" s="6"/>
      <c r="F55" s="9">
        <f t="shared" si="11"/>
        <v>0.128</v>
      </c>
      <c r="G55" s="6"/>
      <c r="K55" s="7" t="str">
        <f t="shared" si="12"/>
        <v>2024Q4</v>
      </c>
      <c r="L55" s="6"/>
      <c r="M55" s="8" t="s">
        <v>8</v>
      </c>
      <c r="N55" s="6"/>
      <c r="O55" s="6"/>
      <c r="P55" s="9">
        <f t="shared" si="13"/>
        <v>0.122</v>
      </c>
      <c r="Q55" s="6"/>
    </row>
    <row r="56" spans="1:17" ht="15.5" thickTop="1" thickBot="1" x14ac:dyDescent="0.4">
      <c r="A56" s="7" t="str">
        <f t="shared" si="10"/>
        <v>2025Q1</v>
      </c>
      <c r="B56" s="6"/>
      <c r="C56" s="8" t="s">
        <v>8</v>
      </c>
      <c r="D56" s="6"/>
      <c r="E56" s="6"/>
      <c r="F56" s="9">
        <f t="shared" si="11"/>
        <v>0.13100000000000001</v>
      </c>
      <c r="G56" s="6"/>
      <c r="K56" s="7" t="str">
        <f t="shared" si="12"/>
        <v>2025Q1</v>
      </c>
      <c r="L56" s="6"/>
      <c r="M56" s="8" t="s">
        <v>8</v>
      </c>
      <c r="N56" s="6"/>
      <c r="O56" s="6"/>
      <c r="P56" s="9">
        <f t="shared" si="13"/>
        <v>0.125</v>
      </c>
      <c r="Q56" s="6"/>
    </row>
    <row r="57" spans="1:17" ht="15.5" thickTop="1" thickBot="1" x14ac:dyDescent="0.4">
      <c r="A57" s="7" t="str">
        <f t="shared" si="10"/>
        <v>2025Q2</v>
      </c>
      <c r="B57" s="6"/>
      <c r="C57" s="8" t="s">
        <v>8</v>
      </c>
      <c r="D57" s="6"/>
      <c r="E57" s="6"/>
      <c r="F57" s="9">
        <f t="shared" si="11"/>
        <v>0.13200000000000001</v>
      </c>
      <c r="G57" s="6"/>
      <c r="K57" s="7" t="str">
        <f t="shared" si="12"/>
        <v>2025Q2</v>
      </c>
      <c r="L57" s="6"/>
      <c r="M57" s="8" t="s">
        <v>8</v>
      </c>
      <c r="N57" s="6"/>
      <c r="O57" s="6"/>
      <c r="P57" s="9">
        <f t="shared" si="13"/>
        <v>0.127</v>
      </c>
      <c r="Q57" s="6"/>
    </row>
    <row r="58" spans="1:17" ht="15.5" thickTop="1" thickBot="1" x14ac:dyDescent="0.4">
      <c r="A58" s="7" t="str">
        <f t="shared" si="10"/>
        <v>2025Q3</v>
      </c>
      <c r="B58" s="6"/>
      <c r="C58" s="8" t="s">
        <v>8</v>
      </c>
      <c r="D58" s="6"/>
      <c r="E58" s="6"/>
      <c r="F58" s="9">
        <f t="shared" si="11"/>
        <v>0.13100000000000001</v>
      </c>
      <c r="G58" s="6"/>
      <c r="K58" s="7" t="str">
        <f t="shared" si="12"/>
        <v>2025Q3</v>
      </c>
      <c r="L58" s="6"/>
      <c r="M58" s="8" t="s">
        <v>8</v>
      </c>
      <c r="N58" s="6"/>
      <c r="O58" s="6"/>
      <c r="P58" s="9">
        <f t="shared" si="13"/>
        <v>0.125</v>
      </c>
      <c r="Q58" s="6"/>
    </row>
    <row r="59" spans="1:17" ht="15.5" thickTop="1" thickBot="1" x14ac:dyDescent="0.4">
      <c r="A59" s="7" t="str">
        <f t="shared" si="10"/>
        <v>2025Q4</v>
      </c>
      <c r="B59" s="6"/>
      <c r="C59" s="8" t="s">
        <v>8</v>
      </c>
      <c r="D59" s="6"/>
      <c r="E59" s="6"/>
      <c r="F59" s="9">
        <f t="shared" si="11"/>
        <v>0.13300000000000001</v>
      </c>
      <c r="G59" s="6"/>
      <c r="K59" s="7" t="str">
        <f t="shared" si="12"/>
        <v>2025Q4</v>
      </c>
      <c r="L59" s="6"/>
      <c r="M59" s="8" t="s">
        <v>8</v>
      </c>
      <c r="N59" s="6"/>
      <c r="O59" s="6"/>
      <c r="P59" s="9">
        <f t="shared" si="13"/>
        <v>0.127</v>
      </c>
      <c r="Q59" s="6"/>
    </row>
    <row r="60" spans="1:17" ht="15.5" thickTop="1" thickBot="1" x14ac:dyDescent="0.4">
      <c r="A60" s="7" t="str">
        <f t="shared" si="10"/>
        <v>2026Q1</v>
      </c>
      <c r="B60" s="6"/>
      <c r="C60" s="8" t="s">
        <v>8</v>
      </c>
      <c r="D60" s="6"/>
      <c r="E60" s="6"/>
      <c r="F60" s="9">
        <f t="shared" si="11"/>
        <v>0.13500000000000001</v>
      </c>
      <c r="G60" s="6"/>
      <c r="K60" s="7" t="str">
        <f t="shared" si="12"/>
        <v>2026Q1</v>
      </c>
      <c r="L60" s="6"/>
      <c r="M60" s="8" t="s">
        <v>8</v>
      </c>
      <c r="N60" s="6"/>
      <c r="O60" s="6"/>
      <c r="P60" s="9">
        <f t="shared" si="13"/>
        <v>0.129</v>
      </c>
      <c r="Q60" s="6"/>
    </row>
    <row r="61" spans="1:17" ht="15.5" thickTop="1" thickBot="1" x14ac:dyDescent="0.4">
      <c r="A61" s="7" t="str">
        <f t="shared" si="10"/>
        <v>2026Q2</v>
      </c>
      <c r="B61" s="6"/>
      <c r="C61" s="8" t="s">
        <v>8</v>
      </c>
      <c r="D61" s="6"/>
      <c r="E61" s="6"/>
      <c r="F61" s="9">
        <f t="shared" si="11"/>
        <v>0.13700000000000001</v>
      </c>
      <c r="G61" s="6"/>
      <c r="K61" s="7" t="str">
        <f t="shared" si="12"/>
        <v>2026Q2</v>
      </c>
      <c r="L61" s="6"/>
      <c r="M61" s="8" t="s">
        <v>8</v>
      </c>
      <c r="N61" s="6"/>
      <c r="O61" s="6"/>
      <c r="P61" s="9">
        <f t="shared" si="13"/>
        <v>0.13</v>
      </c>
      <c r="Q61" s="6"/>
    </row>
    <row r="62" spans="1:17" ht="15.5" thickTop="1" thickBot="1" x14ac:dyDescent="0.4">
      <c r="A62" s="7" t="str">
        <f t="shared" si="10"/>
        <v>2026Q3</v>
      </c>
      <c r="B62" s="6"/>
      <c r="C62" s="8" t="s">
        <v>8</v>
      </c>
      <c r="D62" s="6"/>
      <c r="E62" s="6"/>
      <c r="F62" s="9">
        <f t="shared" si="11"/>
        <v>0.13500000000000001</v>
      </c>
      <c r="G62" s="6"/>
      <c r="K62" s="7" t="str">
        <f t="shared" si="12"/>
        <v>2026Q3</v>
      </c>
      <c r="L62" s="6"/>
      <c r="M62" s="8" t="s">
        <v>8</v>
      </c>
      <c r="N62" s="6"/>
      <c r="O62" s="6"/>
      <c r="P62" s="9">
        <f t="shared" si="13"/>
        <v>0.129</v>
      </c>
      <c r="Q62" s="6"/>
    </row>
    <row r="63" spans="1:17" ht="15.5" thickTop="1" thickBot="1" x14ac:dyDescent="0.4">
      <c r="A63" s="7" t="str">
        <f t="shared" si="10"/>
        <v>2026Q4</v>
      </c>
      <c r="B63" s="6"/>
      <c r="C63" s="8" t="s">
        <v>8</v>
      </c>
      <c r="D63" s="6"/>
      <c r="E63" s="6"/>
      <c r="F63" s="9">
        <f t="shared" si="11"/>
        <v>0.13700000000000001</v>
      </c>
      <c r="G63" s="6"/>
      <c r="K63" s="7" t="str">
        <f t="shared" si="12"/>
        <v>2026Q4</v>
      </c>
      <c r="L63" s="6"/>
      <c r="M63" s="8" t="s">
        <v>8</v>
      </c>
      <c r="N63" s="6"/>
      <c r="O63" s="6"/>
      <c r="P63" s="9">
        <f t="shared" si="13"/>
        <v>0.13100000000000001</v>
      </c>
      <c r="Q63" s="6"/>
    </row>
    <row r="64" spans="1:17" ht="15.5" thickTop="1" thickBot="1" x14ac:dyDescent="0.4">
      <c r="A64" s="7" t="str">
        <f t="shared" si="10"/>
        <v>2027Q1</v>
      </c>
      <c r="B64" s="6"/>
      <c r="C64" s="8" t="s">
        <v>8</v>
      </c>
      <c r="D64" s="6"/>
      <c r="E64" s="6"/>
      <c r="F64" s="9">
        <f t="shared" si="11"/>
        <v>0.13900000000000001</v>
      </c>
      <c r="G64" s="6"/>
      <c r="K64" s="7" t="str">
        <f t="shared" si="12"/>
        <v>2027Q1</v>
      </c>
      <c r="L64" s="6"/>
      <c r="M64" s="8" t="s">
        <v>8</v>
      </c>
      <c r="N64" s="6"/>
      <c r="O64" s="6"/>
      <c r="P64" s="9">
        <f t="shared" si="13"/>
        <v>0.13200000000000001</v>
      </c>
      <c r="Q64" s="6"/>
    </row>
    <row r="65" spans="1:17" ht="15.5" thickTop="1" thickBot="1" x14ac:dyDescent="0.4">
      <c r="A65" s="7" t="str">
        <f t="shared" si="10"/>
        <v>2027Q2</v>
      </c>
      <c r="B65" s="6"/>
      <c r="C65" s="8" t="s">
        <v>8</v>
      </c>
      <c r="D65" s="6"/>
      <c r="E65" s="6"/>
      <c r="F65" s="9">
        <f t="shared" si="11"/>
        <v>0.14199999999999999</v>
      </c>
      <c r="G65" s="6"/>
      <c r="K65" s="7" t="str">
        <f t="shared" si="12"/>
        <v>2027Q2</v>
      </c>
      <c r="L65" s="6"/>
      <c r="M65" s="8" t="s">
        <v>8</v>
      </c>
      <c r="N65" s="6"/>
      <c r="O65" s="6"/>
      <c r="P65" s="9">
        <f t="shared" si="13"/>
        <v>0.13500000000000001</v>
      </c>
      <c r="Q65" s="6"/>
    </row>
    <row r="66" spans="1:17" ht="15.5" thickTop="1" thickBot="1" x14ac:dyDescent="0.4">
      <c r="A66" s="7" t="str">
        <f t="shared" si="10"/>
        <v>2027Q3</v>
      </c>
      <c r="B66" s="6"/>
      <c r="C66" s="8" t="s">
        <v>8</v>
      </c>
      <c r="D66" s="6"/>
      <c r="E66" s="6"/>
      <c r="F66" s="9">
        <f t="shared" si="11"/>
        <v>0.14099999999999999</v>
      </c>
      <c r="G66" s="6"/>
      <c r="K66" s="7" t="str">
        <f t="shared" si="12"/>
        <v>2027Q3</v>
      </c>
      <c r="L66" s="6"/>
      <c r="M66" s="8" t="s">
        <v>8</v>
      </c>
      <c r="N66" s="6"/>
      <c r="O66" s="6"/>
      <c r="P66" s="9">
        <f t="shared" si="13"/>
        <v>0.13400000000000001</v>
      </c>
      <c r="Q66" s="6"/>
    </row>
    <row r="67" spans="1:17" ht="15.5" thickTop="1" thickBot="1" x14ac:dyDescent="0.4">
      <c r="A67" s="7" t="str">
        <f t="shared" si="10"/>
        <v>2027Q4</v>
      </c>
      <c r="B67" s="6"/>
      <c r="C67" s="8" t="s">
        <v>8</v>
      </c>
      <c r="D67" s="6"/>
      <c r="E67" s="6"/>
      <c r="F67" s="9">
        <f t="shared" si="11"/>
        <v>0.14199999999999999</v>
      </c>
      <c r="G67" s="6"/>
      <c r="K67" s="7" t="str">
        <f t="shared" si="12"/>
        <v>2027Q4</v>
      </c>
      <c r="L67" s="6"/>
      <c r="M67" s="8" t="s">
        <v>8</v>
      </c>
      <c r="N67" s="6"/>
      <c r="O67" s="6"/>
      <c r="P67" s="9">
        <f t="shared" si="13"/>
        <v>0.13400000000000001</v>
      </c>
      <c r="Q67" s="6"/>
    </row>
    <row r="68" spans="1:17" ht="15.5" thickTop="1" thickBot="1" x14ac:dyDescent="0.4">
      <c r="A68" s="7" t="str">
        <f t="shared" si="10"/>
        <v>2028Q1</v>
      </c>
      <c r="B68" s="6"/>
      <c r="C68" s="8" t="s">
        <v>8</v>
      </c>
      <c r="D68" s="6"/>
      <c r="E68" s="6"/>
      <c r="F68" s="9">
        <f t="shared" si="11"/>
        <v>0.14499999999999999</v>
      </c>
      <c r="G68" s="6"/>
      <c r="K68" s="7" t="str">
        <f t="shared" si="12"/>
        <v>2028Q1</v>
      </c>
      <c r="L68" s="6"/>
      <c r="M68" s="8" t="s">
        <v>8</v>
      </c>
      <c r="N68" s="6"/>
      <c r="O68" s="6"/>
      <c r="P68" s="9">
        <f t="shared" si="13"/>
        <v>0.13700000000000001</v>
      </c>
      <c r="Q68" s="6"/>
    </row>
    <row r="69" spans="1:17" ht="15.5" thickTop="1" thickBot="1" x14ac:dyDescent="0.4">
      <c r="A69" s="7" t="str">
        <f t="shared" si="10"/>
        <v>2028Q2</v>
      </c>
      <c r="B69" s="6"/>
      <c r="C69" s="8" t="s">
        <v>8</v>
      </c>
      <c r="D69" s="6"/>
      <c r="E69" s="6"/>
      <c r="F69" s="9">
        <f t="shared" si="11"/>
        <v>0.14699999999999999</v>
      </c>
      <c r="G69" s="6"/>
      <c r="K69" s="7" t="str">
        <f t="shared" si="12"/>
        <v>2028Q2</v>
      </c>
      <c r="L69" s="6"/>
      <c r="M69" s="8" t="s">
        <v>8</v>
      </c>
      <c r="N69" s="6"/>
      <c r="O69" s="6"/>
      <c r="P69" s="9">
        <f t="shared" si="13"/>
        <v>0.13900000000000001</v>
      </c>
      <c r="Q69" s="6"/>
    </row>
    <row r="70" spans="1:17" ht="15.5" thickTop="1" thickBot="1" x14ac:dyDescent="0.4">
      <c r="A70" s="7" t="str">
        <f t="shared" si="10"/>
        <v>2028Q3</v>
      </c>
      <c r="B70" s="6"/>
      <c r="C70" s="8" t="s">
        <v>8</v>
      </c>
      <c r="D70" s="6"/>
      <c r="E70" s="6"/>
      <c r="F70" s="9">
        <f t="shared" si="11"/>
        <v>0.14499999999999999</v>
      </c>
      <c r="G70" s="6"/>
      <c r="K70" s="7" t="str">
        <f t="shared" si="12"/>
        <v>2028Q3</v>
      </c>
      <c r="L70" s="6"/>
      <c r="M70" s="8" t="s">
        <v>8</v>
      </c>
      <c r="N70" s="6"/>
      <c r="O70" s="6"/>
      <c r="P70" s="9">
        <f t="shared" si="13"/>
        <v>0.13800000000000001</v>
      </c>
      <c r="Q70" s="6"/>
    </row>
    <row r="71" spans="1:17" ht="15.5" thickTop="1" thickBot="1" x14ac:dyDescent="0.4">
      <c r="A71" s="7" t="str">
        <f t="shared" si="10"/>
        <v>2028Q4</v>
      </c>
      <c r="B71" s="6"/>
      <c r="C71" s="8" t="s">
        <v>8</v>
      </c>
      <c r="D71" s="6"/>
      <c r="E71" s="6"/>
      <c r="F71" s="9">
        <f t="shared" si="11"/>
        <v>0.14699999999999999</v>
      </c>
      <c r="G71" s="6"/>
      <c r="K71" s="7" t="str">
        <f t="shared" si="12"/>
        <v>2028Q4</v>
      </c>
      <c r="L71" s="6"/>
      <c r="M71" s="8" t="s">
        <v>8</v>
      </c>
      <c r="N71" s="6"/>
      <c r="O71" s="6"/>
      <c r="P71" s="9">
        <f t="shared" si="13"/>
        <v>0.14000000000000001</v>
      </c>
      <c r="Q71" s="6"/>
    </row>
    <row r="72" spans="1:17" ht="15.5" thickTop="1" thickBot="1" x14ac:dyDescent="0.4">
      <c r="A72" s="7" t="str">
        <f t="shared" si="10"/>
        <v>2029Q1</v>
      </c>
      <c r="B72" s="6"/>
      <c r="C72" s="8" t="s">
        <v>8</v>
      </c>
      <c r="D72" s="6"/>
      <c r="E72" s="6"/>
      <c r="F72" s="9">
        <f t="shared" si="11"/>
        <v>0.14899999999999999</v>
      </c>
      <c r="G72" s="6"/>
      <c r="K72" s="7" t="str">
        <f t="shared" si="12"/>
        <v>2029Q1</v>
      </c>
      <c r="L72" s="6"/>
      <c r="M72" s="8" t="s">
        <v>8</v>
      </c>
      <c r="N72" s="6"/>
      <c r="O72" s="6"/>
      <c r="P72" s="9">
        <f t="shared" si="13"/>
        <v>0.14099999999999999</v>
      </c>
      <c r="Q72" s="6"/>
    </row>
    <row r="73" spans="1:17" ht="15.5" thickTop="1" thickBot="1" x14ac:dyDescent="0.4">
      <c r="A73" s="7" t="str">
        <f t="shared" si="10"/>
        <v>2029Q2</v>
      </c>
      <c r="B73" s="6"/>
      <c r="C73" s="8" t="s">
        <v>8</v>
      </c>
      <c r="D73" s="6"/>
      <c r="E73" s="6"/>
      <c r="F73" s="9">
        <f t="shared" si="11"/>
        <v>0.151</v>
      </c>
      <c r="G73" s="6"/>
      <c r="K73" s="7" t="str">
        <f t="shared" si="12"/>
        <v>2029Q2</v>
      </c>
      <c r="L73" s="6"/>
      <c r="M73" s="8" t="s">
        <v>8</v>
      </c>
      <c r="N73" s="6"/>
      <c r="O73" s="6"/>
      <c r="P73" s="9">
        <f t="shared" si="13"/>
        <v>0.14299999999999999</v>
      </c>
      <c r="Q73" s="6"/>
    </row>
    <row r="74" spans="1:17" ht="15.5" thickTop="1" thickBot="1" x14ac:dyDescent="0.4">
      <c r="A74" s="7" t="str">
        <f t="shared" si="10"/>
        <v>2029Q3</v>
      </c>
      <c r="B74" s="6"/>
      <c r="C74" s="8" t="s">
        <v>8</v>
      </c>
      <c r="D74" s="6"/>
      <c r="E74" s="6"/>
      <c r="F74" s="9">
        <f t="shared" si="11"/>
        <v>0.15</v>
      </c>
      <c r="G74" s="6"/>
      <c r="K74" s="7" t="str">
        <f t="shared" si="12"/>
        <v>2029Q3</v>
      </c>
      <c r="L74" s="6"/>
      <c r="M74" s="8" t="s">
        <v>8</v>
      </c>
      <c r="N74" s="6"/>
      <c r="O74" s="6"/>
      <c r="P74" s="9">
        <f t="shared" si="13"/>
        <v>0.14199999999999999</v>
      </c>
      <c r="Q74" s="6"/>
    </row>
    <row r="75" spans="1:17" ht="15.5" thickTop="1" thickBot="1" x14ac:dyDescent="0.4">
      <c r="A75" s="7" t="str">
        <f t="shared" si="10"/>
        <v>2029Q4</v>
      </c>
      <c r="B75" s="6"/>
      <c r="C75" s="8" t="s">
        <v>8</v>
      </c>
      <c r="D75" s="6"/>
      <c r="E75" s="6"/>
      <c r="F75" s="9">
        <f t="shared" si="11"/>
        <v>0.152</v>
      </c>
      <c r="G75" s="6"/>
      <c r="K75" s="7" t="str">
        <f t="shared" si="12"/>
        <v>2029Q4</v>
      </c>
      <c r="L75" s="6"/>
      <c r="M75" s="8" t="s">
        <v>8</v>
      </c>
      <c r="N75" s="6"/>
      <c r="O75" s="6"/>
      <c r="P75" s="9">
        <f t="shared" si="13"/>
        <v>0.14299999999999999</v>
      </c>
      <c r="Q75" s="6"/>
    </row>
    <row r="76" spans="1:17" ht="12.5" thickTop="1" x14ac:dyDescent="0.3"/>
  </sheetData>
  <mergeCells count="11">
    <mergeCell ref="A41:G41"/>
    <mergeCell ref="B42:D42"/>
    <mergeCell ref="E42:G42"/>
    <mergeCell ref="S1:X1"/>
    <mergeCell ref="L1:Q1"/>
    <mergeCell ref="A1:G1"/>
    <mergeCell ref="B2:D2"/>
    <mergeCell ref="E2:G2"/>
    <mergeCell ref="K41:Q41"/>
    <mergeCell ref="L42:N42"/>
    <mergeCell ref="O42:Q42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76"/>
  <sheetViews>
    <sheetView zoomScale="80" zoomScaleNormal="80" workbookViewId="0">
      <selection activeCell="L3" sqref="L3:N34"/>
    </sheetView>
  </sheetViews>
  <sheetFormatPr defaultColWidth="9.1796875" defaultRowHeight="12" x14ac:dyDescent="0.3"/>
  <cols>
    <col min="1" max="1" width="7.81640625" style="1" bestFit="1" customWidth="1"/>
    <col min="2" max="2" width="12.1796875" style="1" bestFit="1" customWidth="1"/>
    <col min="3" max="3" width="18.453125" style="1" bestFit="1" customWidth="1"/>
    <col min="4" max="5" width="12.1796875" style="1" bestFit="1" customWidth="1"/>
    <col min="6" max="6" width="18.453125" style="1" bestFit="1" customWidth="1"/>
    <col min="7" max="7" width="12.1796875" style="1" bestFit="1" customWidth="1"/>
    <col min="8" max="12" width="9.1796875" style="1"/>
    <col min="13" max="13" width="19.1796875" style="1" customWidth="1"/>
    <col min="14" max="15" width="9.1796875" style="1"/>
    <col min="16" max="16" width="19.1796875" style="1" customWidth="1"/>
    <col min="17" max="16384" width="9.1796875" style="1"/>
  </cols>
  <sheetData>
    <row r="1" spans="1:30" ht="13" thickTop="1" thickBot="1" x14ac:dyDescent="0.35">
      <c r="A1" s="32" t="s">
        <v>85</v>
      </c>
      <c r="B1" s="32"/>
      <c r="C1" s="32"/>
      <c r="D1" s="32"/>
      <c r="E1" s="32"/>
      <c r="F1" s="32"/>
      <c r="G1" s="32"/>
      <c r="L1" s="31" t="s">
        <v>1</v>
      </c>
      <c r="M1" s="31"/>
      <c r="N1" s="31"/>
      <c r="O1" s="31"/>
      <c r="P1" s="31"/>
      <c r="Q1" s="31"/>
      <c r="S1" s="31" t="s">
        <v>2</v>
      </c>
      <c r="T1" s="31"/>
      <c r="U1" s="31"/>
      <c r="V1" s="31"/>
      <c r="W1" s="31"/>
      <c r="X1" s="31"/>
    </row>
    <row r="2" spans="1:30" ht="15.5" thickTop="1" thickBot="1" x14ac:dyDescent="0.4">
      <c r="A2" s="2"/>
      <c r="B2" s="32" t="s">
        <v>41</v>
      </c>
      <c r="C2" s="32"/>
      <c r="D2" s="32"/>
      <c r="E2" s="32" t="s">
        <v>2</v>
      </c>
      <c r="F2" s="32"/>
      <c r="G2" s="32"/>
      <c r="L2" t="s">
        <v>42</v>
      </c>
      <c r="M2" t="s">
        <v>43</v>
      </c>
      <c r="N2" t="s">
        <v>44</v>
      </c>
      <c r="O2" t="s">
        <v>43</v>
      </c>
      <c r="P2" t="s">
        <v>42</v>
      </c>
      <c r="Q2" t="s">
        <v>44</v>
      </c>
      <c r="S2" t="s">
        <v>42</v>
      </c>
      <c r="T2" t="s">
        <v>43</v>
      </c>
      <c r="U2" t="s">
        <v>44</v>
      </c>
      <c r="V2" t="s">
        <v>43</v>
      </c>
      <c r="W2" t="s">
        <v>42</v>
      </c>
      <c r="X2" t="s">
        <v>44</v>
      </c>
    </row>
    <row r="3" spans="1:30" ht="25.5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K3" s="14" t="s">
        <v>69</v>
      </c>
      <c r="L3" s="55">
        <v>4104.773972627795</v>
      </c>
      <c r="M3" s="55">
        <v>3901.9531475174444</v>
      </c>
      <c r="N3" s="55">
        <v>4307.5947977381456</v>
      </c>
      <c r="O3" s="1">
        <f t="shared" ref="O3:O34" si="0">ROUND(M3,3)</f>
        <v>3901.953</v>
      </c>
      <c r="P3" s="1">
        <f t="shared" ref="P3:P34" si="1">ROUND(L3,3)</f>
        <v>4104.7740000000003</v>
      </c>
      <c r="Q3" s="1">
        <f t="shared" ref="Q3:Q34" si="2">ROUND(N3,3)</f>
        <v>4307.5950000000003</v>
      </c>
      <c r="R3" s="14" t="str">
        <f t="shared" ref="R3:R34" si="3">K3</f>
        <v>2022Q1</v>
      </c>
      <c r="S3" s="38">
        <v>5.9740529232671635</v>
      </c>
      <c r="T3" s="38">
        <v>5.7786546600106963</v>
      </c>
      <c r="U3" s="38">
        <v>6.1694511865236308</v>
      </c>
      <c r="V3" s="1">
        <f t="shared" ref="V3:V34" si="4">ROUND(T3,3)</f>
        <v>5.7789999999999999</v>
      </c>
      <c r="W3" s="1">
        <f t="shared" ref="W3:W34" si="5">ROUND(S3,3)</f>
        <v>5.9740000000000002</v>
      </c>
      <c r="X3" s="1">
        <f t="shared" ref="X3:X34" si="6">ROUND(U3,3)</f>
        <v>6.1689999999999996</v>
      </c>
    </row>
    <row r="4" spans="1:30" ht="15.5" thickTop="1" thickBot="1" x14ac:dyDescent="0.4">
      <c r="A4" s="5" t="str">
        <f>K3</f>
        <v>2022Q1</v>
      </c>
      <c r="B4" s="2">
        <f>O3</f>
        <v>3901.953</v>
      </c>
      <c r="C4" s="3">
        <f>P3</f>
        <v>4104.7740000000003</v>
      </c>
      <c r="D4" s="2">
        <f>Q3</f>
        <v>4307.5950000000003</v>
      </c>
      <c r="E4" s="2">
        <f>V3</f>
        <v>5.7789999999999999</v>
      </c>
      <c r="F4" s="3">
        <f>W3</f>
        <v>5.9740000000000002</v>
      </c>
      <c r="G4" s="2">
        <f>X3</f>
        <v>6.1689999999999996</v>
      </c>
      <c r="K4" s="14" t="s">
        <v>70</v>
      </c>
      <c r="L4" s="55">
        <v>4350.0478702323435</v>
      </c>
      <c r="M4" s="55">
        <v>4138.1227750910393</v>
      </c>
      <c r="N4" s="55">
        <v>4561.9729653736476</v>
      </c>
      <c r="O4" s="1">
        <f t="shared" si="0"/>
        <v>4138.1229999999996</v>
      </c>
      <c r="P4" s="1">
        <f t="shared" si="1"/>
        <v>4350.0479999999998</v>
      </c>
      <c r="Q4" s="1">
        <f t="shared" si="2"/>
        <v>4561.973</v>
      </c>
      <c r="R4" s="14" t="str">
        <f t="shared" si="3"/>
        <v>2022Q2</v>
      </c>
      <c r="S4" s="38">
        <v>6.2242308072022272</v>
      </c>
      <c r="T4" s="38">
        <v>6.000980073025171</v>
      </c>
      <c r="U4" s="38">
        <v>6.4474815413792834</v>
      </c>
      <c r="V4" s="1">
        <f t="shared" si="4"/>
        <v>6.0010000000000003</v>
      </c>
      <c r="W4" s="1">
        <f t="shared" si="5"/>
        <v>6.2240000000000002</v>
      </c>
      <c r="X4" s="1">
        <f t="shared" si="6"/>
        <v>6.4470000000000001</v>
      </c>
      <c r="Y4" s="12"/>
      <c r="Z4" s="12"/>
      <c r="AA4" s="12"/>
      <c r="AB4" s="12"/>
      <c r="AC4" s="12"/>
      <c r="AD4" s="12"/>
    </row>
    <row r="5" spans="1:30" ht="15.5" thickTop="1" thickBot="1" x14ac:dyDescent="0.4">
      <c r="A5" s="5" t="str">
        <f t="shared" ref="A5:A35" si="7">K4</f>
        <v>2022Q2</v>
      </c>
      <c r="B5" s="2">
        <f t="shared" ref="B5:D20" si="8">O4</f>
        <v>4138.1229999999996</v>
      </c>
      <c r="C5" s="3">
        <f t="shared" si="8"/>
        <v>4350.0479999999998</v>
      </c>
      <c r="D5" s="2">
        <f t="shared" si="8"/>
        <v>4561.973</v>
      </c>
      <c r="E5" s="2">
        <f t="shared" ref="E5:G20" si="9">V4</f>
        <v>6.0010000000000003</v>
      </c>
      <c r="F5" s="3">
        <f t="shared" si="9"/>
        <v>6.2240000000000002</v>
      </c>
      <c r="G5" s="2">
        <f t="shared" si="9"/>
        <v>6.4470000000000001</v>
      </c>
      <c r="I5" s="1">
        <f>SUM(F5:F8)</f>
        <v>24.963000000000001</v>
      </c>
      <c r="K5" s="14" t="s">
        <v>71</v>
      </c>
      <c r="L5" s="55">
        <v>4344.1389691497643</v>
      </c>
      <c r="M5" s="55">
        <v>4131.9886167257764</v>
      </c>
      <c r="N5" s="55">
        <v>4556.2893215737522</v>
      </c>
      <c r="O5" s="1">
        <f t="shared" si="0"/>
        <v>4131.9889999999996</v>
      </c>
      <c r="P5" s="1">
        <f t="shared" si="1"/>
        <v>4344.1390000000001</v>
      </c>
      <c r="Q5" s="1">
        <f t="shared" si="2"/>
        <v>4556.2889999999998</v>
      </c>
      <c r="R5" s="14" t="str">
        <f t="shared" si="3"/>
        <v>2022Q3</v>
      </c>
      <c r="S5" s="38">
        <v>6.2123388674470776</v>
      </c>
      <c r="T5" s="38">
        <v>5.9474380834845491</v>
      </c>
      <c r="U5" s="38">
        <v>6.4772396514096062</v>
      </c>
      <c r="V5" s="1">
        <f t="shared" si="4"/>
        <v>5.9470000000000001</v>
      </c>
      <c r="W5" s="1">
        <f t="shared" si="5"/>
        <v>6.2119999999999997</v>
      </c>
      <c r="X5" s="1">
        <f t="shared" si="6"/>
        <v>6.4770000000000003</v>
      </c>
      <c r="Y5" s="12"/>
      <c r="Z5" s="12"/>
      <c r="AA5" s="12"/>
      <c r="AB5" s="12"/>
      <c r="AC5" s="12"/>
      <c r="AD5" s="12"/>
    </row>
    <row r="6" spans="1:30" ht="15.5" thickTop="1" thickBot="1" x14ac:dyDescent="0.4">
      <c r="A6" s="5" t="str">
        <f t="shared" si="7"/>
        <v>2022Q3</v>
      </c>
      <c r="B6" s="2">
        <f t="shared" si="8"/>
        <v>4131.9889999999996</v>
      </c>
      <c r="C6" s="3">
        <f t="shared" si="8"/>
        <v>4344.1390000000001</v>
      </c>
      <c r="D6" s="2">
        <f t="shared" si="8"/>
        <v>4556.2889999999998</v>
      </c>
      <c r="E6" s="2">
        <f t="shared" si="9"/>
        <v>5.9470000000000001</v>
      </c>
      <c r="F6" s="3">
        <f t="shared" si="9"/>
        <v>6.2119999999999997</v>
      </c>
      <c r="G6" s="2">
        <f t="shared" si="9"/>
        <v>6.4770000000000003</v>
      </c>
      <c r="I6" s="1">
        <f>SUM(F9:F12)</f>
        <v>25.785000000000004</v>
      </c>
      <c r="K6" s="14" t="s">
        <v>72</v>
      </c>
      <c r="L6" s="55">
        <v>4407.2044897128826</v>
      </c>
      <c r="M6" s="55">
        <v>4195.0484417200723</v>
      </c>
      <c r="N6" s="55">
        <v>4619.3605377056929</v>
      </c>
      <c r="O6" s="1">
        <f t="shared" si="0"/>
        <v>4195.0479999999998</v>
      </c>
      <c r="P6" s="1">
        <f t="shared" si="1"/>
        <v>4407.2039999999997</v>
      </c>
      <c r="Q6" s="1">
        <f t="shared" si="2"/>
        <v>4619.3609999999999</v>
      </c>
      <c r="R6" s="14" t="str">
        <f t="shared" si="3"/>
        <v>2022Q4</v>
      </c>
      <c r="S6" s="38">
        <v>6.2837819530095249</v>
      </c>
      <c r="T6" s="38">
        <v>5.989189208322772</v>
      </c>
      <c r="U6" s="38">
        <v>6.5783746976962778</v>
      </c>
      <c r="V6" s="1">
        <f t="shared" si="4"/>
        <v>5.9889999999999999</v>
      </c>
      <c r="W6" s="1">
        <f t="shared" si="5"/>
        <v>6.2839999999999998</v>
      </c>
      <c r="X6" s="1">
        <f t="shared" si="6"/>
        <v>6.5780000000000003</v>
      </c>
      <c r="Y6" s="12"/>
      <c r="Z6" s="12"/>
      <c r="AA6" s="12"/>
      <c r="AB6" s="12"/>
      <c r="AC6" s="12"/>
      <c r="AD6" s="12"/>
    </row>
    <row r="7" spans="1:30" ht="15.5" thickTop="1" thickBot="1" x14ac:dyDescent="0.4">
      <c r="A7" s="5" t="str">
        <f t="shared" si="7"/>
        <v>2022Q4</v>
      </c>
      <c r="B7" s="2">
        <f t="shared" si="8"/>
        <v>4195.0479999999998</v>
      </c>
      <c r="C7" s="3">
        <f t="shared" si="8"/>
        <v>4407.2039999999997</v>
      </c>
      <c r="D7" s="2">
        <f t="shared" si="8"/>
        <v>4619.3609999999999</v>
      </c>
      <c r="E7" s="2">
        <f t="shared" si="9"/>
        <v>5.9889999999999999</v>
      </c>
      <c r="F7" s="3">
        <f t="shared" si="9"/>
        <v>6.2839999999999998</v>
      </c>
      <c r="G7" s="2">
        <f t="shared" si="9"/>
        <v>6.5780000000000003</v>
      </c>
      <c r="I7" s="1">
        <f>SUM(F13:F16)</f>
        <v>26.622</v>
      </c>
      <c r="K7" s="14" t="s">
        <v>73</v>
      </c>
      <c r="L7" s="55">
        <v>4189.6500292704732</v>
      </c>
      <c r="M7" s="55">
        <v>3977.4938371903163</v>
      </c>
      <c r="N7" s="55">
        <v>4401.80622135063</v>
      </c>
      <c r="O7" s="1">
        <f t="shared" si="0"/>
        <v>3977.4940000000001</v>
      </c>
      <c r="P7" s="1">
        <f t="shared" si="1"/>
        <v>4189.6499999999996</v>
      </c>
      <c r="Q7" s="1">
        <f t="shared" si="2"/>
        <v>4401.8059999999996</v>
      </c>
      <c r="R7" s="14" t="str">
        <f t="shared" si="3"/>
        <v>2023Q1</v>
      </c>
      <c r="S7" s="38">
        <v>6.2430468452255621</v>
      </c>
      <c r="T7" s="38">
        <v>5.9192803422535967</v>
      </c>
      <c r="U7" s="38">
        <v>6.5668133481975275</v>
      </c>
      <c r="V7" s="1">
        <f t="shared" si="4"/>
        <v>5.9189999999999996</v>
      </c>
      <c r="W7" s="1">
        <f t="shared" si="5"/>
        <v>6.2430000000000003</v>
      </c>
      <c r="X7" s="1">
        <f t="shared" si="6"/>
        <v>6.5670000000000002</v>
      </c>
      <c r="Y7" s="12"/>
      <c r="Z7" s="12"/>
      <c r="AA7" s="12"/>
      <c r="AB7" s="12"/>
      <c r="AC7" s="12"/>
      <c r="AD7" s="12"/>
    </row>
    <row r="8" spans="1:30" ht="15.5" thickTop="1" thickBot="1" x14ac:dyDescent="0.4">
      <c r="A8" s="5" t="str">
        <f t="shared" si="7"/>
        <v>2023Q1</v>
      </c>
      <c r="B8" s="2">
        <f t="shared" si="8"/>
        <v>3977.4940000000001</v>
      </c>
      <c r="C8" s="3">
        <f t="shared" si="8"/>
        <v>4189.6499999999996</v>
      </c>
      <c r="D8" s="2">
        <f t="shared" si="8"/>
        <v>4401.8059999999996</v>
      </c>
      <c r="E8" s="2">
        <f t="shared" si="9"/>
        <v>5.9189999999999996</v>
      </c>
      <c r="F8" s="3">
        <f t="shared" si="9"/>
        <v>6.2430000000000003</v>
      </c>
      <c r="G8" s="2">
        <f t="shared" si="9"/>
        <v>6.5670000000000002</v>
      </c>
      <c r="I8" s="1">
        <f>SUM(F17:F20)</f>
        <v>27.459000000000003</v>
      </c>
      <c r="K8" s="14" t="s">
        <v>74</v>
      </c>
      <c r="L8" s="55">
        <v>4454.5286309262483</v>
      </c>
      <c r="M8" s="55">
        <v>4242.3724352008994</v>
      </c>
      <c r="N8" s="55">
        <v>4666.6848266515972</v>
      </c>
      <c r="O8" s="1">
        <f t="shared" si="0"/>
        <v>4242.3720000000003</v>
      </c>
      <c r="P8" s="1">
        <f t="shared" si="1"/>
        <v>4454.5290000000005</v>
      </c>
      <c r="Q8" s="1">
        <f t="shared" si="2"/>
        <v>4666.6850000000004</v>
      </c>
      <c r="R8" s="14" t="str">
        <f t="shared" si="3"/>
        <v>2023Q2</v>
      </c>
      <c r="S8" s="38">
        <v>6.4101077416014141</v>
      </c>
      <c r="T8" s="38">
        <v>6.0604042883049285</v>
      </c>
      <c r="U8" s="38">
        <v>6.7598111948978996</v>
      </c>
      <c r="V8" s="1">
        <f t="shared" si="4"/>
        <v>6.06</v>
      </c>
      <c r="W8" s="1">
        <f t="shared" si="5"/>
        <v>6.41</v>
      </c>
      <c r="X8" s="1">
        <f t="shared" si="6"/>
        <v>6.76</v>
      </c>
      <c r="Y8" s="12"/>
      <c r="Z8" s="12"/>
      <c r="AA8" s="12"/>
      <c r="AB8" s="12"/>
      <c r="AC8" s="12"/>
      <c r="AD8" s="12"/>
    </row>
    <row r="9" spans="1:30" ht="15.5" thickTop="1" thickBot="1" x14ac:dyDescent="0.4">
      <c r="A9" s="5" t="str">
        <f t="shared" si="7"/>
        <v>2023Q2</v>
      </c>
      <c r="B9" s="2">
        <f t="shared" si="8"/>
        <v>4242.3720000000003</v>
      </c>
      <c r="C9" s="3">
        <f t="shared" si="8"/>
        <v>4454.5290000000005</v>
      </c>
      <c r="D9" s="2">
        <f t="shared" si="8"/>
        <v>4666.6850000000004</v>
      </c>
      <c r="E9" s="2">
        <f t="shared" si="9"/>
        <v>6.06</v>
      </c>
      <c r="F9" s="3">
        <f t="shared" si="9"/>
        <v>6.41</v>
      </c>
      <c r="G9" s="2">
        <f t="shared" si="9"/>
        <v>6.76</v>
      </c>
      <c r="I9" s="1">
        <f>SUM(F21:F24)</f>
        <v>28.298000000000002</v>
      </c>
      <c r="K9" s="14" t="s">
        <v>75</v>
      </c>
      <c r="L9" s="55">
        <v>4445.5015034076296</v>
      </c>
      <c r="M9" s="55">
        <v>4233.3453075900625</v>
      </c>
      <c r="N9" s="55">
        <v>4657.6576992251967</v>
      </c>
      <c r="O9" s="1">
        <f t="shared" si="0"/>
        <v>4233.3450000000003</v>
      </c>
      <c r="P9" s="1">
        <f t="shared" si="1"/>
        <v>4445.5020000000004</v>
      </c>
      <c r="Q9" s="1">
        <f t="shared" si="2"/>
        <v>4657.6580000000004</v>
      </c>
      <c r="R9" s="14" t="str">
        <f t="shared" si="3"/>
        <v>2023Q3</v>
      </c>
      <c r="S9" s="38">
        <v>6.43111969044599</v>
      </c>
      <c r="T9" s="38">
        <v>6.0569731389395534</v>
      </c>
      <c r="U9" s="38">
        <v>6.8052662419524266</v>
      </c>
      <c r="V9" s="1">
        <f t="shared" si="4"/>
        <v>6.0570000000000004</v>
      </c>
      <c r="W9" s="1">
        <f t="shared" si="5"/>
        <v>6.431</v>
      </c>
      <c r="X9" s="1">
        <f t="shared" si="6"/>
        <v>6.8049999999999997</v>
      </c>
      <c r="Y9" s="12"/>
      <c r="Z9" s="12"/>
      <c r="AA9" s="12"/>
      <c r="AB9" s="12"/>
      <c r="AC9" s="12"/>
      <c r="AD9" s="12"/>
    </row>
    <row r="10" spans="1:30" ht="15.5" thickTop="1" thickBot="1" x14ac:dyDescent="0.4">
      <c r="A10" s="5" t="str">
        <f t="shared" si="7"/>
        <v>2023Q3</v>
      </c>
      <c r="B10" s="2">
        <f t="shared" si="8"/>
        <v>4233.3450000000003</v>
      </c>
      <c r="C10" s="3">
        <f t="shared" si="8"/>
        <v>4445.5020000000004</v>
      </c>
      <c r="D10" s="2">
        <f t="shared" si="8"/>
        <v>4657.6580000000004</v>
      </c>
      <c r="E10" s="2">
        <f t="shared" si="9"/>
        <v>6.0570000000000004</v>
      </c>
      <c r="F10" s="3">
        <f t="shared" si="9"/>
        <v>6.431</v>
      </c>
      <c r="G10" s="2">
        <f t="shared" si="9"/>
        <v>6.8049999999999997</v>
      </c>
      <c r="I10" s="1">
        <f>SUM(F25:F28)</f>
        <v>29.134999999999998</v>
      </c>
      <c r="K10" s="14" t="s">
        <v>76</v>
      </c>
      <c r="L10" s="55">
        <v>4509.0629935136185</v>
      </c>
      <c r="M10" s="55">
        <v>4296.9067976937185</v>
      </c>
      <c r="N10" s="55">
        <v>4721.2191893335184</v>
      </c>
      <c r="O10" s="1">
        <f t="shared" si="0"/>
        <v>4296.9070000000002</v>
      </c>
      <c r="P10" s="1">
        <f t="shared" si="1"/>
        <v>4509.0630000000001</v>
      </c>
      <c r="Q10" s="1">
        <f t="shared" si="2"/>
        <v>4721.2190000000001</v>
      </c>
      <c r="R10" s="14" t="str">
        <f t="shared" si="3"/>
        <v>2023Q4</v>
      </c>
      <c r="S10" s="38">
        <v>6.489536968447597</v>
      </c>
      <c r="T10" s="38">
        <v>6.0925616746967313</v>
      </c>
      <c r="U10" s="38">
        <v>6.8865122621984627</v>
      </c>
      <c r="V10" s="1">
        <f t="shared" si="4"/>
        <v>6.093</v>
      </c>
      <c r="W10" s="1">
        <f t="shared" si="5"/>
        <v>6.49</v>
      </c>
      <c r="X10" s="1">
        <f t="shared" si="6"/>
        <v>6.8869999999999996</v>
      </c>
      <c r="Y10" s="12"/>
      <c r="Z10" s="12"/>
      <c r="AA10" s="12"/>
      <c r="AB10" s="12"/>
      <c r="AC10" s="12"/>
      <c r="AD10" s="12"/>
    </row>
    <row r="11" spans="1:30" ht="15.5" thickTop="1" thickBot="1" x14ac:dyDescent="0.4">
      <c r="A11" s="5" t="str">
        <f t="shared" si="7"/>
        <v>2023Q4</v>
      </c>
      <c r="B11" s="2">
        <f t="shared" si="8"/>
        <v>4296.9070000000002</v>
      </c>
      <c r="C11" s="3">
        <f t="shared" si="8"/>
        <v>4509.0630000000001</v>
      </c>
      <c r="D11" s="2">
        <f t="shared" si="8"/>
        <v>4721.2190000000001</v>
      </c>
      <c r="E11" s="2">
        <f t="shared" si="9"/>
        <v>6.093</v>
      </c>
      <c r="F11" s="3">
        <f t="shared" si="9"/>
        <v>6.49</v>
      </c>
      <c r="G11" s="2">
        <f t="shared" si="9"/>
        <v>6.8869999999999996</v>
      </c>
      <c r="I11" s="1">
        <f>SUM(F29:F32)</f>
        <v>29.974</v>
      </c>
      <c r="K11" s="14" t="s">
        <v>77</v>
      </c>
      <c r="L11" s="55">
        <v>4291.4296466296682</v>
      </c>
      <c r="M11" s="55">
        <v>4079.2734508097092</v>
      </c>
      <c r="N11" s="55">
        <v>4503.5858424496273</v>
      </c>
      <c r="O11" s="1">
        <f t="shared" si="0"/>
        <v>4079.2730000000001</v>
      </c>
      <c r="P11" s="1">
        <f t="shared" si="1"/>
        <v>4291.43</v>
      </c>
      <c r="Q11" s="1">
        <f t="shared" si="2"/>
        <v>4503.5860000000002</v>
      </c>
      <c r="R11" s="14" t="str">
        <f t="shared" si="3"/>
        <v>2024Q1</v>
      </c>
      <c r="S11" s="38">
        <v>6.4539584445761351</v>
      </c>
      <c r="T11" s="38">
        <v>6.0353554252632762</v>
      </c>
      <c r="U11" s="38">
        <v>6.872561463888994</v>
      </c>
      <c r="V11" s="1">
        <f t="shared" si="4"/>
        <v>6.0350000000000001</v>
      </c>
      <c r="W11" s="1">
        <f t="shared" si="5"/>
        <v>6.4539999999999997</v>
      </c>
      <c r="X11" s="1">
        <f t="shared" si="6"/>
        <v>6.8730000000000002</v>
      </c>
      <c r="Y11" s="12"/>
      <c r="Z11" s="12"/>
      <c r="AA11" s="12"/>
      <c r="AB11" s="12"/>
      <c r="AC11" s="12"/>
      <c r="AD11" s="12"/>
    </row>
    <row r="12" spans="1:30" ht="15.5" thickTop="1" thickBot="1" x14ac:dyDescent="0.4">
      <c r="A12" s="5" t="str">
        <f t="shared" si="7"/>
        <v>2024Q1</v>
      </c>
      <c r="B12" s="2">
        <f t="shared" si="8"/>
        <v>4079.2730000000001</v>
      </c>
      <c r="C12" s="3">
        <f t="shared" si="8"/>
        <v>4291.43</v>
      </c>
      <c r="D12" s="2">
        <f t="shared" si="8"/>
        <v>4503.5860000000002</v>
      </c>
      <c r="E12" s="2">
        <f t="shared" si="9"/>
        <v>6.0350000000000001</v>
      </c>
      <c r="F12" s="3">
        <f t="shared" si="9"/>
        <v>6.4539999999999997</v>
      </c>
      <c r="G12" s="2">
        <f t="shared" si="9"/>
        <v>6.8730000000000002</v>
      </c>
      <c r="K12" s="14" t="s">
        <v>78</v>
      </c>
      <c r="L12" s="55">
        <v>4556.3207955693406</v>
      </c>
      <c r="M12" s="55">
        <v>4344.1645997493806</v>
      </c>
      <c r="N12" s="55">
        <v>4768.4769913893006</v>
      </c>
      <c r="O12" s="1">
        <f t="shared" si="0"/>
        <v>4344.165</v>
      </c>
      <c r="P12" s="1">
        <f t="shared" si="1"/>
        <v>4556.3209999999999</v>
      </c>
      <c r="Q12" s="1">
        <f t="shared" si="2"/>
        <v>4768.4769999999999</v>
      </c>
      <c r="R12" s="14" t="str">
        <f t="shared" si="3"/>
        <v>2024Q2</v>
      </c>
      <c r="S12" s="38">
        <v>6.6189779813262994</v>
      </c>
      <c r="T12" s="38">
        <v>6.179826995309325</v>
      </c>
      <c r="U12" s="38">
        <v>7.0581289673432739</v>
      </c>
      <c r="V12" s="1">
        <f t="shared" si="4"/>
        <v>6.18</v>
      </c>
      <c r="W12" s="1">
        <f t="shared" si="5"/>
        <v>6.6189999999999998</v>
      </c>
      <c r="X12" s="1">
        <f t="shared" si="6"/>
        <v>7.0579999999999998</v>
      </c>
    </row>
    <row r="13" spans="1:30" ht="15.5" thickTop="1" thickBot="1" x14ac:dyDescent="0.4">
      <c r="A13" s="5" t="str">
        <f t="shared" si="7"/>
        <v>2024Q2</v>
      </c>
      <c r="B13" s="2">
        <f t="shared" si="8"/>
        <v>4344.165</v>
      </c>
      <c r="C13" s="3">
        <f t="shared" si="8"/>
        <v>4556.3209999999999</v>
      </c>
      <c r="D13" s="2">
        <f t="shared" si="8"/>
        <v>4768.4769999999999</v>
      </c>
      <c r="E13" s="2">
        <f t="shared" si="9"/>
        <v>6.18</v>
      </c>
      <c r="F13" s="3">
        <f t="shared" si="9"/>
        <v>6.6189999999999998</v>
      </c>
      <c r="G13" s="2">
        <f t="shared" si="9"/>
        <v>7.0579999999999998</v>
      </c>
      <c r="K13" s="14" t="s">
        <v>79</v>
      </c>
      <c r="L13" s="55">
        <v>4547.2916723423332</v>
      </c>
      <c r="M13" s="55">
        <v>4335.1354765223732</v>
      </c>
      <c r="N13" s="55">
        <v>4759.4478681622932</v>
      </c>
      <c r="O13" s="1">
        <f t="shared" si="0"/>
        <v>4335.1350000000002</v>
      </c>
      <c r="P13" s="1">
        <f t="shared" si="1"/>
        <v>4547.2920000000004</v>
      </c>
      <c r="Q13" s="1">
        <f t="shared" si="2"/>
        <v>4759.4480000000003</v>
      </c>
      <c r="R13" s="14" t="str">
        <f t="shared" si="3"/>
        <v>2024Q3</v>
      </c>
      <c r="S13" s="38">
        <v>6.6407980522129275</v>
      </c>
      <c r="T13" s="38">
        <v>6.1820124464010391</v>
      </c>
      <c r="U13" s="38">
        <v>7.0995836580248159</v>
      </c>
      <c r="V13" s="1">
        <f t="shared" si="4"/>
        <v>6.1820000000000004</v>
      </c>
      <c r="W13" s="1">
        <f t="shared" si="5"/>
        <v>6.641</v>
      </c>
      <c r="X13" s="1">
        <f t="shared" si="6"/>
        <v>7.1</v>
      </c>
    </row>
    <row r="14" spans="1:30" ht="15.5" thickTop="1" thickBot="1" x14ac:dyDescent="0.4">
      <c r="A14" s="5" t="str">
        <f t="shared" si="7"/>
        <v>2024Q3</v>
      </c>
      <c r="B14" s="2">
        <f t="shared" si="8"/>
        <v>4335.1350000000002</v>
      </c>
      <c r="C14" s="3">
        <f t="shared" si="8"/>
        <v>4547.2920000000004</v>
      </c>
      <c r="D14" s="2">
        <f t="shared" si="8"/>
        <v>4759.4480000000003</v>
      </c>
      <c r="E14" s="2">
        <f t="shared" si="9"/>
        <v>6.1820000000000004</v>
      </c>
      <c r="F14" s="3">
        <f t="shared" si="9"/>
        <v>6.641</v>
      </c>
      <c r="G14" s="2">
        <f t="shared" si="9"/>
        <v>7.1</v>
      </c>
      <c r="K14" s="14" t="s">
        <v>84</v>
      </c>
      <c r="L14" s="55">
        <v>4610.8534798757437</v>
      </c>
      <c r="M14" s="55">
        <v>4398.6972840557837</v>
      </c>
      <c r="N14" s="55">
        <v>4823.0096756957037</v>
      </c>
      <c r="O14" s="1">
        <f t="shared" si="0"/>
        <v>4398.6970000000001</v>
      </c>
      <c r="P14" s="1">
        <f t="shared" si="1"/>
        <v>4610.8530000000001</v>
      </c>
      <c r="Q14" s="1">
        <f t="shared" si="2"/>
        <v>4823.01</v>
      </c>
      <c r="R14" s="14" t="str">
        <f t="shared" si="3"/>
        <v>2024Q4</v>
      </c>
      <c r="S14" s="38">
        <v>6.6988954153760947</v>
      </c>
      <c r="T14" s="38">
        <v>6.221283981982296</v>
      </c>
      <c r="U14" s="38">
        <v>7.1765068487698933</v>
      </c>
      <c r="V14" s="1">
        <f t="shared" si="4"/>
        <v>6.2210000000000001</v>
      </c>
      <c r="W14" s="1">
        <f t="shared" si="5"/>
        <v>6.6989999999999998</v>
      </c>
      <c r="X14" s="1">
        <f t="shared" si="6"/>
        <v>7.1769999999999996</v>
      </c>
    </row>
    <row r="15" spans="1:30" ht="15.5" thickTop="1" thickBot="1" x14ac:dyDescent="0.4">
      <c r="A15" s="5" t="str">
        <f t="shared" si="7"/>
        <v>2024Q4</v>
      </c>
      <c r="B15" s="2">
        <f t="shared" si="8"/>
        <v>4398.6970000000001</v>
      </c>
      <c r="C15" s="3">
        <f t="shared" si="8"/>
        <v>4610.8530000000001</v>
      </c>
      <c r="D15" s="2">
        <f t="shared" si="8"/>
        <v>4823.01</v>
      </c>
      <c r="E15" s="2">
        <f t="shared" si="9"/>
        <v>6.2210000000000001</v>
      </c>
      <c r="F15" s="3">
        <f t="shared" si="9"/>
        <v>6.6989999999999998</v>
      </c>
      <c r="G15" s="2">
        <f t="shared" si="9"/>
        <v>7.1769999999999996</v>
      </c>
      <c r="K15" s="14" t="s">
        <v>81</v>
      </c>
      <c r="L15" s="55">
        <v>4393.2200825033715</v>
      </c>
      <c r="M15" s="55">
        <v>4181.0638866834115</v>
      </c>
      <c r="N15" s="55">
        <v>4605.3762783233315</v>
      </c>
      <c r="O15" s="1">
        <f t="shared" si="0"/>
        <v>4181.0640000000003</v>
      </c>
      <c r="P15" s="1">
        <f t="shared" si="1"/>
        <v>4393.22</v>
      </c>
      <c r="Q15" s="1">
        <f t="shared" si="2"/>
        <v>4605.3760000000002</v>
      </c>
      <c r="R15" s="14" t="str">
        <f t="shared" si="3"/>
        <v>2025Q1</v>
      </c>
      <c r="S15" s="38">
        <v>6.6634435376032766</v>
      </c>
      <c r="T15" s="38">
        <v>6.167719825041277</v>
      </c>
      <c r="U15" s="38">
        <v>7.1591672501652761</v>
      </c>
      <c r="V15" s="1">
        <f t="shared" si="4"/>
        <v>6.1680000000000001</v>
      </c>
      <c r="W15" s="1">
        <f t="shared" si="5"/>
        <v>6.6630000000000003</v>
      </c>
      <c r="X15" s="1">
        <f t="shared" si="6"/>
        <v>7.1589999999999998</v>
      </c>
    </row>
    <row r="16" spans="1:30" ht="15.5" thickTop="1" thickBot="1" x14ac:dyDescent="0.4">
      <c r="A16" s="5" t="str">
        <f t="shared" si="7"/>
        <v>2025Q1</v>
      </c>
      <c r="B16" s="2">
        <f t="shared" si="8"/>
        <v>4181.0640000000003</v>
      </c>
      <c r="C16" s="3">
        <f t="shared" si="8"/>
        <v>4393.22</v>
      </c>
      <c r="D16" s="2">
        <f t="shared" si="8"/>
        <v>4605.3760000000002</v>
      </c>
      <c r="E16" s="2">
        <f t="shared" si="9"/>
        <v>6.1680000000000001</v>
      </c>
      <c r="F16" s="3">
        <f t="shared" si="9"/>
        <v>6.6630000000000003</v>
      </c>
      <c r="G16" s="2">
        <f t="shared" si="9"/>
        <v>7.1589999999999998</v>
      </c>
      <c r="K16" s="14" t="s">
        <v>82</v>
      </c>
      <c r="L16" s="55">
        <v>4658.1112394734801</v>
      </c>
      <c r="M16" s="55">
        <v>4445.9550436535201</v>
      </c>
      <c r="N16" s="55">
        <v>4870.26743529344</v>
      </c>
      <c r="O16" s="1">
        <f t="shared" si="0"/>
        <v>4445.9549999999999</v>
      </c>
      <c r="P16" s="1">
        <f t="shared" si="1"/>
        <v>4658.1109999999999</v>
      </c>
      <c r="Q16" s="1">
        <f t="shared" si="2"/>
        <v>4870.2669999999998</v>
      </c>
      <c r="R16" s="14" t="str">
        <f t="shared" si="3"/>
        <v>2025Q2</v>
      </c>
      <c r="S16" s="38">
        <v>6.8284129384035746</v>
      </c>
      <c r="T16" s="38">
        <v>6.3152161211945339</v>
      </c>
      <c r="U16" s="38">
        <v>7.3416097556126152</v>
      </c>
      <c r="V16" s="1">
        <f t="shared" si="4"/>
        <v>6.3150000000000004</v>
      </c>
      <c r="W16" s="1">
        <f t="shared" si="5"/>
        <v>6.8280000000000003</v>
      </c>
      <c r="X16" s="1">
        <f t="shared" si="6"/>
        <v>7.3419999999999996</v>
      </c>
    </row>
    <row r="17" spans="1:24" ht="15.5" thickTop="1" thickBot="1" x14ac:dyDescent="0.4">
      <c r="A17" s="5" t="str">
        <f t="shared" si="7"/>
        <v>2025Q2</v>
      </c>
      <c r="B17" s="2">
        <f t="shared" si="8"/>
        <v>4445.9549999999999</v>
      </c>
      <c r="C17" s="3">
        <f t="shared" si="8"/>
        <v>4658.1109999999999</v>
      </c>
      <c r="D17" s="2">
        <f t="shared" si="8"/>
        <v>4870.2669999999998</v>
      </c>
      <c r="E17" s="2">
        <f t="shared" si="9"/>
        <v>6.3150000000000004</v>
      </c>
      <c r="F17" s="3">
        <f t="shared" si="9"/>
        <v>6.8280000000000003</v>
      </c>
      <c r="G17" s="2">
        <f t="shared" si="9"/>
        <v>7.3419999999999996</v>
      </c>
      <c r="K17" s="14" t="s">
        <v>83</v>
      </c>
      <c r="L17" s="55">
        <v>4649.082114969191</v>
      </c>
      <c r="M17" s="55">
        <v>4436.925919149231</v>
      </c>
      <c r="N17" s="55">
        <v>4861.238310789151</v>
      </c>
      <c r="O17" s="1">
        <f t="shared" si="0"/>
        <v>4436.9260000000004</v>
      </c>
      <c r="P17" s="1">
        <f t="shared" si="1"/>
        <v>4649.0820000000003</v>
      </c>
      <c r="Q17" s="1">
        <f t="shared" si="2"/>
        <v>4861.2380000000003</v>
      </c>
      <c r="R17" s="14" t="str">
        <f t="shared" si="3"/>
        <v>2025Q3</v>
      </c>
      <c r="S17" s="38">
        <v>6.8502528568298882</v>
      </c>
      <c r="T17" s="38">
        <v>6.3201584470048182</v>
      </c>
      <c r="U17" s="38">
        <v>7.3803472666549581</v>
      </c>
      <c r="V17" s="1">
        <f t="shared" si="4"/>
        <v>6.32</v>
      </c>
      <c r="W17" s="1">
        <f t="shared" si="5"/>
        <v>6.85</v>
      </c>
      <c r="X17" s="1">
        <f t="shared" si="6"/>
        <v>7.38</v>
      </c>
    </row>
    <row r="18" spans="1:24" ht="15.5" thickTop="1" thickBot="1" x14ac:dyDescent="0.4">
      <c r="A18" s="5" t="str">
        <f t="shared" si="7"/>
        <v>2025Q3</v>
      </c>
      <c r="B18" s="2">
        <f t="shared" si="8"/>
        <v>4436.9260000000004</v>
      </c>
      <c r="C18" s="3">
        <f t="shared" si="8"/>
        <v>4649.0820000000003</v>
      </c>
      <c r="D18" s="2">
        <f t="shared" si="8"/>
        <v>4861.2380000000003</v>
      </c>
      <c r="E18" s="2">
        <f t="shared" si="9"/>
        <v>6.32</v>
      </c>
      <c r="F18" s="3">
        <f t="shared" si="9"/>
        <v>6.85</v>
      </c>
      <c r="G18" s="2">
        <f t="shared" si="9"/>
        <v>7.38</v>
      </c>
      <c r="K18" s="14" t="s">
        <v>80</v>
      </c>
      <c r="L18" s="55">
        <v>4712.6439227057599</v>
      </c>
      <c r="M18" s="55">
        <v>4500.4877268857999</v>
      </c>
      <c r="N18" s="55">
        <v>4924.8001185257199</v>
      </c>
      <c r="O18" s="1">
        <f t="shared" si="0"/>
        <v>4500.4880000000003</v>
      </c>
      <c r="P18" s="1">
        <f t="shared" si="1"/>
        <v>4712.6440000000002</v>
      </c>
      <c r="Q18" s="1">
        <f t="shared" si="2"/>
        <v>4924.8</v>
      </c>
      <c r="R18" s="14" t="str">
        <f t="shared" si="3"/>
        <v>2025Q4</v>
      </c>
      <c r="S18" s="38">
        <v>6.9083423628599459</v>
      </c>
      <c r="T18" s="38">
        <v>6.3618726568662414</v>
      </c>
      <c r="U18" s="38">
        <v>7.4548120688536503</v>
      </c>
      <c r="V18" s="1">
        <f t="shared" si="4"/>
        <v>6.3620000000000001</v>
      </c>
      <c r="W18" s="1">
        <f t="shared" si="5"/>
        <v>6.9080000000000004</v>
      </c>
      <c r="X18" s="1">
        <f t="shared" si="6"/>
        <v>7.4550000000000001</v>
      </c>
    </row>
    <row r="19" spans="1:24" ht="15.5" thickTop="1" thickBot="1" x14ac:dyDescent="0.4">
      <c r="A19" s="5" t="str">
        <f t="shared" si="7"/>
        <v>2025Q4</v>
      </c>
      <c r="B19" s="2">
        <f t="shared" si="8"/>
        <v>4500.4880000000003</v>
      </c>
      <c r="C19" s="3">
        <f t="shared" si="8"/>
        <v>4712.6440000000002</v>
      </c>
      <c r="D19" s="2">
        <f t="shared" si="8"/>
        <v>4924.8</v>
      </c>
      <c r="E19" s="2">
        <f t="shared" si="9"/>
        <v>6.3620000000000001</v>
      </c>
      <c r="F19" s="3">
        <f t="shared" si="9"/>
        <v>6.9080000000000004</v>
      </c>
      <c r="G19" s="2">
        <f t="shared" si="9"/>
        <v>7.4550000000000001</v>
      </c>
      <c r="K19" s="14" t="s">
        <v>92</v>
      </c>
      <c r="L19" s="55">
        <v>4495.0105253010743</v>
      </c>
      <c r="M19" s="55">
        <v>4282.8543294811143</v>
      </c>
      <c r="N19" s="55">
        <v>4707.1667211210342</v>
      </c>
      <c r="O19" s="1">
        <f t="shared" si="0"/>
        <v>4282.8540000000003</v>
      </c>
      <c r="P19" s="1">
        <f t="shared" si="1"/>
        <v>4495.0110000000004</v>
      </c>
      <c r="Q19" s="1">
        <f t="shared" si="2"/>
        <v>4707.1670000000004</v>
      </c>
      <c r="R19" s="14" t="str">
        <f t="shared" si="3"/>
        <v>2026Q1</v>
      </c>
      <c r="S19" s="38">
        <v>6.8728935955250803</v>
      </c>
      <c r="T19" s="38">
        <v>6.3105251956795261</v>
      </c>
      <c r="U19" s="38">
        <v>7.4352619953706345</v>
      </c>
      <c r="V19" s="1">
        <f t="shared" si="4"/>
        <v>6.3109999999999999</v>
      </c>
      <c r="W19" s="1">
        <f t="shared" si="5"/>
        <v>6.8730000000000002</v>
      </c>
      <c r="X19" s="1">
        <f t="shared" si="6"/>
        <v>7.4349999999999996</v>
      </c>
    </row>
    <row r="20" spans="1:24" ht="15.5" thickTop="1" thickBot="1" x14ac:dyDescent="0.4">
      <c r="A20" s="5" t="str">
        <f t="shared" si="7"/>
        <v>2026Q1</v>
      </c>
      <c r="B20" s="2">
        <f t="shared" si="8"/>
        <v>4282.8540000000003</v>
      </c>
      <c r="C20" s="3">
        <f t="shared" si="8"/>
        <v>4495.0110000000004</v>
      </c>
      <c r="D20" s="2">
        <f t="shared" si="8"/>
        <v>4707.1670000000004</v>
      </c>
      <c r="E20" s="2">
        <f t="shared" si="9"/>
        <v>6.3109999999999999</v>
      </c>
      <c r="F20" s="3">
        <f t="shared" si="9"/>
        <v>6.8730000000000002</v>
      </c>
      <c r="G20" s="2">
        <f t="shared" si="9"/>
        <v>7.4349999999999996</v>
      </c>
      <c r="K20" s="14" t="s">
        <v>93</v>
      </c>
      <c r="L20" s="55">
        <v>4759.9016822763224</v>
      </c>
      <c r="M20" s="55">
        <v>4547.7454864563624</v>
      </c>
      <c r="N20" s="55">
        <v>4972.0578780962824</v>
      </c>
      <c r="O20" s="1">
        <f t="shared" si="0"/>
        <v>4547.7449999999999</v>
      </c>
      <c r="P20" s="1">
        <f t="shared" si="1"/>
        <v>4759.902</v>
      </c>
      <c r="Q20" s="1">
        <f t="shared" si="2"/>
        <v>4972.058</v>
      </c>
      <c r="R20" s="14" t="str">
        <f t="shared" si="3"/>
        <v>2026Q2</v>
      </c>
      <c r="S20" s="38">
        <v>7.0378617649825816</v>
      </c>
      <c r="T20" s="38">
        <v>6.4600319576215455</v>
      </c>
      <c r="U20" s="38">
        <v>7.6156915723436178</v>
      </c>
      <c r="V20" s="1">
        <f t="shared" si="4"/>
        <v>6.46</v>
      </c>
      <c r="W20" s="1">
        <f t="shared" si="5"/>
        <v>7.0380000000000003</v>
      </c>
      <c r="X20" s="1">
        <f t="shared" si="6"/>
        <v>7.6159999999999997</v>
      </c>
    </row>
    <row r="21" spans="1:24" ht="15.5" thickTop="1" thickBot="1" x14ac:dyDescent="0.4">
      <c r="A21" s="5" t="str">
        <f t="shared" si="7"/>
        <v>2026Q2</v>
      </c>
      <c r="B21" s="2">
        <f t="shared" ref="B21:D35" si="10">O20</f>
        <v>4547.7449999999999</v>
      </c>
      <c r="C21" s="3">
        <f t="shared" si="10"/>
        <v>4759.902</v>
      </c>
      <c r="D21" s="2">
        <f t="shared" si="10"/>
        <v>4972.058</v>
      </c>
      <c r="E21" s="2">
        <f t="shared" ref="E21:G35" si="11">V20</f>
        <v>6.46</v>
      </c>
      <c r="F21" s="3">
        <f t="shared" si="11"/>
        <v>7.0380000000000003</v>
      </c>
      <c r="G21" s="2">
        <f t="shared" si="11"/>
        <v>7.6159999999999997</v>
      </c>
      <c r="K21" s="14" t="s">
        <v>94</v>
      </c>
      <c r="L21" s="55">
        <v>4750.8725577712157</v>
      </c>
      <c r="M21" s="55">
        <v>4538.7163619512557</v>
      </c>
      <c r="N21" s="55">
        <v>4963.0287535911757</v>
      </c>
      <c r="O21" s="1">
        <f t="shared" si="0"/>
        <v>4538.7160000000003</v>
      </c>
      <c r="P21" s="1">
        <f t="shared" si="1"/>
        <v>4750.8729999999996</v>
      </c>
      <c r="Q21" s="1">
        <f t="shared" si="2"/>
        <v>4963.0290000000005</v>
      </c>
      <c r="R21" s="14" t="str">
        <f t="shared" si="3"/>
        <v>2026Q3</v>
      </c>
      <c r="S21" s="38">
        <v>7.0597021708660028</v>
      </c>
      <c r="T21" s="38">
        <v>6.4668140205809141</v>
      </c>
      <c r="U21" s="38">
        <v>7.6525903211510915</v>
      </c>
      <c r="V21" s="1">
        <f t="shared" si="4"/>
        <v>6.4669999999999996</v>
      </c>
      <c r="W21" s="1">
        <f t="shared" si="5"/>
        <v>7.06</v>
      </c>
      <c r="X21" s="1">
        <f t="shared" si="6"/>
        <v>7.6529999999999996</v>
      </c>
    </row>
    <row r="22" spans="1:24" ht="15.5" thickTop="1" thickBot="1" x14ac:dyDescent="0.4">
      <c r="A22" s="5" t="str">
        <f t="shared" si="7"/>
        <v>2026Q3</v>
      </c>
      <c r="B22" s="2">
        <f t="shared" si="10"/>
        <v>4538.7160000000003</v>
      </c>
      <c r="C22" s="3">
        <f t="shared" si="10"/>
        <v>4750.8729999999996</v>
      </c>
      <c r="D22" s="2">
        <f t="shared" si="10"/>
        <v>4963.0290000000005</v>
      </c>
      <c r="E22" s="2">
        <f t="shared" si="11"/>
        <v>6.4669999999999996</v>
      </c>
      <c r="F22" s="3">
        <f t="shared" si="11"/>
        <v>7.06</v>
      </c>
      <c r="G22" s="2">
        <f t="shared" si="11"/>
        <v>7.6529999999999996</v>
      </c>
      <c r="K22" s="14" t="s">
        <v>95</v>
      </c>
      <c r="L22" s="55">
        <v>4814.4343655079156</v>
      </c>
      <c r="M22" s="55">
        <v>4602.2781696879556</v>
      </c>
      <c r="N22" s="55">
        <v>5026.5905613278755</v>
      </c>
      <c r="O22" s="1">
        <f t="shared" si="0"/>
        <v>4602.2780000000002</v>
      </c>
      <c r="P22" s="1">
        <f t="shared" si="1"/>
        <v>4814.4340000000002</v>
      </c>
      <c r="Q22" s="1">
        <f t="shared" si="2"/>
        <v>5026.5910000000003</v>
      </c>
      <c r="R22" s="14" t="str">
        <f t="shared" si="3"/>
        <v>2026Q4</v>
      </c>
      <c r="S22" s="38">
        <v>7.1177914839242655</v>
      </c>
      <c r="T22" s="38">
        <v>6.5102180892644652</v>
      </c>
      <c r="U22" s="38">
        <v>7.7253648785840658</v>
      </c>
      <c r="V22" s="1">
        <f t="shared" si="4"/>
        <v>6.51</v>
      </c>
      <c r="W22" s="1">
        <f t="shared" si="5"/>
        <v>7.1180000000000003</v>
      </c>
      <c r="X22" s="1">
        <f t="shared" si="6"/>
        <v>7.7249999999999996</v>
      </c>
    </row>
    <row r="23" spans="1:24" ht="15.5" thickTop="1" thickBot="1" x14ac:dyDescent="0.4">
      <c r="A23" s="5" t="str">
        <f t="shared" si="7"/>
        <v>2026Q4</v>
      </c>
      <c r="B23" s="2">
        <f t="shared" si="10"/>
        <v>4602.2780000000002</v>
      </c>
      <c r="C23" s="3">
        <f t="shared" si="10"/>
        <v>4814.4340000000002</v>
      </c>
      <c r="D23" s="2">
        <f t="shared" si="10"/>
        <v>5026.5910000000003</v>
      </c>
      <c r="E23" s="2">
        <f t="shared" si="11"/>
        <v>6.51</v>
      </c>
      <c r="F23" s="3">
        <f t="shared" si="11"/>
        <v>7.1180000000000003</v>
      </c>
      <c r="G23" s="2">
        <f t="shared" si="11"/>
        <v>7.7249999999999996</v>
      </c>
      <c r="K23" s="14" t="s">
        <v>96</v>
      </c>
      <c r="L23" s="55">
        <v>4596.800968103209</v>
      </c>
      <c r="M23" s="55">
        <v>4384.644772283249</v>
      </c>
      <c r="N23" s="55">
        <v>4808.957163923169</v>
      </c>
      <c r="O23" s="1">
        <f t="shared" si="0"/>
        <v>4384.6450000000004</v>
      </c>
      <c r="P23" s="1">
        <f t="shared" si="1"/>
        <v>4596.8010000000004</v>
      </c>
      <c r="Q23" s="1">
        <f t="shared" si="2"/>
        <v>4808.9570000000003</v>
      </c>
      <c r="R23" s="14" t="str">
        <f t="shared" si="3"/>
        <v>2027Q1</v>
      </c>
      <c r="S23" s="38">
        <v>7.0823427929819953</v>
      </c>
      <c r="T23" s="38">
        <v>6.4604308204550289</v>
      </c>
      <c r="U23" s="38">
        <v>7.7042547655089617</v>
      </c>
      <c r="V23" s="1">
        <f t="shared" si="4"/>
        <v>6.46</v>
      </c>
      <c r="W23" s="1">
        <f t="shared" si="5"/>
        <v>7.0819999999999999</v>
      </c>
      <c r="X23" s="1">
        <f t="shared" si="6"/>
        <v>7.7039999999999997</v>
      </c>
    </row>
    <row r="24" spans="1:24" ht="15.5" thickTop="1" thickBot="1" x14ac:dyDescent="0.4">
      <c r="A24" s="5" t="str">
        <f t="shared" si="7"/>
        <v>2027Q1</v>
      </c>
      <c r="B24" s="2">
        <f t="shared" si="10"/>
        <v>4384.6450000000004</v>
      </c>
      <c r="C24" s="3">
        <f t="shared" si="10"/>
        <v>4596.8010000000004</v>
      </c>
      <c r="D24" s="2">
        <f t="shared" si="10"/>
        <v>4808.9570000000003</v>
      </c>
      <c r="E24" s="2">
        <f t="shared" si="11"/>
        <v>6.46</v>
      </c>
      <c r="F24" s="3">
        <f t="shared" si="11"/>
        <v>7.0819999999999999</v>
      </c>
      <c r="G24" s="2">
        <f t="shared" si="11"/>
        <v>7.7039999999999997</v>
      </c>
      <c r="K24" s="14" t="s">
        <v>97</v>
      </c>
      <c r="L24" s="55">
        <v>4861.6921250784599</v>
      </c>
      <c r="M24" s="55">
        <v>4649.5359292584999</v>
      </c>
      <c r="N24" s="55">
        <v>5073.8483208984198</v>
      </c>
      <c r="O24" s="1">
        <f t="shared" si="0"/>
        <v>4649.5360000000001</v>
      </c>
      <c r="P24" s="1">
        <f t="shared" si="1"/>
        <v>4861.692</v>
      </c>
      <c r="Q24" s="1">
        <f t="shared" si="2"/>
        <v>5073.848</v>
      </c>
      <c r="R24" s="14" t="str">
        <f t="shared" si="3"/>
        <v>2027Q2</v>
      </c>
      <c r="S24" s="38">
        <v>7.2473109321976228</v>
      </c>
      <c r="T24" s="38">
        <v>6.6113835990542071</v>
      </c>
      <c r="U24" s="38">
        <v>7.8832382653410384</v>
      </c>
      <c r="V24" s="1">
        <f t="shared" si="4"/>
        <v>6.6109999999999998</v>
      </c>
      <c r="W24" s="1">
        <f t="shared" si="5"/>
        <v>7.2469999999999999</v>
      </c>
      <c r="X24" s="1">
        <f t="shared" si="6"/>
        <v>7.883</v>
      </c>
    </row>
    <row r="25" spans="1:24" ht="15.5" thickTop="1" thickBot="1" x14ac:dyDescent="0.4">
      <c r="A25" s="5" t="str">
        <f t="shared" si="7"/>
        <v>2027Q2</v>
      </c>
      <c r="B25" s="2">
        <f t="shared" si="10"/>
        <v>4649.5360000000001</v>
      </c>
      <c r="C25" s="3">
        <f t="shared" si="10"/>
        <v>4861.692</v>
      </c>
      <c r="D25" s="2">
        <f t="shared" si="10"/>
        <v>5073.848</v>
      </c>
      <c r="E25" s="2">
        <f t="shared" si="11"/>
        <v>6.6109999999999998</v>
      </c>
      <c r="F25" s="3">
        <f t="shared" si="11"/>
        <v>7.2469999999999999</v>
      </c>
      <c r="G25" s="2">
        <f t="shared" si="11"/>
        <v>7.883</v>
      </c>
      <c r="K25" s="14" t="s">
        <v>98</v>
      </c>
      <c r="L25" s="55">
        <v>4852.6630005733523</v>
      </c>
      <c r="M25" s="55">
        <v>4640.5068047533923</v>
      </c>
      <c r="N25" s="55">
        <v>5064.8191963933123</v>
      </c>
      <c r="O25" s="1">
        <f t="shared" si="0"/>
        <v>4640.5069999999996</v>
      </c>
      <c r="P25" s="1">
        <f t="shared" si="1"/>
        <v>4852.6629999999996</v>
      </c>
      <c r="Q25" s="1">
        <f t="shared" si="2"/>
        <v>5064.8190000000004</v>
      </c>
      <c r="R25" s="14" t="str">
        <f t="shared" si="3"/>
        <v>2027Q3</v>
      </c>
      <c r="S25" s="38">
        <v>7.2691513500530274</v>
      </c>
      <c r="T25" s="38">
        <v>6.619510953689371</v>
      </c>
      <c r="U25" s="38">
        <v>7.9187917464166837</v>
      </c>
      <c r="V25" s="1">
        <f t="shared" si="4"/>
        <v>6.62</v>
      </c>
      <c r="W25" s="1">
        <f t="shared" si="5"/>
        <v>7.2690000000000001</v>
      </c>
      <c r="X25" s="1">
        <f t="shared" si="6"/>
        <v>7.9189999999999996</v>
      </c>
    </row>
    <row r="26" spans="1:24" ht="15.5" thickTop="1" thickBot="1" x14ac:dyDescent="0.4">
      <c r="A26" s="5" t="str">
        <f t="shared" si="7"/>
        <v>2027Q3</v>
      </c>
      <c r="B26" s="2">
        <f t="shared" si="10"/>
        <v>4640.5069999999996</v>
      </c>
      <c r="C26" s="3">
        <f t="shared" si="10"/>
        <v>4852.6629999999996</v>
      </c>
      <c r="D26" s="2">
        <f t="shared" si="10"/>
        <v>5064.8190000000004</v>
      </c>
      <c r="E26" s="2">
        <f t="shared" si="11"/>
        <v>6.62</v>
      </c>
      <c r="F26" s="3">
        <f t="shared" si="11"/>
        <v>7.2690000000000001</v>
      </c>
      <c r="G26" s="2">
        <f t="shared" si="11"/>
        <v>7.9189999999999996</v>
      </c>
      <c r="K26" s="14" t="s">
        <v>99</v>
      </c>
      <c r="L26" s="55">
        <v>4916.2248083100521</v>
      </c>
      <c r="M26" s="55">
        <v>4704.0686124900922</v>
      </c>
      <c r="N26" s="55">
        <v>5128.3810041300121</v>
      </c>
      <c r="O26" s="1">
        <f t="shared" si="0"/>
        <v>4704.0690000000004</v>
      </c>
      <c r="P26" s="1">
        <f t="shared" si="1"/>
        <v>4916.2250000000004</v>
      </c>
      <c r="Q26" s="1">
        <f t="shared" si="2"/>
        <v>5128.3810000000003</v>
      </c>
      <c r="R26" s="14" t="str">
        <f t="shared" si="3"/>
        <v>2027Q4</v>
      </c>
      <c r="S26" s="38">
        <v>7.3272406583718883</v>
      </c>
      <c r="T26" s="38">
        <v>6.6641707404117589</v>
      </c>
      <c r="U26" s="38">
        <v>7.9903105763320177</v>
      </c>
      <c r="V26" s="1">
        <f t="shared" si="4"/>
        <v>6.6639999999999997</v>
      </c>
      <c r="W26" s="1">
        <f t="shared" si="5"/>
        <v>7.327</v>
      </c>
      <c r="X26" s="1">
        <f t="shared" si="6"/>
        <v>7.99</v>
      </c>
    </row>
    <row r="27" spans="1:24" ht="15.5" thickTop="1" thickBot="1" x14ac:dyDescent="0.4">
      <c r="A27" s="5" t="str">
        <f t="shared" si="7"/>
        <v>2027Q4</v>
      </c>
      <c r="B27" s="2">
        <f t="shared" si="10"/>
        <v>4704.0690000000004</v>
      </c>
      <c r="C27" s="3">
        <f t="shared" si="10"/>
        <v>4916.2250000000004</v>
      </c>
      <c r="D27" s="2">
        <f t="shared" si="10"/>
        <v>5128.3810000000003</v>
      </c>
      <c r="E27" s="2">
        <f t="shared" si="11"/>
        <v>6.6639999999999997</v>
      </c>
      <c r="F27" s="3">
        <f t="shared" si="11"/>
        <v>7.327</v>
      </c>
      <c r="G27" s="2">
        <f t="shared" si="11"/>
        <v>7.99</v>
      </c>
      <c r="K27" s="14" t="s">
        <v>100</v>
      </c>
      <c r="L27" s="55">
        <v>4698.5914109053465</v>
      </c>
      <c r="M27" s="55">
        <v>4486.4352150853865</v>
      </c>
      <c r="N27" s="55">
        <v>4910.7476067253065</v>
      </c>
      <c r="O27" s="1">
        <f t="shared" si="0"/>
        <v>4486.4350000000004</v>
      </c>
      <c r="P27" s="1">
        <f t="shared" si="1"/>
        <v>4698.5910000000003</v>
      </c>
      <c r="Q27" s="1">
        <f t="shared" si="2"/>
        <v>4910.7479999999996</v>
      </c>
      <c r="R27" s="14" t="str">
        <f t="shared" si="3"/>
        <v>2028Q1</v>
      </c>
      <c r="S27" s="38">
        <v>7.2917919693058257</v>
      </c>
      <c r="T27" s="38">
        <v>6.6155591782991738</v>
      </c>
      <c r="U27" s="38">
        <v>7.9680247603124768</v>
      </c>
      <c r="V27" s="1">
        <f t="shared" si="4"/>
        <v>6.6159999999999997</v>
      </c>
      <c r="W27" s="1">
        <f t="shared" si="5"/>
        <v>7.2919999999999998</v>
      </c>
      <c r="X27" s="1">
        <f t="shared" si="6"/>
        <v>7.968</v>
      </c>
    </row>
    <row r="28" spans="1:24" ht="15.5" thickTop="1" thickBot="1" x14ac:dyDescent="0.4">
      <c r="A28" s="5" t="str">
        <f t="shared" si="7"/>
        <v>2028Q1</v>
      </c>
      <c r="B28" s="2">
        <f t="shared" si="10"/>
        <v>4486.4350000000004</v>
      </c>
      <c r="C28" s="3">
        <f t="shared" si="10"/>
        <v>4698.5910000000003</v>
      </c>
      <c r="D28" s="2">
        <f t="shared" si="10"/>
        <v>4910.7479999999996</v>
      </c>
      <c r="E28" s="2">
        <f t="shared" si="11"/>
        <v>6.6159999999999997</v>
      </c>
      <c r="F28" s="3">
        <f t="shared" si="11"/>
        <v>7.2919999999999998</v>
      </c>
      <c r="G28" s="2">
        <f t="shared" si="11"/>
        <v>7.968</v>
      </c>
      <c r="K28" s="14" t="s">
        <v>101</v>
      </c>
      <c r="L28" s="55">
        <v>4963.4825678805973</v>
      </c>
      <c r="M28" s="55">
        <v>4751.3263720606374</v>
      </c>
      <c r="N28" s="55">
        <v>5175.6387637005573</v>
      </c>
      <c r="O28" s="1">
        <f t="shared" si="0"/>
        <v>4751.326</v>
      </c>
      <c r="P28" s="1">
        <f t="shared" si="1"/>
        <v>4963.4830000000002</v>
      </c>
      <c r="Q28" s="1">
        <f t="shared" si="2"/>
        <v>5175.6390000000001</v>
      </c>
      <c r="R28" s="14" t="str">
        <f t="shared" si="3"/>
        <v>2028Q2</v>
      </c>
      <c r="S28" s="38">
        <v>7.4567601077787113</v>
      </c>
      <c r="T28" s="38">
        <v>6.7676158129053192</v>
      </c>
      <c r="U28" s="38">
        <v>8.1459044026521035</v>
      </c>
      <c r="V28" s="1">
        <f t="shared" si="4"/>
        <v>6.7679999999999998</v>
      </c>
      <c r="W28" s="1">
        <f t="shared" si="5"/>
        <v>7.4569999999999999</v>
      </c>
      <c r="X28" s="1">
        <f t="shared" si="6"/>
        <v>8.1460000000000008</v>
      </c>
    </row>
    <row r="29" spans="1:24" ht="15.5" thickTop="1" thickBot="1" x14ac:dyDescent="0.4">
      <c r="A29" s="5" t="str">
        <f t="shared" si="7"/>
        <v>2028Q2</v>
      </c>
      <c r="B29" s="2">
        <f t="shared" si="10"/>
        <v>4751.326</v>
      </c>
      <c r="C29" s="3">
        <f t="shared" si="10"/>
        <v>4963.4830000000002</v>
      </c>
      <c r="D29" s="2">
        <f t="shared" si="10"/>
        <v>5175.6390000000001</v>
      </c>
      <c r="E29" s="2">
        <f t="shared" si="11"/>
        <v>6.7679999999999998</v>
      </c>
      <c r="F29" s="3">
        <f t="shared" si="11"/>
        <v>7.4569999999999999</v>
      </c>
      <c r="G29" s="2">
        <f t="shared" si="11"/>
        <v>8.1460000000000008</v>
      </c>
      <c r="K29" s="14" t="s">
        <v>102</v>
      </c>
      <c r="L29" s="55">
        <v>4954.4534433754898</v>
      </c>
      <c r="M29" s="55">
        <v>4742.2972475555298</v>
      </c>
      <c r="N29" s="55">
        <v>5166.6096391954497</v>
      </c>
      <c r="O29" s="1">
        <f t="shared" si="0"/>
        <v>4742.2969999999996</v>
      </c>
      <c r="P29" s="1">
        <f t="shared" si="1"/>
        <v>4954.4530000000004</v>
      </c>
      <c r="Q29" s="1">
        <f t="shared" si="2"/>
        <v>5166.6099999999997</v>
      </c>
      <c r="R29" s="14" t="str">
        <f t="shared" si="3"/>
        <v>2028Q3</v>
      </c>
      <c r="S29" s="38">
        <v>7.4786005259281483</v>
      </c>
      <c r="T29" s="38">
        <v>6.776782222745295</v>
      </c>
      <c r="U29" s="38">
        <v>8.1804188291110016</v>
      </c>
      <c r="V29" s="1">
        <f t="shared" si="4"/>
        <v>6.7770000000000001</v>
      </c>
      <c r="W29" s="1">
        <f t="shared" si="5"/>
        <v>7.4790000000000001</v>
      </c>
      <c r="X29" s="1">
        <f t="shared" si="6"/>
        <v>8.18</v>
      </c>
    </row>
    <row r="30" spans="1:24" ht="15.5" thickTop="1" thickBot="1" x14ac:dyDescent="0.4">
      <c r="A30" s="5" t="str">
        <f t="shared" si="7"/>
        <v>2028Q3</v>
      </c>
      <c r="B30" s="2">
        <f t="shared" si="10"/>
        <v>4742.2969999999996</v>
      </c>
      <c r="C30" s="3">
        <f t="shared" si="10"/>
        <v>4954.4530000000004</v>
      </c>
      <c r="D30" s="2">
        <f t="shared" si="10"/>
        <v>5166.6099999999997</v>
      </c>
      <c r="E30" s="2">
        <f t="shared" si="11"/>
        <v>6.7770000000000001</v>
      </c>
      <c r="F30" s="3">
        <f t="shared" si="11"/>
        <v>7.4790000000000001</v>
      </c>
      <c r="G30" s="2">
        <f t="shared" si="11"/>
        <v>8.18</v>
      </c>
      <c r="K30" s="14" t="s">
        <v>103</v>
      </c>
      <c r="L30" s="55">
        <v>5018.0152511121887</v>
      </c>
      <c r="M30" s="55">
        <v>4805.8590552922287</v>
      </c>
      <c r="N30" s="55">
        <v>5230.1714469321487</v>
      </c>
      <c r="O30" s="1">
        <f t="shared" si="0"/>
        <v>4805.8590000000004</v>
      </c>
      <c r="P30" s="1">
        <f t="shared" si="1"/>
        <v>5018.0150000000003</v>
      </c>
      <c r="Q30" s="1">
        <f t="shared" si="2"/>
        <v>5230.1710000000003</v>
      </c>
      <c r="R30" s="14" t="str">
        <f t="shared" si="3"/>
        <v>2028Q4</v>
      </c>
      <c r="S30" s="38">
        <v>7.5366898341306081</v>
      </c>
      <c r="T30" s="38">
        <v>6.8224223756757398</v>
      </c>
      <c r="U30" s="38">
        <v>8.2509572925854755</v>
      </c>
      <c r="V30" s="1">
        <f t="shared" si="4"/>
        <v>6.8220000000000001</v>
      </c>
      <c r="W30" s="1">
        <f t="shared" si="5"/>
        <v>7.5369999999999999</v>
      </c>
      <c r="X30" s="1">
        <f t="shared" si="6"/>
        <v>8.2509999999999994</v>
      </c>
    </row>
    <row r="31" spans="1:24" ht="15.5" thickTop="1" thickBot="1" x14ac:dyDescent="0.4">
      <c r="A31" s="5" t="str">
        <f t="shared" si="7"/>
        <v>2028Q4</v>
      </c>
      <c r="B31" s="2">
        <f t="shared" si="10"/>
        <v>4805.8590000000004</v>
      </c>
      <c r="C31" s="3">
        <f t="shared" si="10"/>
        <v>5018.0150000000003</v>
      </c>
      <c r="D31" s="2">
        <f t="shared" si="10"/>
        <v>5230.1710000000003</v>
      </c>
      <c r="E31" s="2">
        <f t="shared" si="11"/>
        <v>6.8220000000000001</v>
      </c>
      <c r="F31" s="3">
        <f t="shared" si="11"/>
        <v>7.5369999999999999</v>
      </c>
      <c r="G31" s="2">
        <f t="shared" si="11"/>
        <v>8.2509999999999994</v>
      </c>
      <c r="K31" s="14" t="s">
        <v>104</v>
      </c>
      <c r="L31" s="55">
        <v>4800.3818537074831</v>
      </c>
      <c r="M31" s="55">
        <v>4588.2256578875231</v>
      </c>
      <c r="N31" s="55">
        <v>5012.538049527443</v>
      </c>
      <c r="O31" s="1">
        <f t="shared" si="0"/>
        <v>4588.2259999999997</v>
      </c>
      <c r="P31" s="1">
        <f t="shared" si="1"/>
        <v>4800.3819999999996</v>
      </c>
      <c r="Q31" s="1">
        <f t="shared" si="2"/>
        <v>5012.5379999999996</v>
      </c>
      <c r="R31" s="14" t="str">
        <f t="shared" si="3"/>
        <v>2029Q1</v>
      </c>
      <c r="S31" s="38">
        <v>7.501241145110626</v>
      </c>
      <c r="T31" s="38">
        <v>6.7747378252744328</v>
      </c>
      <c r="U31" s="38">
        <v>8.2277444649468201</v>
      </c>
      <c r="V31" s="1">
        <f t="shared" si="4"/>
        <v>6.7750000000000004</v>
      </c>
      <c r="W31" s="1">
        <f t="shared" si="5"/>
        <v>7.5010000000000003</v>
      </c>
      <c r="X31" s="1">
        <f t="shared" si="6"/>
        <v>8.2279999999999998</v>
      </c>
    </row>
    <row r="32" spans="1:24" ht="15.5" thickTop="1" thickBot="1" x14ac:dyDescent="0.4">
      <c r="A32" s="5" t="str">
        <f t="shared" si="7"/>
        <v>2029Q1</v>
      </c>
      <c r="B32" s="2">
        <f t="shared" si="10"/>
        <v>4588.2259999999997</v>
      </c>
      <c r="C32" s="3">
        <f t="shared" si="10"/>
        <v>4800.3819999999996</v>
      </c>
      <c r="D32" s="2">
        <f t="shared" si="10"/>
        <v>5012.5379999999996</v>
      </c>
      <c r="E32" s="2">
        <f t="shared" si="11"/>
        <v>6.7750000000000004</v>
      </c>
      <c r="F32" s="3">
        <f t="shared" si="11"/>
        <v>7.5010000000000003</v>
      </c>
      <c r="G32" s="2">
        <f t="shared" si="11"/>
        <v>8.2279999999999998</v>
      </c>
      <c r="K32" s="14" t="s">
        <v>105</v>
      </c>
      <c r="L32" s="55">
        <v>5065.2730106827348</v>
      </c>
      <c r="M32" s="55">
        <v>4853.1168148627748</v>
      </c>
      <c r="N32" s="55">
        <v>5277.4292065026948</v>
      </c>
      <c r="O32" s="1">
        <f t="shared" si="0"/>
        <v>4853.1170000000002</v>
      </c>
      <c r="P32" s="1">
        <f t="shared" si="1"/>
        <v>5065.2730000000001</v>
      </c>
      <c r="Q32" s="1">
        <f t="shared" si="2"/>
        <v>5277.4290000000001</v>
      </c>
      <c r="R32" s="14" t="str">
        <f t="shared" si="3"/>
        <v>2029Q2</v>
      </c>
      <c r="S32" s="38">
        <v>7.6662092835652693</v>
      </c>
      <c r="T32" s="38">
        <v>6.9276727947860639</v>
      </c>
      <c r="U32" s="38">
        <v>8.4047457723444747</v>
      </c>
      <c r="V32" s="1">
        <f t="shared" si="4"/>
        <v>6.9279999999999999</v>
      </c>
      <c r="W32" s="1">
        <f t="shared" si="5"/>
        <v>7.6660000000000004</v>
      </c>
      <c r="X32" s="1">
        <f t="shared" si="6"/>
        <v>8.4049999999999994</v>
      </c>
    </row>
    <row r="33" spans="1:24" ht="15.5" thickTop="1" thickBot="1" x14ac:dyDescent="0.4">
      <c r="A33" s="5" t="str">
        <f t="shared" si="7"/>
        <v>2029Q2</v>
      </c>
      <c r="B33" s="2">
        <f t="shared" si="10"/>
        <v>4853.1170000000002</v>
      </c>
      <c r="C33" s="3">
        <f t="shared" si="10"/>
        <v>5065.2730000000001</v>
      </c>
      <c r="D33" s="2">
        <f t="shared" si="10"/>
        <v>5277.4290000000001</v>
      </c>
      <c r="E33" s="2">
        <f t="shared" si="11"/>
        <v>6.9279999999999999</v>
      </c>
      <c r="F33" s="3">
        <f t="shared" si="11"/>
        <v>7.6660000000000004</v>
      </c>
      <c r="G33" s="2">
        <f t="shared" si="11"/>
        <v>8.4049999999999994</v>
      </c>
      <c r="K33" s="14" t="s">
        <v>106</v>
      </c>
      <c r="L33" s="55">
        <v>5056.2438861776272</v>
      </c>
      <c r="M33" s="55">
        <v>4844.0876903576673</v>
      </c>
      <c r="N33" s="55">
        <v>5268.4000819975872</v>
      </c>
      <c r="O33" s="1">
        <f t="shared" si="0"/>
        <v>4844.0879999999997</v>
      </c>
      <c r="P33" s="1">
        <f t="shared" si="1"/>
        <v>5056.2439999999997</v>
      </c>
      <c r="Q33" s="1">
        <f t="shared" si="2"/>
        <v>5268.4</v>
      </c>
      <c r="R33" s="14" t="str">
        <f t="shared" si="3"/>
        <v>2029Q3</v>
      </c>
      <c r="S33" s="38">
        <v>7.6880497017219289</v>
      </c>
      <c r="T33" s="38">
        <v>6.9376729851430659</v>
      </c>
      <c r="U33" s="38">
        <v>8.4384264183007911</v>
      </c>
      <c r="V33" s="1">
        <f t="shared" si="4"/>
        <v>6.9379999999999997</v>
      </c>
      <c r="W33" s="1">
        <f t="shared" si="5"/>
        <v>7.6879999999999997</v>
      </c>
      <c r="X33" s="1">
        <f t="shared" si="6"/>
        <v>8.4380000000000006</v>
      </c>
    </row>
    <row r="34" spans="1:24" ht="15.5" thickTop="1" thickBot="1" x14ac:dyDescent="0.4">
      <c r="A34" s="5" t="str">
        <f t="shared" si="7"/>
        <v>2029Q3</v>
      </c>
      <c r="B34" s="2">
        <f t="shared" si="10"/>
        <v>4844.0879999999997</v>
      </c>
      <c r="C34" s="3">
        <f t="shared" si="10"/>
        <v>5056.2439999999997</v>
      </c>
      <c r="D34" s="2">
        <f t="shared" si="10"/>
        <v>5268.4</v>
      </c>
      <c r="E34" s="2">
        <f t="shared" si="11"/>
        <v>6.9379999999999997</v>
      </c>
      <c r="F34" s="3">
        <f t="shared" si="11"/>
        <v>7.6879999999999997</v>
      </c>
      <c r="G34" s="2">
        <f t="shared" si="11"/>
        <v>8.4380000000000006</v>
      </c>
      <c r="K34" s="14" t="s">
        <v>107</v>
      </c>
      <c r="L34" s="55">
        <v>5119.8056939143262</v>
      </c>
      <c r="M34" s="55">
        <v>4907.6494980943662</v>
      </c>
      <c r="N34" s="55">
        <v>5331.9618897342862</v>
      </c>
      <c r="O34" s="1">
        <f t="shared" si="0"/>
        <v>4907.6490000000003</v>
      </c>
      <c r="P34" s="1">
        <f t="shared" si="1"/>
        <v>5119.8059999999996</v>
      </c>
      <c r="Q34" s="1">
        <f t="shared" si="2"/>
        <v>5331.9620000000004</v>
      </c>
      <c r="R34" s="14" t="str">
        <f t="shared" si="3"/>
        <v>2029Q4</v>
      </c>
      <c r="S34" s="38">
        <v>7.7461390099215297</v>
      </c>
      <c r="T34" s="38">
        <v>6.9841060130578683</v>
      </c>
      <c r="U34" s="38">
        <v>8.5081720067851911</v>
      </c>
      <c r="V34" s="1">
        <f t="shared" si="4"/>
        <v>6.984</v>
      </c>
      <c r="W34" s="1">
        <f t="shared" si="5"/>
        <v>7.7460000000000004</v>
      </c>
      <c r="X34" s="1">
        <f t="shared" si="6"/>
        <v>8.5079999999999991</v>
      </c>
    </row>
    <row r="35" spans="1:24" ht="13" thickTop="1" thickBot="1" x14ac:dyDescent="0.35">
      <c r="A35" s="5" t="str">
        <f t="shared" si="7"/>
        <v>2029Q4</v>
      </c>
      <c r="B35" s="2">
        <f t="shared" si="10"/>
        <v>4907.6490000000003</v>
      </c>
      <c r="C35" s="3">
        <f t="shared" si="10"/>
        <v>5119.8059999999996</v>
      </c>
      <c r="D35" s="2">
        <f t="shared" si="10"/>
        <v>5331.9620000000004</v>
      </c>
      <c r="E35" s="2">
        <f t="shared" si="11"/>
        <v>6.984</v>
      </c>
      <c r="F35" s="3">
        <f t="shared" si="11"/>
        <v>7.7460000000000004</v>
      </c>
      <c r="G35" s="2">
        <f t="shared" si="11"/>
        <v>8.5079999999999991</v>
      </c>
      <c r="K35" s="14"/>
      <c r="R35" s="14"/>
    </row>
    <row r="36" spans="1:24" ht="12.5" thickTop="1" x14ac:dyDescent="0.3"/>
    <row r="38" spans="1:24" x14ac:dyDescent="0.3">
      <c r="A38" s="1" t="s">
        <v>39</v>
      </c>
      <c r="C38" s="1">
        <f>AVERAGE(C4:C35)</f>
        <v>4654.6159375000007</v>
      </c>
      <c r="F38" s="1">
        <f>AVERAGE(F4:F35)</f>
        <v>6.915937500000001</v>
      </c>
    </row>
    <row r="40" spans="1:24" ht="12.5" thickBot="1" x14ac:dyDescent="0.35"/>
    <row r="41" spans="1:24" ht="15.5" thickTop="1" thickBot="1" x14ac:dyDescent="0.4">
      <c r="A41" s="29" t="s">
        <v>86</v>
      </c>
      <c r="B41" s="30"/>
      <c r="C41" s="30"/>
      <c r="D41" s="30"/>
      <c r="E41" s="30"/>
      <c r="F41" s="30"/>
      <c r="G41" s="30"/>
      <c r="K41" s="29" t="s">
        <v>87</v>
      </c>
      <c r="L41" s="30"/>
      <c r="M41" s="30"/>
      <c r="N41" s="30"/>
      <c r="O41" s="30"/>
      <c r="P41" s="30"/>
      <c r="Q41" s="30"/>
    </row>
    <row r="42" spans="1:24" ht="15.5" thickTop="1" thickBot="1" x14ac:dyDescent="0.4">
      <c r="A42" s="6"/>
      <c r="B42" s="30" t="s">
        <v>41</v>
      </c>
      <c r="C42" s="30"/>
      <c r="D42" s="30"/>
      <c r="E42" s="30" t="s">
        <v>2</v>
      </c>
      <c r="F42" s="30"/>
      <c r="G42" s="30"/>
      <c r="K42" s="6"/>
      <c r="L42" s="30" t="s">
        <v>41</v>
      </c>
      <c r="M42" s="30"/>
      <c r="N42" s="30"/>
      <c r="O42" s="30" t="s">
        <v>2</v>
      </c>
      <c r="P42" s="30"/>
      <c r="Q42" s="30"/>
    </row>
    <row r="43" spans="1:24" ht="44.5" thickTop="1" thickBot="1" x14ac:dyDescent="0.4">
      <c r="A43" s="10" t="s">
        <v>0</v>
      </c>
      <c r="B43" s="10" t="s">
        <v>19</v>
      </c>
      <c r="C43" s="11" t="s">
        <v>48</v>
      </c>
      <c r="D43" s="10" t="s">
        <v>20</v>
      </c>
      <c r="E43" s="10" t="s">
        <v>19</v>
      </c>
      <c r="F43" s="11" t="str">
        <f>C43</f>
        <v>Forecast Minus Half A Standard Deviation (millions)</v>
      </c>
      <c r="G43" s="10" t="s">
        <v>20</v>
      </c>
      <c r="K43" s="10" t="s">
        <v>0</v>
      </c>
      <c r="L43" s="10" t="s">
        <v>19</v>
      </c>
      <c r="M43" s="11" t="s">
        <v>40</v>
      </c>
      <c r="N43" s="10" t="s">
        <v>20</v>
      </c>
      <c r="O43" s="10" t="s">
        <v>19</v>
      </c>
      <c r="P43" s="11" t="s">
        <v>40</v>
      </c>
      <c r="Q43" s="10" t="s">
        <v>20</v>
      </c>
    </row>
    <row r="44" spans="1:24" ht="15.5" thickTop="1" thickBot="1" x14ac:dyDescent="0.4">
      <c r="A44" s="7" t="str">
        <f>A4</f>
        <v>2022Q1</v>
      </c>
      <c r="B44" s="6"/>
      <c r="C44" s="9">
        <f>ROUND(C4-((D4-C4)*(0.5/2)),3)</f>
        <v>4054.069</v>
      </c>
      <c r="D44" s="6"/>
      <c r="E44" s="6"/>
      <c r="F44" s="9">
        <f>ROUND(F4-((G4-F4)*(0.5/2)),3)</f>
        <v>5.9249999999999998</v>
      </c>
      <c r="G44" s="6"/>
      <c r="K44" s="7" t="str">
        <f>A4</f>
        <v>2022Q1</v>
      </c>
      <c r="L44" s="6"/>
      <c r="M44" s="9">
        <f>ROUND(C4-((D4-C4)*(1/2)),3)</f>
        <v>4003.364</v>
      </c>
      <c r="N44" s="6"/>
      <c r="O44" s="6"/>
      <c r="P44" s="9">
        <f>ROUND(F4-((G4-F4)*(1/2)),3)</f>
        <v>5.8769999999999998</v>
      </c>
      <c r="Q44" s="6"/>
    </row>
    <row r="45" spans="1:24" ht="15.5" thickTop="1" thickBot="1" x14ac:dyDescent="0.4">
      <c r="A45" s="7" t="str">
        <f t="shared" ref="A45:A75" si="12">A5</f>
        <v>2022Q2</v>
      </c>
      <c r="B45" s="6"/>
      <c r="C45" s="9">
        <f t="shared" ref="C45:C75" si="13">ROUND(C5-((D5-C5)*(0.5/2)),3)</f>
        <v>4297.067</v>
      </c>
      <c r="D45" s="6"/>
      <c r="E45" s="6"/>
      <c r="F45" s="9">
        <f t="shared" ref="F45:F75" si="14">ROUND(F5-((G5-F5)*(0.5/2)),3)</f>
        <v>6.1680000000000001</v>
      </c>
      <c r="G45" s="6"/>
      <c r="K45" s="7" t="str">
        <f t="shared" ref="K45:K75" si="15">A5</f>
        <v>2022Q2</v>
      </c>
      <c r="L45" s="6"/>
      <c r="M45" s="9">
        <f t="shared" ref="M45:M75" si="16">ROUND(C5-((D5-C5)*(1/2)),3)</f>
        <v>4244.0860000000002</v>
      </c>
      <c r="N45" s="6"/>
      <c r="O45" s="6"/>
      <c r="P45" s="9">
        <f t="shared" ref="P45:P75" si="17">ROUND(F5-((G5-F5)*(1/2)),3)</f>
        <v>6.1130000000000004</v>
      </c>
      <c r="Q45" s="6"/>
    </row>
    <row r="46" spans="1:24" ht="15.5" thickTop="1" thickBot="1" x14ac:dyDescent="0.4">
      <c r="A46" s="7" t="str">
        <f t="shared" si="12"/>
        <v>2022Q3</v>
      </c>
      <c r="B46" s="6"/>
      <c r="C46" s="9">
        <f t="shared" si="13"/>
        <v>4291.1019999999999</v>
      </c>
      <c r="D46" s="6"/>
      <c r="E46" s="6"/>
      <c r="F46" s="9">
        <f t="shared" si="14"/>
        <v>6.1459999999999999</v>
      </c>
      <c r="G46" s="6"/>
      <c r="K46" s="7" t="str">
        <f t="shared" si="15"/>
        <v>2022Q3</v>
      </c>
      <c r="L46" s="6"/>
      <c r="M46" s="9">
        <f t="shared" si="16"/>
        <v>4238.0640000000003</v>
      </c>
      <c r="N46" s="6"/>
      <c r="O46" s="6"/>
      <c r="P46" s="9">
        <f t="shared" si="17"/>
        <v>6.08</v>
      </c>
      <c r="Q46" s="6"/>
    </row>
    <row r="47" spans="1:24" ht="15.5" thickTop="1" thickBot="1" x14ac:dyDescent="0.4">
      <c r="A47" s="7" t="str">
        <f t="shared" si="12"/>
        <v>2022Q4</v>
      </c>
      <c r="B47" s="6"/>
      <c r="C47" s="9">
        <f t="shared" si="13"/>
        <v>4354.165</v>
      </c>
      <c r="D47" s="6"/>
      <c r="E47" s="6"/>
      <c r="F47" s="9">
        <f t="shared" si="14"/>
        <v>6.2110000000000003</v>
      </c>
      <c r="G47" s="6"/>
      <c r="K47" s="7" t="str">
        <f t="shared" si="15"/>
        <v>2022Q4</v>
      </c>
      <c r="L47" s="6"/>
      <c r="M47" s="9">
        <f t="shared" si="16"/>
        <v>4301.1260000000002</v>
      </c>
      <c r="N47" s="6"/>
      <c r="O47" s="6"/>
      <c r="P47" s="9">
        <f t="shared" si="17"/>
        <v>6.1369999999999996</v>
      </c>
      <c r="Q47" s="6"/>
    </row>
    <row r="48" spans="1:24" ht="15.5" thickTop="1" thickBot="1" x14ac:dyDescent="0.4">
      <c r="A48" s="7" t="str">
        <f t="shared" si="12"/>
        <v>2023Q1</v>
      </c>
      <c r="B48" s="6"/>
      <c r="C48" s="9">
        <f t="shared" si="13"/>
        <v>4136.6109999999999</v>
      </c>
      <c r="D48" s="6"/>
      <c r="E48" s="6"/>
      <c r="F48" s="9">
        <f t="shared" si="14"/>
        <v>6.1619999999999999</v>
      </c>
      <c r="G48" s="6"/>
      <c r="K48" s="7" t="str">
        <f t="shared" si="15"/>
        <v>2023Q1</v>
      </c>
      <c r="L48" s="6"/>
      <c r="M48" s="9">
        <f t="shared" si="16"/>
        <v>4083.5720000000001</v>
      </c>
      <c r="N48" s="6"/>
      <c r="O48" s="6"/>
      <c r="P48" s="9">
        <f t="shared" si="17"/>
        <v>6.0810000000000004</v>
      </c>
      <c r="Q48" s="6"/>
    </row>
    <row r="49" spans="1:17" ht="15.5" thickTop="1" thickBot="1" x14ac:dyDescent="0.4">
      <c r="A49" s="7" t="str">
        <f t="shared" si="12"/>
        <v>2023Q2</v>
      </c>
      <c r="B49" s="6"/>
      <c r="C49" s="9">
        <f t="shared" si="13"/>
        <v>4401.49</v>
      </c>
      <c r="D49" s="6"/>
      <c r="E49" s="6"/>
      <c r="F49" s="9">
        <f t="shared" si="14"/>
        <v>6.3230000000000004</v>
      </c>
      <c r="G49" s="6"/>
      <c r="K49" s="7" t="str">
        <f t="shared" si="15"/>
        <v>2023Q2</v>
      </c>
      <c r="L49" s="6"/>
      <c r="M49" s="9">
        <f t="shared" si="16"/>
        <v>4348.451</v>
      </c>
      <c r="N49" s="6"/>
      <c r="O49" s="6"/>
      <c r="P49" s="9">
        <f t="shared" si="17"/>
        <v>6.2350000000000003</v>
      </c>
      <c r="Q49" s="6"/>
    </row>
    <row r="50" spans="1:17" ht="15.5" thickTop="1" thickBot="1" x14ac:dyDescent="0.4">
      <c r="A50" s="7" t="str">
        <f t="shared" si="12"/>
        <v>2023Q3</v>
      </c>
      <c r="B50" s="6"/>
      <c r="C50" s="9">
        <f t="shared" si="13"/>
        <v>4392.4629999999997</v>
      </c>
      <c r="D50" s="6"/>
      <c r="E50" s="6"/>
      <c r="F50" s="9">
        <f t="shared" si="14"/>
        <v>6.3380000000000001</v>
      </c>
      <c r="G50" s="6"/>
      <c r="K50" s="7" t="str">
        <f t="shared" si="15"/>
        <v>2023Q3</v>
      </c>
      <c r="L50" s="6"/>
      <c r="M50" s="9">
        <f t="shared" si="16"/>
        <v>4339.424</v>
      </c>
      <c r="N50" s="6"/>
      <c r="O50" s="6"/>
      <c r="P50" s="9">
        <f t="shared" si="17"/>
        <v>6.2439999999999998</v>
      </c>
      <c r="Q50" s="6"/>
    </row>
    <row r="51" spans="1:17" ht="15.5" thickTop="1" thickBot="1" x14ac:dyDescent="0.4">
      <c r="A51" s="7" t="str">
        <f t="shared" si="12"/>
        <v>2023Q4</v>
      </c>
      <c r="B51" s="6"/>
      <c r="C51" s="9">
        <f t="shared" si="13"/>
        <v>4456.0240000000003</v>
      </c>
      <c r="D51" s="6"/>
      <c r="E51" s="6"/>
      <c r="F51" s="9">
        <f t="shared" si="14"/>
        <v>6.391</v>
      </c>
      <c r="G51" s="6"/>
      <c r="K51" s="7" t="str">
        <f t="shared" si="15"/>
        <v>2023Q4</v>
      </c>
      <c r="L51" s="6"/>
      <c r="M51" s="9">
        <f t="shared" si="16"/>
        <v>4402.9849999999997</v>
      </c>
      <c r="N51" s="6"/>
      <c r="O51" s="6"/>
      <c r="P51" s="9">
        <f t="shared" si="17"/>
        <v>6.2919999999999998</v>
      </c>
      <c r="Q51" s="6"/>
    </row>
    <row r="52" spans="1:17" ht="15.5" thickTop="1" thickBot="1" x14ac:dyDescent="0.4">
      <c r="A52" s="7" t="str">
        <f t="shared" si="12"/>
        <v>2024Q1</v>
      </c>
      <c r="B52" s="6"/>
      <c r="C52" s="9">
        <f t="shared" si="13"/>
        <v>4238.3909999999996</v>
      </c>
      <c r="D52" s="6"/>
      <c r="E52" s="6"/>
      <c r="F52" s="9">
        <f t="shared" si="14"/>
        <v>6.3490000000000002</v>
      </c>
      <c r="G52" s="6"/>
      <c r="K52" s="7" t="str">
        <f t="shared" si="15"/>
        <v>2024Q1</v>
      </c>
      <c r="L52" s="6"/>
      <c r="M52" s="9">
        <f t="shared" si="16"/>
        <v>4185.3519999999999</v>
      </c>
      <c r="N52" s="6"/>
      <c r="O52" s="6"/>
      <c r="P52" s="9">
        <f t="shared" si="17"/>
        <v>6.2450000000000001</v>
      </c>
      <c r="Q52" s="6"/>
    </row>
    <row r="53" spans="1:17" ht="15.5" thickTop="1" thickBot="1" x14ac:dyDescent="0.4">
      <c r="A53" s="7" t="str">
        <f t="shared" si="12"/>
        <v>2024Q2</v>
      </c>
      <c r="B53" s="6"/>
      <c r="C53" s="9">
        <f t="shared" si="13"/>
        <v>4503.2820000000002</v>
      </c>
      <c r="D53" s="6"/>
      <c r="E53" s="6"/>
      <c r="F53" s="9">
        <f t="shared" si="14"/>
        <v>6.5090000000000003</v>
      </c>
      <c r="G53" s="6"/>
      <c r="K53" s="7" t="str">
        <f t="shared" si="15"/>
        <v>2024Q2</v>
      </c>
      <c r="L53" s="6"/>
      <c r="M53" s="9">
        <f t="shared" si="16"/>
        <v>4450.2430000000004</v>
      </c>
      <c r="N53" s="6"/>
      <c r="O53" s="6"/>
      <c r="P53" s="9">
        <f t="shared" si="17"/>
        <v>6.4</v>
      </c>
      <c r="Q53" s="6"/>
    </row>
    <row r="54" spans="1:17" ht="15.5" thickTop="1" thickBot="1" x14ac:dyDescent="0.4">
      <c r="A54" s="7" t="str">
        <f t="shared" si="12"/>
        <v>2024Q3</v>
      </c>
      <c r="B54" s="6"/>
      <c r="C54" s="9">
        <f t="shared" si="13"/>
        <v>4494.2529999999997</v>
      </c>
      <c r="D54" s="6"/>
      <c r="E54" s="6"/>
      <c r="F54" s="9">
        <f t="shared" si="14"/>
        <v>6.5259999999999998</v>
      </c>
      <c r="G54" s="6"/>
      <c r="K54" s="7" t="str">
        <f t="shared" si="15"/>
        <v>2024Q3</v>
      </c>
      <c r="L54" s="6"/>
      <c r="M54" s="9">
        <f t="shared" si="16"/>
        <v>4441.2139999999999</v>
      </c>
      <c r="N54" s="6"/>
      <c r="O54" s="6"/>
      <c r="P54" s="9">
        <f t="shared" si="17"/>
        <v>6.4119999999999999</v>
      </c>
      <c r="Q54" s="6"/>
    </row>
    <row r="55" spans="1:17" ht="15.5" thickTop="1" thickBot="1" x14ac:dyDescent="0.4">
      <c r="A55" s="7" t="str">
        <f t="shared" si="12"/>
        <v>2024Q4</v>
      </c>
      <c r="B55" s="6"/>
      <c r="C55" s="9">
        <f t="shared" si="13"/>
        <v>4557.8140000000003</v>
      </c>
      <c r="D55" s="6"/>
      <c r="E55" s="6"/>
      <c r="F55" s="9">
        <f t="shared" si="14"/>
        <v>6.58</v>
      </c>
      <c r="G55" s="6"/>
      <c r="K55" s="7" t="str">
        <f t="shared" si="15"/>
        <v>2024Q4</v>
      </c>
      <c r="L55" s="6"/>
      <c r="M55" s="9">
        <f t="shared" si="16"/>
        <v>4504.7749999999996</v>
      </c>
      <c r="N55" s="6"/>
      <c r="O55" s="6"/>
      <c r="P55" s="9">
        <f t="shared" si="17"/>
        <v>6.46</v>
      </c>
      <c r="Q55" s="6"/>
    </row>
    <row r="56" spans="1:17" ht="15.5" thickTop="1" thickBot="1" x14ac:dyDescent="0.4">
      <c r="A56" s="7" t="str">
        <f t="shared" si="12"/>
        <v>2025Q1</v>
      </c>
      <c r="B56" s="6"/>
      <c r="C56" s="9">
        <f t="shared" si="13"/>
        <v>4340.1809999999996</v>
      </c>
      <c r="D56" s="6"/>
      <c r="E56" s="6"/>
      <c r="F56" s="9">
        <f t="shared" si="14"/>
        <v>6.5389999999999997</v>
      </c>
      <c r="G56" s="6"/>
      <c r="K56" s="7" t="str">
        <f t="shared" si="15"/>
        <v>2025Q1</v>
      </c>
      <c r="L56" s="6"/>
      <c r="M56" s="9">
        <f t="shared" si="16"/>
        <v>4287.1419999999998</v>
      </c>
      <c r="N56" s="6"/>
      <c r="O56" s="6"/>
      <c r="P56" s="9">
        <f t="shared" si="17"/>
        <v>6.415</v>
      </c>
      <c r="Q56" s="6"/>
    </row>
    <row r="57" spans="1:17" ht="15.5" thickTop="1" thickBot="1" x14ac:dyDescent="0.4">
      <c r="A57" s="7" t="str">
        <f t="shared" si="12"/>
        <v>2025Q2</v>
      </c>
      <c r="B57" s="6"/>
      <c r="C57" s="9">
        <f t="shared" si="13"/>
        <v>4605.0720000000001</v>
      </c>
      <c r="D57" s="6"/>
      <c r="E57" s="6"/>
      <c r="F57" s="9">
        <f t="shared" si="14"/>
        <v>6.7</v>
      </c>
      <c r="G57" s="6"/>
      <c r="K57" s="7" t="str">
        <f t="shared" si="15"/>
        <v>2025Q2</v>
      </c>
      <c r="L57" s="6"/>
      <c r="M57" s="9">
        <f t="shared" si="16"/>
        <v>4552.0330000000004</v>
      </c>
      <c r="N57" s="6"/>
      <c r="O57" s="6"/>
      <c r="P57" s="9">
        <f t="shared" si="17"/>
        <v>6.5709999999999997</v>
      </c>
      <c r="Q57" s="6"/>
    </row>
    <row r="58" spans="1:17" ht="15.5" thickTop="1" thickBot="1" x14ac:dyDescent="0.4">
      <c r="A58" s="7" t="str">
        <f t="shared" si="12"/>
        <v>2025Q3</v>
      </c>
      <c r="B58" s="6"/>
      <c r="C58" s="9">
        <f t="shared" si="13"/>
        <v>4596.0429999999997</v>
      </c>
      <c r="D58" s="6"/>
      <c r="E58" s="6"/>
      <c r="F58" s="9">
        <f t="shared" si="14"/>
        <v>6.718</v>
      </c>
      <c r="G58" s="6"/>
      <c r="K58" s="7" t="str">
        <f t="shared" si="15"/>
        <v>2025Q3</v>
      </c>
      <c r="L58" s="6"/>
      <c r="M58" s="9">
        <f t="shared" si="16"/>
        <v>4543.0039999999999</v>
      </c>
      <c r="N58" s="6"/>
      <c r="O58" s="6"/>
      <c r="P58" s="9">
        <f t="shared" si="17"/>
        <v>6.585</v>
      </c>
      <c r="Q58" s="6"/>
    </row>
    <row r="59" spans="1:17" ht="15.5" thickTop="1" thickBot="1" x14ac:dyDescent="0.4">
      <c r="A59" s="7" t="str">
        <f t="shared" si="12"/>
        <v>2025Q4</v>
      </c>
      <c r="B59" s="6"/>
      <c r="C59" s="9">
        <f t="shared" si="13"/>
        <v>4659.6049999999996</v>
      </c>
      <c r="D59" s="6"/>
      <c r="E59" s="6"/>
      <c r="F59" s="9">
        <f t="shared" si="14"/>
        <v>6.7709999999999999</v>
      </c>
      <c r="G59" s="6"/>
      <c r="K59" s="7" t="str">
        <f t="shared" si="15"/>
        <v>2025Q4</v>
      </c>
      <c r="L59" s="6"/>
      <c r="M59" s="9">
        <f t="shared" si="16"/>
        <v>4606.5659999999998</v>
      </c>
      <c r="N59" s="6"/>
      <c r="O59" s="6"/>
      <c r="P59" s="9">
        <f t="shared" si="17"/>
        <v>6.6349999999999998</v>
      </c>
      <c r="Q59" s="6"/>
    </row>
    <row r="60" spans="1:17" ht="15.5" thickTop="1" thickBot="1" x14ac:dyDescent="0.4">
      <c r="A60" s="7" t="str">
        <f t="shared" si="12"/>
        <v>2026Q1</v>
      </c>
      <c r="B60" s="6"/>
      <c r="C60" s="9">
        <f t="shared" si="13"/>
        <v>4441.9719999999998</v>
      </c>
      <c r="D60" s="6"/>
      <c r="E60" s="6"/>
      <c r="F60" s="9">
        <f t="shared" si="14"/>
        <v>6.7329999999999997</v>
      </c>
      <c r="G60" s="6"/>
      <c r="K60" s="7" t="str">
        <f t="shared" si="15"/>
        <v>2026Q1</v>
      </c>
      <c r="L60" s="6"/>
      <c r="M60" s="9">
        <f t="shared" si="16"/>
        <v>4388.933</v>
      </c>
      <c r="N60" s="6"/>
      <c r="O60" s="6"/>
      <c r="P60" s="9">
        <f t="shared" si="17"/>
        <v>6.5919999999999996</v>
      </c>
      <c r="Q60" s="6"/>
    </row>
    <row r="61" spans="1:17" ht="15.5" thickTop="1" thickBot="1" x14ac:dyDescent="0.4">
      <c r="A61" s="7" t="str">
        <f t="shared" si="12"/>
        <v>2026Q2</v>
      </c>
      <c r="B61" s="6"/>
      <c r="C61" s="9">
        <f t="shared" si="13"/>
        <v>4706.8630000000003</v>
      </c>
      <c r="D61" s="6"/>
      <c r="E61" s="6"/>
      <c r="F61" s="9">
        <f t="shared" si="14"/>
        <v>6.8940000000000001</v>
      </c>
      <c r="G61" s="6"/>
      <c r="K61" s="7" t="str">
        <f t="shared" si="15"/>
        <v>2026Q2</v>
      </c>
      <c r="L61" s="6"/>
      <c r="M61" s="9">
        <f t="shared" si="16"/>
        <v>4653.8239999999996</v>
      </c>
      <c r="N61" s="6"/>
      <c r="O61" s="6"/>
      <c r="P61" s="9">
        <f t="shared" si="17"/>
        <v>6.7489999999999997</v>
      </c>
      <c r="Q61" s="6"/>
    </row>
    <row r="62" spans="1:17" ht="15.5" thickTop="1" thickBot="1" x14ac:dyDescent="0.4">
      <c r="A62" s="7" t="str">
        <f t="shared" si="12"/>
        <v>2026Q3</v>
      </c>
      <c r="B62" s="6"/>
      <c r="C62" s="9">
        <f t="shared" si="13"/>
        <v>4697.8339999999998</v>
      </c>
      <c r="D62" s="6"/>
      <c r="E62" s="6"/>
      <c r="F62" s="9">
        <f t="shared" si="14"/>
        <v>6.9119999999999999</v>
      </c>
      <c r="G62" s="6"/>
      <c r="K62" s="7" t="str">
        <f t="shared" si="15"/>
        <v>2026Q3</v>
      </c>
      <c r="L62" s="6"/>
      <c r="M62" s="9">
        <f t="shared" si="16"/>
        <v>4644.7950000000001</v>
      </c>
      <c r="N62" s="6"/>
      <c r="O62" s="6"/>
      <c r="P62" s="9">
        <f t="shared" si="17"/>
        <v>6.7640000000000002</v>
      </c>
      <c r="Q62" s="6"/>
    </row>
    <row r="63" spans="1:17" ht="15.5" thickTop="1" thickBot="1" x14ac:dyDescent="0.4">
      <c r="A63" s="7" t="str">
        <f t="shared" si="12"/>
        <v>2026Q4</v>
      </c>
      <c r="B63" s="6"/>
      <c r="C63" s="9">
        <f t="shared" si="13"/>
        <v>4761.3950000000004</v>
      </c>
      <c r="D63" s="6"/>
      <c r="E63" s="6"/>
      <c r="F63" s="9">
        <f t="shared" si="14"/>
        <v>6.9660000000000002</v>
      </c>
      <c r="G63" s="6"/>
      <c r="K63" s="7" t="str">
        <f t="shared" si="15"/>
        <v>2026Q4</v>
      </c>
      <c r="L63" s="6"/>
      <c r="M63" s="9">
        <f t="shared" si="16"/>
        <v>4708.3559999999998</v>
      </c>
      <c r="N63" s="6"/>
      <c r="O63" s="6"/>
      <c r="P63" s="9">
        <f t="shared" si="17"/>
        <v>6.8150000000000004</v>
      </c>
      <c r="Q63" s="6"/>
    </row>
    <row r="64" spans="1:17" ht="15.5" thickTop="1" thickBot="1" x14ac:dyDescent="0.4">
      <c r="A64" s="7" t="str">
        <f t="shared" si="12"/>
        <v>2027Q1</v>
      </c>
      <c r="B64" s="6"/>
      <c r="C64" s="9">
        <f t="shared" si="13"/>
        <v>4543.7619999999997</v>
      </c>
      <c r="D64" s="6"/>
      <c r="E64" s="6"/>
      <c r="F64" s="9">
        <f t="shared" si="14"/>
        <v>6.9269999999999996</v>
      </c>
      <c r="G64" s="6"/>
      <c r="K64" s="7" t="str">
        <f t="shared" si="15"/>
        <v>2027Q1</v>
      </c>
      <c r="L64" s="6"/>
      <c r="M64" s="9">
        <f t="shared" si="16"/>
        <v>4490.723</v>
      </c>
      <c r="N64" s="6"/>
      <c r="O64" s="6"/>
      <c r="P64" s="9">
        <f t="shared" si="17"/>
        <v>6.7709999999999999</v>
      </c>
      <c r="Q64" s="6"/>
    </row>
    <row r="65" spans="1:17" ht="15.5" thickTop="1" thickBot="1" x14ac:dyDescent="0.4">
      <c r="A65" s="7" t="str">
        <f t="shared" si="12"/>
        <v>2027Q2</v>
      </c>
      <c r="B65" s="6"/>
      <c r="C65" s="9">
        <f t="shared" si="13"/>
        <v>4808.6530000000002</v>
      </c>
      <c r="D65" s="6"/>
      <c r="E65" s="6"/>
      <c r="F65" s="9">
        <f t="shared" si="14"/>
        <v>7.0880000000000001</v>
      </c>
      <c r="G65" s="6"/>
      <c r="K65" s="7" t="str">
        <f t="shared" si="15"/>
        <v>2027Q2</v>
      </c>
      <c r="L65" s="6"/>
      <c r="M65" s="9">
        <f t="shared" si="16"/>
        <v>4755.6139999999996</v>
      </c>
      <c r="N65" s="6"/>
      <c r="O65" s="6"/>
      <c r="P65" s="9">
        <f t="shared" si="17"/>
        <v>6.9290000000000003</v>
      </c>
      <c r="Q65" s="6"/>
    </row>
    <row r="66" spans="1:17" ht="15.5" thickTop="1" thickBot="1" x14ac:dyDescent="0.4">
      <c r="A66" s="7" t="str">
        <f t="shared" si="12"/>
        <v>2027Q3</v>
      </c>
      <c r="B66" s="6"/>
      <c r="C66" s="9">
        <f t="shared" si="13"/>
        <v>4799.6239999999998</v>
      </c>
      <c r="D66" s="6"/>
      <c r="E66" s="6"/>
      <c r="F66" s="9">
        <f t="shared" si="14"/>
        <v>7.1070000000000002</v>
      </c>
      <c r="G66" s="6"/>
      <c r="K66" s="7" t="str">
        <f t="shared" si="15"/>
        <v>2027Q3</v>
      </c>
      <c r="L66" s="6"/>
      <c r="M66" s="9">
        <f t="shared" si="16"/>
        <v>4746.585</v>
      </c>
      <c r="N66" s="6"/>
      <c r="O66" s="6"/>
      <c r="P66" s="9">
        <f t="shared" si="17"/>
        <v>6.944</v>
      </c>
      <c r="Q66" s="6"/>
    </row>
    <row r="67" spans="1:17" ht="15.5" thickTop="1" thickBot="1" x14ac:dyDescent="0.4">
      <c r="A67" s="7" t="str">
        <f t="shared" si="12"/>
        <v>2027Q4</v>
      </c>
      <c r="B67" s="6"/>
      <c r="C67" s="9">
        <f t="shared" si="13"/>
        <v>4863.1859999999997</v>
      </c>
      <c r="D67" s="6"/>
      <c r="E67" s="6"/>
      <c r="F67" s="9">
        <f t="shared" si="14"/>
        <v>7.1609999999999996</v>
      </c>
      <c r="G67" s="6"/>
      <c r="K67" s="7" t="str">
        <f t="shared" si="15"/>
        <v>2027Q4</v>
      </c>
      <c r="L67" s="6"/>
      <c r="M67" s="9">
        <f t="shared" si="16"/>
        <v>4810.1469999999999</v>
      </c>
      <c r="N67" s="6"/>
      <c r="O67" s="6"/>
      <c r="P67" s="9">
        <f t="shared" si="17"/>
        <v>6.9960000000000004</v>
      </c>
      <c r="Q67" s="6"/>
    </row>
    <row r="68" spans="1:17" ht="15.5" thickTop="1" thickBot="1" x14ac:dyDescent="0.4">
      <c r="A68" s="7" t="str">
        <f t="shared" si="12"/>
        <v>2028Q1</v>
      </c>
      <c r="B68" s="6"/>
      <c r="C68" s="9">
        <f t="shared" si="13"/>
        <v>4645.5519999999997</v>
      </c>
      <c r="D68" s="6"/>
      <c r="E68" s="6"/>
      <c r="F68" s="9">
        <f t="shared" si="14"/>
        <v>7.1230000000000002</v>
      </c>
      <c r="G68" s="6"/>
      <c r="K68" s="7" t="str">
        <f t="shared" si="15"/>
        <v>2028Q1</v>
      </c>
      <c r="L68" s="6"/>
      <c r="M68" s="9">
        <f t="shared" si="16"/>
        <v>4592.5129999999999</v>
      </c>
      <c r="N68" s="6"/>
      <c r="O68" s="6"/>
      <c r="P68" s="9">
        <f t="shared" si="17"/>
        <v>6.9539999999999997</v>
      </c>
      <c r="Q68" s="6"/>
    </row>
    <row r="69" spans="1:17" ht="15.5" thickTop="1" thickBot="1" x14ac:dyDescent="0.4">
      <c r="A69" s="7" t="str">
        <f t="shared" si="12"/>
        <v>2028Q2</v>
      </c>
      <c r="B69" s="6"/>
      <c r="C69" s="9">
        <f t="shared" si="13"/>
        <v>4910.4440000000004</v>
      </c>
      <c r="D69" s="6"/>
      <c r="E69" s="6"/>
      <c r="F69" s="9">
        <f t="shared" si="14"/>
        <v>7.2850000000000001</v>
      </c>
      <c r="G69" s="6"/>
      <c r="K69" s="7" t="str">
        <f t="shared" si="15"/>
        <v>2028Q2</v>
      </c>
      <c r="L69" s="6"/>
      <c r="M69" s="9">
        <f t="shared" si="16"/>
        <v>4857.4049999999997</v>
      </c>
      <c r="N69" s="6"/>
      <c r="O69" s="6"/>
      <c r="P69" s="9">
        <f t="shared" si="17"/>
        <v>7.1130000000000004</v>
      </c>
      <c r="Q69" s="6"/>
    </row>
    <row r="70" spans="1:17" ht="15.5" thickTop="1" thickBot="1" x14ac:dyDescent="0.4">
      <c r="A70" s="7" t="str">
        <f t="shared" si="12"/>
        <v>2028Q3</v>
      </c>
      <c r="B70" s="6"/>
      <c r="C70" s="9">
        <f t="shared" si="13"/>
        <v>4901.4139999999998</v>
      </c>
      <c r="D70" s="6"/>
      <c r="E70" s="6"/>
      <c r="F70" s="9">
        <f t="shared" si="14"/>
        <v>7.3040000000000003</v>
      </c>
      <c r="G70" s="6"/>
      <c r="K70" s="7" t="str">
        <f t="shared" si="15"/>
        <v>2028Q3</v>
      </c>
      <c r="L70" s="6"/>
      <c r="M70" s="9">
        <f t="shared" si="16"/>
        <v>4848.375</v>
      </c>
      <c r="N70" s="6"/>
      <c r="O70" s="6"/>
      <c r="P70" s="9">
        <f t="shared" si="17"/>
        <v>7.1289999999999996</v>
      </c>
      <c r="Q70" s="6"/>
    </row>
    <row r="71" spans="1:17" ht="15.5" thickTop="1" thickBot="1" x14ac:dyDescent="0.4">
      <c r="A71" s="7" t="str">
        <f t="shared" si="12"/>
        <v>2028Q4</v>
      </c>
      <c r="B71" s="6"/>
      <c r="C71" s="9">
        <f t="shared" si="13"/>
        <v>4964.9759999999997</v>
      </c>
      <c r="D71" s="6"/>
      <c r="E71" s="6"/>
      <c r="F71" s="9">
        <f t="shared" si="14"/>
        <v>7.359</v>
      </c>
      <c r="G71" s="6"/>
      <c r="K71" s="7" t="str">
        <f t="shared" si="15"/>
        <v>2028Q4</v>
      </c>
      <c r="L71" s="6"/>
      <c r="M71" s="9">
        <f t="shared" si="16"/>
        <v>4911.9369999999999</v>
      </c>
      <c r="N71" s="6"/>
      <c r="O71" s="6"/>
      <c r="P71" s="9">
        <f t="shared" si="17"/>
        <v>7.18</v>
      </c>
      <c r="Q71" s="6"/>
    </row>
    <row r="72" spans="1:17" ht="15.5" thickTop="1" thickBot="1" x14ac:dyDescent="0.4">
      <c r="A72" s="7" t="str">
        <f t="shared" si="12"/>
        <v>2029Q1</v>
      </c>
      <c r="B72" s="6"/>
      <c r="C72" s="9">
        <f t="shared" si="13"/>
        <v>4747.3429999999998</v>
      </c>
      <c r="D72" s="6"/>
      <c r="E72" s="6"/>
      <c r="F72" s="9">
        <f t="shared" si="14"/>
        <v>7.319</v>
      </c>
      <c r="G72" s="6"/>
      <c r="K72" s="7" t="str">
        <f t="shared" si="15"/>
        <v>2029Q1</v>
      </c>
      <c r="L72" s="6"/>
      <c r="M72" s="9">
        <f t="shared" si="16"/>
        <v>4694.3040000000001</v>
      </c>
      <c r="N72" s="6"/>
      <c r="O72" s="6"/>
      <c r="P72" s="9">
        <f t="shared" si="17"/>
        <v>7.1379999999999999</v>
      </c>
      <c r="Q72" s="6"/>
    </row>
    <row r="73" spans="1:17" ht="15.5" thickTop="1" thickBot="1" x14ac:dyDescent="0.4">
      <c r="A73" s="7" t="str">
        <f t="shared" si="12"/>
        <v>2029Q2</v>
      </c>
      <c r="B73" s="6"/>
      <c r="C73" s="9">
        <f t="shared" si="13"/>
        <v>5012.2340000000004</v>
      </c>
      <c r="D73" s="6"/>
      <c r="E73" s="6"/>
      <c r="F73" s="9">
        <f t="shared" si="14"/>
        <v>7.4809999999999999</v>
      </c>
      <c r="G73" s="6"/>
      <c r="K73" s="7" t="str">
        <f t="shared" si="15"/>
        <v>2029Q2</v>
      </c>
      <c r="L73" s="6"/>
      <c r="M73" s="9">
        <f t="shared" si="16"/>
        <v>4959.1949999999997</v>
      </c>
      <c r="N73" s="6"/>
      <c r="O73" s="6"/>
      <c r="P73" s="9">
        <f t="shared" si="17"/>
        <v>7.2969999999999997</v>
      </c>
      <c r="Q73" s="6"/>
    </row>
    <row r="74" spans="1:17" ht="15.5" thickTop="1" thickBot="1" x14ac:dyDescent="0.4">
      <c r="A74" s="7" t="str">
        <f t="shared" si="12"/>
        <v>2029Q3</v>
      </c>
      <c r="B74" s="6"/>
      <c r="C74" s="9">
        <f t="shared" si="13"/>
        <v>5003.2049999999999</v>
      </c>
      <c r="D74" s="6"/>
      <c r="E74" s="6"/>
      <c r="F74" s="9">
        <f t="shared" si="14"/>
        <v>7.5010000000000003</v>
      </c>
      <c r="G74" s="6"/>
      <c r="K74" s="7" t="str">
        <f t="shared" si="15"/>
        <v>2029Q3</v>
      </c>
      <c r="L74" s="6"/>
      <c r="M74" s="9">
        <f t="shared" si="16"/>
        <v>4950.1660000000002</v>
      </c>
      <c r="N74" s="6"/>
      <c r="O74" s="6"/>
      <c r="P74" s="9">
        <f t="shared" si="17"/>
        <v>7.3129999999999997</v>
      </c>
      <c r="Q74" s="6"/>
    </row>
    <row r="75" spans="1:17" ht="15.5" thickTop="1" thickBot="1" x14ac:dyDescent="0.4">
      <c r="A75" s="7" t="str">
        <f t="shared" si="12"/>
        <v>2029Q4</v>
      </c>
      <c r="B75" s="6"/>
      <c r="C75" s="9">
        <f t="shared" si="13"/>
        <v>5066.7669999999998</v>
      </c>
      <c r="D75" s="6"/>
      <c r="E75" s="6"/>
      <c r="F75" s="9">
        <f t="shared" si="14"/>
        <v>7.556</v>
      </c>
      <c r="G75" s="6"/>
      <c r="K75" s="7" t="str">
        <f t="shared" si="15"/>
        <v>2029Q4</v>
      </c>
      <c r="L75" s="6"/>
      <c r="M75" s="9">
        <f t="shared" si="16"/>
        <v>5013.7280000000001</v>
      </c>
      <c r="N75" s="6"/>
      <c r="O75" s="6"/>
      <c r="P75" s="9">
        <f t="shared" si="17"/>
        <v>7.3650000000000002</v>
      </c>
      <c r="Q75" s="6"/>
    </row>
    <row r="76" spans="1:17" ht="12.5" thickTop="1" x14ac:dyDescent="0.3"/>
  </sheetData>
  <mergeCells count="11">
    <mergeCell ref="S1:X1"/>
    <mergeCell ref="B2:D2"/>
    <mergeCell ref="E2:G2"/>
    <mergeCell ref="A41:G41"/>
    <mergeCell ref="K41:Q41"/>
    <mergeCell ref="B42:D42"/>
    <mergeCell ref="E42:G42"/>
    <mergeCell ref="L42:N42"/>
    <mergeCell ref="O42:Q42"/>
    <mergeCell ref="A1:G1"/>
    <mergeCell ref="L1:Q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74"/>
  <sheetViews>
    <sheetView zoomScale="85" zoomScaleNormal="85" workbookViewId="0">
      <selection activeCell="B4" sqref="B4"/>
    </sheetView>
  </sheetViews>
  <sheetFormatPr defaultRowHeight="14.5" x14ac:dyDescent="0.35"/>
  <cols>
    <col min="1" max="1" width="8.1796875" bestFit="1" customWidth="1"/>
    <col min="2" max="2" width="11.453125" bestFit="1" customWidth="1"/>
    <col min="3" max="3" width="17.1796875" bestFit="1" customWidth="1"/>
    <col min="4" max="5" width="11.453125" bestFit="1" customWidth="1"/>
    <col min="6" max="6" width="17.1796875" bestFit="1" customWidth="1"/>
    <col min="7" max="7" width="11.453125" bestFit="1" customWidth="1"/>
    <col min="11" max="11" width="7.453125" bestFit="1" customWidth="1"/>
    <col min="12" max="12" width="12.54296875" bestFit="1" customWidth="1"/>
    <col min="13" max="13" width="16" bestFit="1" customWidth="1"/>
    <col min="14" max="15" width="12.54296875" bestFit="1" customWidth="1"/>
    <col min="16" max="16" width="16" bestFit="1" customWidth="1"/>
    <col min="17" max="17" width="12.54296875" bestFit="1" customWidth="1"/>
  </cols>
  <sheetData>
    <row r="1" spans="1:40" s="1" customFormat="1" ht="15.5" thickTop="1" thickBot="1" x14ac:dyDescent="0.4">
      <c r="A1" s="35" t="s">
        <v>46</v>
      </c>
      <c r="B1" s="36"/>
      <c r="C1" s="36"/>
      <c r="D1" s="36"/>
      <c r="E1" s="36"/>
      <c r="F1" s="36"/>
      <c r="G1" s="36"/>
      <c r="K1" s="37" t="s">
        <v>88</v>
      </c>
      <c r="L1" s="37"/>
      <c r="M1" s="37"/>
      <c r="N1" s="37"/>
      <c r="O1" s="37"/>
      <c r="P1" s="37"/>
      <c r="Q1" s="37"/>
    </row>
    <row r="2" spans="1:40" s="1" customFormat="1" ht="15.5" thickTop="1" thickBot="1" x14ac:dyDescent="0.4">
      <c r="A2" s="2"/>
      <c r="B2" s="32" t="s">
        <v>1</v>
      </c>
      <c r="C2" s="32"/>
      <c r="D2" s="32"/>
      <c r="E2" s="32" t="s">
        <v>2</v>
      </c>
      <c r="F2" s="32"/>
      <c r="G2" s="32"/>
      <c r="H2" s="15"/>
      <c r="K2" s="22"/>
      <c r="L2" s="37" t="s">
        <v>1</v>
      </c>
      <c r="M2" s="37"/>
      <c r="N2" s="37"/>
      <c r="O2" s="37" t="s">
        <v>2</v>
      </c>
      <c r="P2" s="37"/>
      <c r="Q2" s="37"/>
    </row>
    <row r="3" spans="1:40" s="1" customFormat="1" ht="30" thickTop="1" thickBot="1" x14ac:dyDescent="0.4">
      <c r="A3" s="23" t="s">
        <v>0</v>
      </c>
      <c r="B3" s="23" t="s">
        <v>19</v>
      </c>
      <c r="C3" s="24" t="s">
        <v>89</v>
      </c>
      <c r="D3" s="23" t="s">
        <v>20</v>
      </c>
      <c r="E3" s="23" t="s">
        <v>19</v>
      </c>
      <c r="F3" s="24" t="s">
        <v>89</v>
      </c>
      <c r="G3" s="23" t="s">
        <v>20</v>
      </c>
      <c r="H3" s="15"/>
      <c r="K3" s="25" t="s">
        <v>0</v>
      </c>
      <c r="L3" s="26" t="s">
        <v>19</v>
      </c>
      <c r="M3" s="27" t="s">
        <v>90</v>
      </c>
      <c r="N3" s="26" t="s">
        <v>20</v>
      </c>
      <c r="O3" s="26" t="s">
        <v>19</v>
      </c>
      <c r="P3" s="27" t="s">
        <v>90</v>
      </c>
      <c r="Q3" s="26" t="s">
        <v>20</v>
      </c>
    </row>
    <row r="4" spans="1:40" s="1" customFormat="1" ht="15.5" thickTop="1" thickBot="1" x14ac:dyDescent="0.4">
      <c r="A4" s="5" t="str">
        <f>SBOSCA!A4</f>
        <v>2022Q1</v>
      </c>
      <c r="B4" s="2">
        <f>SUM(SBOSCA!B4,MCBTCA!B4,ICICCA!B4,HKBCCA!B4,CUCXCA!B4,BOFMCA!B4,BOFACA!B4,BNPACA!B4,BNDCCA!B4,BLCMCA!B4,BCANCA!B4,ATBRCA!B4,CCDQCA!B4,CIBCCA!B4,NOSCCA!B4,TDOMCA!B4,ROYCCA!B4)</f>
        <v>3989.4870000000001</v>
      </c>
      <c r="C4" s="3">
        <f>SUM(SBOSCA!C4,MCBTCA!C4,ICICCA!C4,HKBCCA!C4,CUCXCA!C4,BOFMCA!C4,BOFACA!C4,BNPACA!C4,BNDCCA!C4,BLCMCA!C4,BCANCA!C4,ATBRCA!C4,CCDQCA!C4,CIBCCA!C4,NOSCCA!C4,TDOMCA!C4,ROYCCA!C4)</f>
        <v>4261.357</v>
      </c>
      <c r="D4" s="2">
        <f>SUM(SBOSCA!D4,MCBTCA!D4,ICICCA!D4,HKBCCA!D4,CUCXCA!D4,BOFMCA!D4,BOFACA!D4,BNPACA!D4,BNDCCA!D4,BLCMCA!D4,BCANCA!D4,ATBRCA!D4,CCDQCA!D4,CIBCCA!D4,NOSCCA!D4,TDOMCA!D4,ROYCCA!D4)</f>
        <v>4533.2269999999999</v>
      </c>
      <c r="E4" s="2">
        <f>SUM(SBOSCA!E4,MCBTCA!E4,ICICCA!E4,HKBCCA!E4,CUCXCA!E4,BOFMCA!E4,BOFACA!E4,BNPACA!E4,BNDCCA!E4,BLCMCA!E4,BCANCA!E4,ATBRCA!E4,CCDQCA!E4,CIBCCA!E4,NOSCCA!E4,TDOMCA!E4,ROYCCA!E4)</f>
        <v>5.6240000000000006</v>
      </c>
      <c r="F4" s="3">
        <f>SUM(SBOSCA!F4,MCBTCA!F4,ICICCA!F4,HKBCCA!F4,CUCXCA!F4,BOFMCA!F4,BOFACA!F4,BNPACA!F4,BNDCCA!F4,BLCMCA!F4,BCANCA!F4,ATBRCA!F4,CCDQCA!F4,CIBCCA!F4,NOSCCA!F4,TDOMCA!F4,ROYCCA!F4)</f>
        <v>5.87</v>
      </c>
      <c r="G4" s="2">
        <f>SUM(SBOSCA!G4,MCBTCA!G4,ICICCA!G4,HKBCCA!G4,CUCXCA!G4,BOFMCA!G4,BOFACA!G4,BNPACA!G4,BNDCCA!G4,BLCMCA!G4,BCANCA!G4,ATBRCA!G4,CCDQCA!G4,CIBCCA!G4,NOSCCA!G4,TDOMCA!G4,ROYCCA!G4)</f>
        <v>6.1079999999999997</v>
      </c>
      <c r="H4" s="16"/>
      <c r="K4" s="19" t="str">
        <f>A4</f>
        <v>2022Q1</v>
      </c>
      <c r="L4" s="20">
        <f>ROUND(LN(Totals!B4/'Porfolio Forecast'!B4),4)</f>
        <v>2.2200000000000001E-2</v>
      </c>
      <c r="M4" s="21">
        <f>ROUND(LN(Totals!C4/'Porfolio Forecast'!C4),4)</f>
        <v>3.7400000000000003E-2</v>
      </c>
      <c r="N4" s="20">
        <f>ROUND(LN(Totals!D4/'Porfolio Forecast'!D4),4)</f>
        <v>5.11E-2</v>
      </c>
      <c r="O4" s="20">
        <f>ROUND(LN(Totals!E4/'Porfolio Forecast'!E4),4)</f>
        <v>-2.7199999999999998E-2</v>
      </c>
      <c r="P4" s="21">
        <f>ROUND(LN(Totals!F4/'Porfolio Forecast'!F4),4)</f>
        <v>-1.7600000000000001E-2</v>
      </c>
      <c r="Q4" s="20">
        <f>ROUND(LN(Totals!G4/'Porfolio Forecast'!G4),4)</f>
        <v>-9.9000000000000008E-3</v>
      </c>
      <c r="AB4" s="1">
        <v>3640.0160000000005</v>
      </c>
      <c r="AC4" s="1">
        <v>3824.8690000000001</v>
      </c>
      <c r="AD4" s="1">
        <v>4009.7240000000002</v>
      </c>
      <c r="AE4" s="1">
        <v>4.3649999999999993</v>
      </c>
      <c r="AF4" s="1">
        <v>4.6079999999999997</v>
      </c>
      <c r="AG4" s="1">
        <v>4.8499999999999996</v>
      </c>
      <c r="AI4" s="17">
        <f t="shared" ref="AI4:AN8" si="0">LN(B4/AB4)</f>
        <v>9.1674573963801562E-2</v>
      </c>
      <c r="AJ4" s="17">
        <f t="shared" si="0"/>
        <v>0.10806343583166091</v>
      </c>
      <c r="AK4" s="17">
        <f t="shared" si="0"/>
        <v>0.12271163689689757</v>
      </c>
      <c r="AL4" s="17">
        <f t="shared" si="0"/>
        <v>0.25342496521679847</v>
      </c>
      <c r="AM4" s="17">
        <f t="shared" si="0"/>
        <v>0.24206071044641506</v>
      </c>
      <c r="AN4" s="17">
        <f t="shared" si="0"/>
        <v>0.23062068240699427</v>
      </c>
    </row>
    <row r="5" spans="1:40" s="1" customFormat="1" ht="15.5" thickTop="1" thickBot="1" x14ac:dyDescent="0.4">
      <c r="A5" s="5" t="str">
        <f>SBOSCA!A5</f>
        <v>2022Q2</v>
      </c>
      <c r="B5" s="2">
        <f>SUM(SBOSCA!B5,MCBTCA!B5,ICICCA!B5,HKBCCA!B5,CUCXCA!B5,BOFMCA!B5,BOFACA!B5,BNPACA!B5,BNDCCA!B5,BLCMCA!B5,BCANCA!B5,ATBRCA!B5,CCDQCA!B5,CIBCCA!B5,NOSCCA!B5,TDOMCA!B5,ROYCCA!B5)</f>
        <v>4218.3500000000004</v>
      </c>
      <c r="C5" s="3">
        <f>SUM(SBOSCA!C5,MCBTCA!C5,ICICCA!C5,HKBCCA!C5,CUCXCA!C5,BOFMCA!C5,BOFACA!C5,BNPACA!C5,BNDCCA!C5,BLCMCA!C5,BCANCA!C5,ATBRCA!C5,CCDQCA!C5,CIBCCA!C5,NOSCCA!C5,TDOMCA!C5,ROYCCA!C5)</f>
        <v>4528.5239999999994</v>
      </c>
      <c r="D5" s="2">
        <f>SUM(SBOSCA!D5,MCBTCA!D5,ICICCA!D5,HKBCCA!D5,CUCXCA!D5,BOFMCA!D5,BOFACA!D5,BNPACA!D5,BNDCCA!D5,BLCMCA!D5,BCANCA!D5,ATBRCA!D5,CCDQCA!D5,CIBCCA!D5,NOSCCA!D5,TDOMCA!D5,ROYCCA!D5)</f>
        <v>4838.701</v>
      </c>
      <c r="E5" s="2">
        <f>SUM(SBOSCA!E5,MCBTCA!E5,ICICCA!E5,HKBCCA!E5,CUCXCA!E5,BOFMCA!E5,BOFACA!E5,BNPACA!E5,BNDCCA!E5,BLCMCA!E5,BCANCA!E5,ATBRCA!E5,CCDQCA!E5,CIBCCA!E5,NOSCCA!E5,TDOMCA!E5,ROYCCA!E5)</f>
        <v>5.7589999999999995</v>
      </c>
      <c r="F5" s="3">
        <f>SUM(SBOSCA!F5,MCBTCA!F5,ICICCA!F5,HKBCCA!F5,CUCXCA!F5,BOFMCA!F5,BOFACA!F5,BNPACA!F5,BNDCCA!F5,BLCMCA!F5,BCANCA!F5,ATBRCA!F5,CCDQCA!F5,CIBCCA!F5,NOSCCA!F5,TDOMCA!F5,ROYCCA!F5)</f>
        <v>6.0640000000000001</v>
      </c>
      <c r="G5" s="2">
        <f>SUM(SBOSCA!G5,MCBTCA!G5,ICICCA!G5,HKBCCA!G5,CUCXCA!G5,BOFMCA!G5,BOFACA!G5,BNPACA!G5,BNDCCA!G5,BLCMCA!G5,BCANCA!G5,ATBRCA!G5,CCDQCA!G5,CIBCCA!G5,NOSCCA!G5,TDOMCA!G5,ROYCCA!G5)</f>
        <v>6.3639999999999999</v>
      </c>
      <c r="H5" s="16">
        <v>2018</v>
      </c>
      <c r="I5" s="1">
        <f>SUM(F5:F8)</f>
        <v>24.341000000000001</v>
      </c>
      <c r="K5" s="19" t="str">
        <f t="shared" ref="K5:K35" si="1">A5</f>
        <v>2022Q2</v>
      </c>
      <c r="L5" s="20">
        <f>ROUND(LN(Totals!B5/'Porfolio Forecast'!B5),4)</f>
        <v>1.9199999999999998E-2</v>
      </c>
      <c r="M5" s="21">
        <f>ROUND(LN(Totals!C5/'Porfolio Forecast'!C5),4)</f>
        <v>4.02E-2</v>
      </c>
      <c r="N5" s="20">
        <f>ROUND(LN(Totals!D5/'Porfolio Forecast'!D5),4)</f>
        <v>5.8900000000000001E-2</v>
      </c>
      <c r="O5" s="20">
        <f>ROUND(LN(Totals!E5/'Porfolio Forecast'!E5),4)</f>
        <v>-4.1200000000000001E-2</v>
      </c>
      <c r="P5" s="21">
        <f>ROUND(LN(Totals!F5/'Porfolio Forecast'!F5),4)</f>
        <v>-2.5999999999999999E-2</v>
      </c>
      <c r="Q5" s="20">
        <f>ROUND(LN(Totals!G5/'Porfolio Forecast'!G5),4)</f>
        <v>-1.2999999999999999E-2</v>
      </c>
      <c r="AB5" s="1">
        <v>3687.4410000000003</v>
      </c>
      <c r="AC5" s="1">
        <v>3899.3010000000004</v>
      </c>
      <c r="AD5" s="1">
        <v>4111.16</v>
      </c>
      <c r="AE5" s="1">
        <v>4.2759999999999998</v>
      </c>
      <c r="AF5" s="1">
        <v>4.5609999999999999</v>
      </c>
      <c r="AG5" s="1">
        <v>4.8499999999999996</v>
      </c>
      <c r="AI5" s="17">
        <f t="shared" si="0"/>
        <v>0.13451133479074254</v>
      </c>
      <c r="AJ5" s="17">
        <f t="shared" si="0"/>
        <v>0.14959875228434102</v>
      </c>
      <c r="AK5" s="17">
        <f t="shared" si="0"/>
        <v>0.16294106914697915</v>
      </c>
      <c r="AL5" s="17">
        <f t="shared" si="0"/>
        <v>0.29774585536173648</v>
      </c>
      <c r="AM5" s="17">
        <f t="shared" si="0"/>
        <v>0.28482775061050714</v>
      </c>
      <c r="AN5" s="17">
        <f t="shared" si="0"/>
        <v>0.27167840552614875</v>
      </c>
    </row>
    <row r="6" spans="1:40" s="1" customFormat="1" ht="15.5" thickTop="1" thickBot="1" x14ac:dyDescent="0.4">
      <c r="A6" s="5" t="str">
        <f>SBOSCA!A6</f>
        <v>2022Q3</v>
      </c>
      <c r="B6" s="2">
        <f>SUM(SBOSCA!B6,MCBTCA!B6,ICICCA!B6,HKBCCA!B6,CUCXCA!B6,BOFMCA!B6,BOFACA!B6,BNPACA!B6,BNDCCA!B6,BLCMCA!B6,BCANCA!B6,ATBRCA!B6,CCDQCA!B6,CIBCCA!B6,NOSCCA!B6,TDOMCA!B6,ROYCCA!B6)</f>
        <v>4191.9270000000006</v>
      </c>
      <c r="C6" s="3">
        <f>SUM(SBOSCA!C6,MCBTCA!C6,ICICCA!C6,HKBCCA!C6,CUCXCA!C6,BOFMCA!C6,BOFACA!C6,BNPACA!C6,BNDCCA!C6,BLCMCA!C6,BCANCA!C6,ATBRCA!C6,CCDQCA!C6,CIBCCA!C6,NOSCCA!C6,TDOMCA!C6,ROYCCA!C6)</f>
        <v>4523.0969999999998</v>
      </c>
      <c r="D6" s="2">
        <f>SUM(SBOSCA!D6,MCBTCA!D6,ICICCA!D6,HKBCCA!D6,CUCXCA!D6,BOFMCA!D6,BOFACA!D6,BNPACA!D6,BNDCCA!D6,BLCMCA!D6,BCANCA!D6,ATBRCA!D6,CCDQCA!D6,CIBCCA!D6,NOSCCA!D6,TDOMCA!D6,ROYCCA!D6)</f>
        <v>4854.2699999999995</v>
      </c>
      <c r="E6" s="2">
        <f>SUM(SBOSCA!E6,MCBTCA!E6,ICICCA!E6,HKBCCA!E6,CUCXCA!E6,BOFMCA!E6,BOFACA!E6,BNPACA!E6,BNDCCA!E6,BLCMCA!E6,BCANCA!E6,ATBRCA!E6,CCDQCA!E6,CIBCCA!E6,NOSCCA!E6,TDOMCA!E6,ROYCCA!E6)</f>
        <v>5.7130000000000001</v>
      </c>
      <c r="F6" s="3">
        <f>SUM(SBOSCA!F6,MCBTCA!F6,ICICCA!F6,HKBCCA!F6,CUCXCA!F6,BOFMCA!F6,BOFACA!F6,BNPACA!F6,BNDCCA!F6,BLCMCA!F6,BCANCA!F6,ATBRCA!F6,CCDQCA!F6,CIBCCA!F6,NOSCCA!F6,TDOMCA!F6,ROYCCA!F6)</f>
        <v>6.0680000000000005</v>
      </c>
      <c r="G6" s="2">
        <f>SUM(SBOSCA!G6,MCBTCA!G6,ICICCA!G6,HKBCCA!G6,CUCXCA!G6,BOFMCA!G6,BOFACA!G6,BNPACA!G6,BNDCCA!G6,BLCMCA!G6,BCANCA!G6,ATBRCA!G6,CCDQCA!G6,CIBCCA!G6,NOSCCA!G6,TDOMCA!G6,ROYCCA!G6)</f>
        <v>6.4220000000000006</v>
      </c>
      <c r="H6" s="16">
        <v>2019</v>
      </c>
      <c r="I6" s="1">
        <f>SUM(F9:F12)</f>
        <v>25.149000000000001</v>
      </c>
      <c r="K6" s="19" t="str">
        <f t="shared" si="1"/>
        <v>2022Q3</v>
      </c>
      <c r="L6" s="20">
        <f>ROUND(LN(Totals!B6/'Porfolio Forecast'!B6),4)</f>
        <v>1.44E-2</v>
      </c>
      <c r="M6" s="21">
        <f>ROUND(LN(Totals!C6/'Porfolio Forecast'!C6),4)</f>
        <v>4.0399999999999998E-2</v>
      </c>
      <c r="N6" s="20">
        <f>ROUND(LN(Totals!D6/'Porfolio Forecast'!D6),4)</f>
        <v>6.3399999999999998E-2</v>
      </c>
      <c r="O6" s="20">
        <f>ROUND(LN(Totals!E6/'Porfolio Forecast'!E6),4)</f>
        <v>-4.0099999999999997E-2</v>
      </c>
      <c r="P6" s="21">
        <f>ROUND(LN(Totals!F6/'Porfolio Forecast'!F6),4)</f>
        <v>-2.35E-2</v>
      </c>
      <c r="Q6" s="20">
        <f>ROUND(LN(Totals!G6/'Porfolio Forecast'!G6),4)</f>
        <v>-8.5000000000000006E-3</v>
      </c>
      <c r="AB6" s="1">
        <v>3470.87</v>
      </c>
      <c r="AC6" s="1">
        <v>3705.7969999999996</v>
      </c>
      <c r="AD6" s="1">
        <v>3940.7269999999999</v>
      </c>
      <c r="AE6" s="1">
        <v>4.3979999999999997</v>
      </c>
      <c r="AF6" s="1">
        <v>4.7190000000000003</v>
      </c>
      <c r="AG6" s="1">
        <v>5.0430000000000001</v>
      </c>
      <c r="AI6" s="17">
        <f t="shared" si="0"/>
        <v>0.18875524975023567</v>
      </c>
      <c r="AJ6" s="17">
        <f t="shared" si="0"/>
        <v>0.19929858588465338</v>
      </c>
      <c r="AK6" s="17">
        <f t="shared" si="0"/>
        <v>0.20849350592985028</v>
      </c>
      <c r="AL6" s="17">
        <f t="shared" si="0"/>
        <v>0.26159438760975612</v>
      </c>
      <c r="AM6" s="17">
        <f t="shared" si="0"/>
        <v>0.25143214874203534</v>
      </c>
      <c r="AN6" s="17">
        <f t="shared" si="0"/>
        <v>0.24172845257273406</v>
      </c>
    </row>
    <row r="7" spans="1:40" s="1" customFormat="1" ht="15.5" thickTop="1" thickBot="1" x14ac:dyDescent="0.4">
      <c r="A7" s="5" t="str">
        <f>SBOSCA!A7</f>
        <v>2022Q4</v>
      </c>
      <c r="B7" s="2">
        <f>SUM(SBOSCA!B7,MCBTCA!B7,ICICCA!B7,HKBCCA!B7,CUCXCA!B7,BOFMCA!B7,BOFACA!B7,BNPACA!B7,BNDCCA!B7,BLCMCA!B7,BCANCA!B7,ATBRCA!B7,CCDQCA!B7,CIBCCA!B7,NOSCCA!B7,TDOMCA!B7,ROYCCA!B7)</f>
        <v>4240.2150000000001</v>
      </c>
      <c r="C7" s="3">
        <f>SUM(SBOSCA!C7,MCBTCA!C7,ICICCA!C7,HKBCCA!C7,CUCXCA!C7,BOFMCA!C7,BOFACA!C7,BNPACA!C7,BNDCCA!C7,BLCMCA!C7,BCANCA!C7,ATBRCA!C7,CCDQCA!C7,CIBCCA!C7,NOSCCA!C7,TDOMCA!C7,ROYCCA!C7)</f>
        <v>4586.2769999999991</v>
      </c>
      <c r="D7" s="2">
        <f>SUM(SBOSCA!D7,MCBTCA!D7,ICICCA!D7,HKBCCA!D7,CUCXCA!D7,BOFMCA!D7,BOFACA!D7,BNPACA!D7,BNDCCA!D7,BLCMCA!D7,BCANCA!D7,ATBRCA!D7,CCDQCA!D7,CIBCCA!D7,NOSCCA!D7,TDOMCA!D7,ROYCCA!D7)</f>
        <v>4932.3379999999997</v>
      </c>
      <c r="E7" s="2">
        <f>SUM(SBOSCA!E7,MCBTCA!E7,ICICCA!E7,HKBCCA!E7,CUCXCA!E7,BOFMCA!E7,BOFACA!E7,BNPACA!E7,BNDCCA!E7,BLCMCA!E7,BCANCA!E7,ATBRCA!E7,CCDQCA!E7,CIBCCA!E7,NOSCCA!E7,TDOMCA!E7,ROYCCA!E7)</f>
        <v>5.7279999999999998</v>
      </c>
      <c r="F7" s="3">
        <f>SUM(SBOSCA!F7,MCBTCA!F7,ICICCA!F7,HKBCCA!F7,CUCXCA!F7,BOFMCA!F7,BOFACA!F7,BNPACA!F7,BNDCCA!F7,BLCMCA!F7,BCANCA!F7,ATBRCA!F7,CCDQCA!F7,CIBCCA!F7,NOSCCA!F7,TDOMCA!F7,ROYCCA!F7)</f>
        <v>6.1270000000000007</v>
      </c>
      <c r="G7" s="2">
        <f>SUM(SBOSCA!G7,MCBTCA!G7,ICICCA!G7,HKBCCA!G7,CUCXCA!G7,BOFMCA!G7,BOFACA!G7,BNPACA!G7,BNDCCA!G7,BLCMCA!G7,BCANCA!G7,ATBRCA!G7,CCDQCA!G7,CIBCCA!G7,NOSCCA!G7,TDOMCA!G7,ROYCCA!G7)</f>
        <v>6.5229999999999997</v>
      </c>
      <c r="H7" s="16">
        <v>2020</v>
      </c>
      <c r="I7" s="1">
        <f>SUM(F13:F16)</f>
        <v>25.979999999999997</v>
      </c>
      <c r="K7" s="19" t="str">
        <f t="shared" si="1"/>
        <v>2022Q4</v>
      </c>
      <c r="L7" s="20">
        <f>ROUND(LN(Totals!B7/'Porfolio Forecast'!B7),4)</f>
        <v>1.0699999999999999E-2</v>
      </c>
      <c r="M7" s="21">
        <f>ROUND(LN(Totals!C7/'Porfolio Forecast'!C7),4)</f>
        <v>3.9800000000000002E-2</v>
      </c>
      <c r="N7" s="20">
        <f>ROUND(LN(Totals!D7/'Porfolio Forecast'!D7),4)</f>
        <v>6.5600000000000006E-2</v>
      </c>
      <c r="O7" s="20">
        <f>ROUND(LN(Totals!E7/'Porfolio Forecast'!E7),4)</f>
        <v>-4.4600000000000001E-2</v>
      </c>
      <c r="P7" s="21">
        <f>ROUND(LN(Totals!F7/'Porfolio Forecast'!F7),4)</f>
        <v>-2.53E-2</v>
      </c>
      <c r="Q7" s="20">
        <f>ROUND(LN(Totals!G7/'Porfolio Forecast'!G7),4)</f>
        <v>-8.3999999999999995E-3</v>
      </c>
      <c r="AB7" s="1">
        <v>3689.87</v>
      </c>
      <c r="AC7" s="1">
        <v>3945.4090000000001</v>
      </c>
      <c r="AD7" s="1">
        <v>4200.95</v>
      </c>
      <c r="AE7" s="1">
        <v>4.3719999999999999</v>
      </c>
      <c r="AF7" s="1">
        <v>4.7249999999999996</v>
      </c>
      <c r="AG7" s="1">
        <v>5.0780000000000003</v>
      </c>
      <c r="AI7" s="17">
        <f t="shared" si="0"/>
        <v>0.13902274842592327</v>
      </c>
      <c r="AJ7" s="17">
        <f t="shared" si="0"/>
        <v>0.15051595937018306</v>
      </c>
      <c r="AK7" s="17">
        <f t="shared" si="0"/>
        <v>0.16050242480126636</v>
      </c>
      <c r="AL7" s="17">
        <f t="shared" si="0"/>
        <v>0.27014585934405227</v>
      </c>
      <c r="AM7" s="17">
        <f t="shared" si="0"/>
        <v>0.25983767279781161</v>
      </c>
      <c r="AN7" s="17">
        <f t="shared" si="0"/>
        <v>0.25041690953147216</v>
      </c>
    </row>
    <row r="8" spans="1:40" s="1" customFormat="1" ht="15.5" thickTop="1" thickBot="1" x14ac:dyDescent="0.4">
      <c r="A8" s="5" t="str">
        <f>SBOSCA!A8</f>
        <v>2023Q1</v>
      </c>
      <c r="B8" s="2">
        <f>SUM(SBOSCA!B8,MCBTCA!B8,ICICCA!B8,HKBCCA!B8,CUCXCA!B8,BOFMCA!B8,BOFACA!B8,BNPACA!B8,BNDCCA!B8,BLCMCA!B8,BCANCA!B8,ATBRCA!B8,CCDQCA!B8,CIBCCA!B8,NOSCCA!B8,TDOMCA!B8,ROYCCA!B8)</f>
        <v>4020.0369999999998</v>
      </c>
      <c r="C8" s="3">
        <f>SUM(SBOSCA!C8,MCBTCA!C8,ICICCA!C8,HKBCCA!C8,CUCXCA!C8,BOFMCA!C8,BOFACA!C8,BNPACA!C8,BNDCCA!C8,BLCMCA!C8,BCANCA!C8,ATBRCA!C8,CCDQCA!C8,CIBCCA!C8,NOSCCA!C8,TDOMCA!C8,ROYCCA!C8)</f>
        <v>4377.723</v>
      </c>
      <c r="D8" s="2">
        <f>SUM(SBOSCA!D8,MCBTCA!D8,ICICCA!D8,HKBCCA!D8,CUCXCA!D8,BOFMCA!D8,BOFACA!D8,BNPACA!D8,BNDCCA!D8,BLCMCA!D8,BCANCA!D8,ATBRCA!D8,CCDQCA!D8,CIBCCA!D8,NOSCCA!D8,TDOMCA!D8,ROYCCA!D8)</f>
        <v>4735.4070000000002</v>
      </c>
      <c r="E8" s="2">
        <f>SUM(SBOSCA!E8,MCBTCA!E8,ICICCA!E8,HKBCCA!E8,CUCXCA!E8,BOFMCA!E8,BOFACA!E8,BNPACA!E8,BNDCCA!E8,BLCMCA!E8,BCANCA!E8,ATBRCA!E8,CCDQCA!E8,CIBCCA!E8,NOSCCA!E8,TDOMCA!E8,ROYCCA!E8)</f>
        <v>5.6439999999999992</v>
      </c>
      <c r="F8" s="3">
        <f>SUM(SBOSCA!F8,MCBTCA!F8,ICICCA!F8,HKBCCA!F8,CUCXCA!F8,BOFMCA!F8,BOFACA!F8,BNPACA!F8,BNDCCA!F8,BLCMCA!F8,BCANCA!F8,ATBRCA!F8,CCDQCA!F8,CIBCCA!F8,NOSCCA!F8,TDOMCA!F8,ROYCCA!F8)</f>
        <v>6.081999999999999</v>
      </c>
      <c r="G8" s="2">
        <f>SUM(SBOSCA!G8,MCBTCA!G8,ICICCA!G8,HKBCCA!G8,CUCXCA!G8,BOFMCA!G8,BOFACA!G8,BNPACA!G8,BNDCCA!G8,BLCMCA!G8,BCANCA!G8,ATBRCA!G8,CCDQCA!G8,CIBCCA!G8,NOSCCA!G8,TDOMCA!G8,ROYCCA!G8)</f>
        <v>6.5170000000000003</v>
      </c>
      <c r="H8" s="1">
        <v>2021</v>
      </c>
      <c r="I8" s="1">
        <f>SUM(F17:F20)</f>
        <v>26.807000000000002</v>
      </c>
      <c r="K8" s="19" t="str">
        <f t="shared" si="1"/>
        <v>2023Q1</v>
      </c>
      <c r="L8" s="20">
        <f>ROUND(LN(Totals!B8/'Porfolio Forecast'!B8),4)</f>
        <v>1.06E-2</v>
      </c>
      <c r="M8" s="21">
        <f>ROUND(LN(Totals!C8/'Porfolio Forecast'!C8),4)</f>
        <v>4.3900000000000002E-2</v>
      </c>
      <c r="N8" s="20">
        <f>ROUND(LN(Totals!D8/'Porfolio Forecast'!D8),4)</f>
        <v>7.3099999999999998E-2</v>
      </c>
      <c r="O8" s="20">
        <f>ROUND(LN(Totals!E8/'Porfolio Forecast'!E8),4)</f>
        <v>-4.7600000000000003E-2</v>
      </c>
      <c r="P8" s="21">
        <f>ROUND(LN(Totals!F8/'Porfolio Forecast'!F8),4)</f>
        <v>-2.6100000000000002E-2</v>
      </c>
      <c r="Q8" s="20">
        <f>ROUND(LN(Totals!G8/'Porfolio Forecast'!G8),4)</f>
        <v>-7.6E-3</v>
      </c>
      <c r="AB8" s="1">
        <v>3660.1750000000002</v>
      </c>
      <c r="AC8" s="1">
        <v>3934.6090000000004</v>
      </c>
      <c r="AD8" s="1">
        <v>4209.0460000000003</v>
      </c>
      <c r="AE8" s="1">
        <v>4.3809999999999993</v>
      </c>
      <c r="AF8" s="1">
        <v>4.7610000000000001</v>
      </c>
      <c r="AG8" s="1">
        <v>5.1429999999999998</v>
      </c>
      <c r="AI8" s="17">
        <f t="shared" si="0"/>
        <v>9.3780146090810368E-2</v>
      </c>
      <c r="AJ8" s="17">
        <f t="shared" si="0"/>
        <v>0.10671721394264362</v>
      </c>
      <c r="AK8" s="17">
        <f t="shared" si="0"/>
        <v>0.11783165990302408</v>
      </c>
      <c r="AL8" s="17">
        <f t="shared" si="0"/>
        <v>0.25331602515880614</v>
      </c>
      <c r="AM8" s="17">
        <f t="shared" si="0"/>
        <v>0.24487585904279091</v>
      </c>
      <c r="AN8" s="17">
        <f t="shared" si="0"/>
        <v>0.23677758055746431</v>
      </c>
    </row>
    <row r="9" spans="1:40" s="1" customFormat="1" ht="15.5" thickTop="1" thickBot="1" x14ac:dyDescent="0.4">
      <c r="A9" s="5" t="str">
        <f>SBOSCA!A9</f>
        <v>2023Q2</v>
      </c>
      <c r="B9" s="2">
        <f>SUM(SBOSCA!B9,MCBTCA!B9,ICICCA!B9,HKBCCA!B9,CUCXCA!B9,BOFMCA!B9,BOFACA!B9,BNPACA!B9,BNDCCA!B9,BLCMCA!B9,BCANCA!B9,ATBRCA!B9,CCDQCA!B9,CIBCCA!B9,NOSCCA!B9,TDOMCA!B9,ROYCCA!B9)</f>
        <v>4270.1450000000004</v>
      </c>
      <c r="C9" s="3">
        <f>SUM(SBOSCA!C9,MCBTCA!C9,ICICCA!C9,HKBCCA!C9,CUCXCA!C9,BOFMCA!C9,BOFACA!C9,BNPACA!C9,BNDCCA!C9,BLCMCA!C9,BCANCA!C9,ATBRCA!C9,CCDQCA!C9,CIBCCA!C9,NOSCCA!C9,TDOMCA!C9,ROYCCA!C9)</f>
        <v>4637.335</v>
      </c>
      <c r="D9" s="2">
        <f>SUM(SBOSCA!D9,MCBTCA!D9,ICICCA!D9,HKBCCA!D9,CUCXCA!D9,BOFMCA!D9,BOFACA!D9,BNPACA!D9,BNDCCA!D9,BLCMCA!D9,BCANCA!D9,ATBRCA!D9,CCDQCA!D9,CIBCCA!D9,NOSCCA!D9,TDOMCA!D9,ROYCCA!D9)</f>
        <v>5004.5249999999996</v>
      </c>
      <c r="E9" s="2">
        <f>SUM(SBOSCA!E9,MCBTCA!E9,ICICCA!E9,HKBCCA!E9,CUCXCA!E9,BOFMCA!E9,BOFACA!E9,BNPACA!E9,BNDCCA!E9,BLCMCA!E9,BCANCA!E9,ATBRCA!E9,CCDQCA!E9,CIBCCA!E9,NOSCCA!E9,TDOMCA!E9,ROYCCA!E9)</f>
        <v>5.7910000000000004</v>
      </c>
      <c r="F9" s="3">
        <f>SUM(SBOSCA!F9,MCBTCA!F9,ICICCA!F9,HKBCCA!F9,CUCXCA!F9,BOFMCA!F9,BOFACA!F9,BNPACA!F9,BNDCCA!F9,BLCMCA!F9,BCANCA!F9,ATBRCA!F9,CCDQCA!F9,CIBCCA!F9,NOSCCA!F9,TDOMCA!F9,ROYCCA!F9)</f>
        <v>6.261000000000001</v>
      </c>
      <c r="G9" s="2">
        <f>SUM(SBOSCA!G9,MCBTCA!G9,ICICCA!G9,HKBCCA!G9,CUCXCA!G9,BOFMCA!G9,BOFACA!G9,BNPACA!G9,BNDCCA!G9,BLCMCA!G9,BCANCA!G9,ATBRCA!G9,CCDQCA!G9,CIBCCA!G9,NOSCCA!G9,TDOMCA!G9,ROYCCA!G9)</f>
        <v>6.7350000000000003</v>
      </c>
      <c r="H9" s="1">
        <v>2022</v>
      </c>
      <c r="I9" s="1">
        <f>SUM(F21:F24)</f>
        <v>27.631</v>
      </c>
      <c r="K9" s="19" t="str">
        <f t="shared" si="1"/>
        <v>2023Q2</v>
      </c>
      <c r="L9" s="20">
        <f>ROUND(LN(Totals!B9/'Porfolio Forecast'!B9),4)</f>
        <v>6.4999999999999997E-3</v>
      </c>
      <c r="M9" s="21">
        <f>ROUND(LN(Totals!C9/'Porfolio Forecast'!C9),4)</f>
        <v>4.02E-2</v>
      </c>
      <c r="N9" s="20">
        <f>ROUND(LN(Totals!D9/'Porfolio Forecast'!D9),4)</f>
        <v>6.9900000000000004E-2</v>
      </c>
      <c r="O9" s="20">
        <f>ROUND(LN(Totals!E9/'Porfolio Forecast'!E9),4)</f>
        <v>-4.5400000000000003E-2</v>
      </c>
      <c r="P9" s="21">
        <f>ROUND(LN(Totals!F9/'Porfolio Forecast'!F9),4)</f>
        <v>-2.35E-2</v>
      </c>
      <c r="Q9" s="20">
        <f>ROUND(LN(Totals!G9/'Porfolio Forecast'!G9),4)</f>
        <v>-3.7000000000000002E-3</v>
      </c>
    </row>
    <row r="10" spans="1:40" s="1" customFormat="1" ht="15.5" thickTop="1" thickBot="1" x14ac:dyDescent="0.4">
      <c r="A10" s="5" t="str">
        <f>SBOSCA!A10</f>
        <v>2023Q3</v>
      </c>
      <c r="B10" s="2">
        <f>SUM(SBOSCA!B10,MCBTCA!B10,ICICCA!B10,HKBCCA!B10,CUCXCA!B10,BOFMCA!B10,BOFACA!B10,BNPACA!B10,BNDCCA!B10,BLCMCA!B10,BCANCA!B10,ATBRCA!B10,CCDQCA!B10,CIBCCA!B10,NOSCCA!B10,TDOMCA!B10,ROYCCA!B10)</f>
        <v>4253.6530000000002</v>
      </c>
      <c r="C10" s="3">
        <f>SUM(SBOSCA!C10,MCBTCA!C10,ICICCA!C10,HKBCCA!C10,CUCXCA!C10,BOFMCA!C10,BOFACA!C10,BNPACA!C10,BNDCCA!C10,BLCMCA!C10,BCANCA!C10,ATBRCA!C10,CCDQCA!C10,CIBCCA!C10,NOSCCA!C10,TDOMCA!C10,ROYCCA!C10)</f>
        <v>4628.8459999999995</v>
      </c>
      <c r="D10" s="2">
        <f>SUM(SBOSCA!D10,MCBTCA!D10,ICICCA!D10,HKBCCA!D10,CUCXCA!D10,BOFMCA!D10,BOFACA!D10,BNPACA!D10,BNDCCA!D10,BLCMCA!D10,BCANCA!D10,ATBRCA!D10,CCDQCA!D10,CIBCCA!D10,NOSCCA!D10,TDOMCA!D10,ROYCCA!D10)</f>
        <v>5004.0390000000007</v>
      </c>
      <c r="E10" s="2">
        <f>SUM(SBOSCA!E10,MCBTCA!E10,ICICCA!E10,HKBCCA!E10,CUCXCA!E10,BOFMCA!E10,BOFACA!E10,BNPACA!E10,BNDCCA!E10,BLCMCA!E10,BCANCA!E10,ATBRCA!E10,CCDQCA!E10,CIBCCA!E10,NOSCCA!E10,TDOMCA!E10,ROYCCA!E10)</f>
        <v>5.7690000000000001</v>
      </c>
      <c r="F10" s="3">
        <f>SUM(SBOSCA!F10,MCBTCA!F10,ICICCA!F10,HKBCCA!F10,CUCXCA!F10,BOFMCA!F10,BOFACA!F10,BNPACA!F10,BNDCCA!F10,BLCMCA!F10,BCANCA!F10,ATBRCA!F10,CCDQCA!F10,CIBCCA!F10,NOSCCA!F10,TDOMCA!F10,ROYCCA!F10)</f>
        <v>6.2720000000000002</v>
      </c>
      <c r="G10" s="2">
        <f>SUM(SBOSCA!G10,MCBTCA!G10,ICICCA!G10,HKBCCA!G10,CUCXCA!G10,BOFMCA!G10,BOFACA!G10,BNPACA!G10,BNDCCA!G10,BLCMCA!G10,BCANCA!G10,ATBRCA!G10,CCDQCA!G10,CIBCCA!G10,NOSCCA!G10,TDOMCA!G10,ROYCCA!G10)</f>
        <v>6.7819999999999991</v>
      </c>
      <c r="H10" s="1">
        <v>2023</v>
      </c>
      <c r="I10" s="1">
        <f>SUM(F25:F28)</f>
        <v>28.454000000000001</v>
      </c>
      <c r="K10" s="19" t="str">
        <f t="shared" si="1"/>
        <v>2023Q3</v>
      </c>
      <c r="L10" s="20">
        <f>ROUND(LN(Totals!B10/'Porfolio Forecast'!B10),4)</f>
        <v>4.7999999999999996E-3</v>
      </c>
      <c r="M10" s="21">
        <f>ROUND(LN(Totals!C10/'Porfolio Forecast'!C10),4)</f>
        <v>4.0399999999999998E-2</v>
      </c>
      <c r="N10" s="20">
        <f>ROUND(LN(Totals!D10/'Porfolio Forecast'!D10),4)</f>
        <v>7.17E-2</v>
      </c>
      <c r="O10" s="20">
        <f>ROUND(LN(Totals!E10/'Porfolio Forecast'!E10),4)</f>
        <v>-4.87E-2</v>
      </c>
      <c r="P10" s="21">
        <f>ROUND(LN(Totals!F10/'Porfolio Forecast'!F10),4)</f>
        <v>-2.5000000000000001E-2</v>
      </c>
      <c r="Q10" s="20">
        <f>ROUND(LN(Totals!G10/'Porfolio Forecast'!G10),4)</f>
        <v>-3.3999999999999998E-3</v>
      </c>
    </row>
    <row r="11" spans="1:40" s="1" customFormat="1" ht="15.5" thickTop="1" thickBot="1" x14ac:dyDescent="0.4">
      <c r="A11" s="5" t="str">
        <f>SBOSCA!A11</f>
        <v>2023Q4</v>
      </c>
      <c r="B11" s="2">
        <f>SUM(SBOSCA!B11,MCBTCA!B11,ICICCA!B11,HKBCCA!B11,CUCXCA!B11,BOFMCA!B11,BOFACA!B11,BNPACA!B11,BNDCCA!B11,BLCMCA!B11,BCANCA!B11,ATBRCA!B11,CCDQCA!B11,CIBCCA!B11,NOSCCA!B11,TDOMCA!B11,ROYCCA!B11)</f>
        <v>4308.5529999999999</v>
      </c>
      <c r="C11" s="3">
        <f>SUM(SBOSCA!C11,MCBTCA!C11,ICICCA!C11,HKBCCA!C11,CUCXCA!C11,BOFMCA!C11,BOFACA!C11,BNPACA!C11,BNDCCA!C11,BLCMCA!C11,BCANCA!C11,ATBRCA!C11,CCDQCA!C11,CIBCCA!C11,NOSCCA!C11,TDOMCA!C11,ROYCCA!C11)</f>
        <v>4690.619999999999</v>
      </c>
      <c r="D11" s="2">
        <f>SUM(SBOSCA!D11,MCBTCA!D11,ICICCA!D11,HKBCCA!D11,CUCXCA!D11,BOFMCA!D11,BOFACA!D11,BNPACA!D11,BNDCCA!D11,BLCMCA!D11,BCANCA!D11,ATBRCA!D11,CCDQCA!D11,CIBCCA!D11,NOSCCA!D11,TDOMCA!D11,ROYCCA!D11)</f>
        <v>5072.6880000000001</v>
      </c>
      <c r="E11" s="2">
        <f>SUM(SBOSCA!E11,MCBTCA!E11,ICICCA!E11,HKBCCA!E11,CUCXCA!E11,BOFMCA!E11,BOFACA!E11,BNPACA!E11,BNDCCA!E11,BLCMCA!E11,BCANCA!E11,ATBRCA!E11,CCDQCA!E11,CIBCCA!E11,NOSCCA!E11,TDOMCA!E11,ROYCCA!E11)</f>
        <v>5.7929999999999993</v>
      </c>
      <c r="F11" s="3">
        <f>SUM(SBOSCA!F11,MCBTCA!F11,ICICCA!F11,HKBCCA!F11,CUCXCA!F11,BOFMCA!F11,BOFACA!F11,BNPACA!F11,BNDCCA!F11,BLCMCA!F11,BCANCA!F11,ATBRCA!F11,CCDQCA!F11,CIBCCA!F11,NOSCCA!F11,TDOMCA!F11,ROYCCA!F11)</f>
        <v>6.33</v>
      </c>
      <c r="G11" s="2">
        <f>SUM(SBOSCA!G11,MCBTCA!G11,ICICCA!G11,HKBCCA!G11,CUCXCA!G11,BOFMCA!G11,BOFACA!G11,BNPACA!G11,BNDCCA!G11,BLCMCA!G11,BCANCA!G11,ATBRCA!G11,CCDQCA!G11,CIBCCA!G11,NOSCCA!G11,TDOMCA!G11,ROYCCA!G11)</f>
        <v>6.8680000000000003</v>
      </c>
      <c r="H11" s="1">
        <v>2024</v>
      </c>
      <c r="I11" s="1">
        <f>SUM(F29:F32)</f>
        <v>29.282</v>
      </c>
      <c r="K11" s="19" t="str">
        <f t="shared" si="1"/>
        <v>2023Q4</v>
      </c>
      <c r="L11" s="20">
        <f>ROUND(LN(Totals!B11/'Porfolio Forecast'!B11),4)</f>
        <v>2.7000000000000001E-3</v>
      </c>
      <c r="M11" s="21">
        <f>ROUND(LN(Totals!C11/'Porfolio Forecast'!C11),4)</f>
        <v>3.95E-2</v>
      </c>
      <c r="N11" s="20">
        <f>ROUND(LN(Totals!D11/'Porfolio Forecast'!D11),4)</f>
        <v>7.1800000000000003E-2</v>
      </c>
      <c r="O11" s="20">
        <f>ROUND(LN(Totals!E11/'Porfolio Forecast'!E11),4)</f>
        <v>-5.0500000000000003E-2</v>
      </c>
      <c r="P11" s="21">
        <f>ROUND(LN(Totals!F11/'Porfolio Forecast'!F11),4)</f>
        <v>-2.5000000000000001E-2</v>
      </c>
      <c r="Q11" s="20">
        <f>ROUND(LN(Totals!G11/'Porfolio Forecast'!G11),4)</f>
        <v>-2.8E-3</v>
      </c>
    </row>
    <row r="12" spans="1:40" s="1" customFormat="1" ht="15.5" thickTop="1" thickBot="1" x14ac:dyDescent="0.4">
      <c r="A12" s="5" t="str">
        <f>SBOSCA!A12</f>
        <v>2024Q1</v>
      </c>
      <c r="B12" s="2">
        <f>SUM(SBOSCA!B12,MCBTCA!B12,ICICCA!B12,HKBCCA!B12,CUCXCA!B12,BOFMCA!B12,BOFACA!B12,BNPACA!B12,BNDCCA!B12,BLCMCA!B12,BCANCA!B12,ATBRCA!B12,CCDQCA!B12,CIBCCA!B12,NOSCCA!B12,TDOMCA!B12,ROYCCA!B12)</f>
        <v>4093.248</v>
      </c>
      <c r="C12" s="3">
        <f>SUM(SBOSCA!C12,MCBTCA!C12,ICICCA!C12,HKBCCA!C12,CUCXCA!C12,BOFMCA!C12,BOFACA!C12,BNPACA!C12,BNDCCA!C12,BLCMCA!C12,BCANCA!C12,ATBRCA!C12,CCDQCA!C12,CIBCCA!C12,NOSCCA!C12,TDOMCA!C12,ROYCCA!C12)</f>
        <v>4481.3150000000005</v>
      </c>
      <c r="D12" s="2">
        <f>SUM(SBOSCA!D12,MCBTCA!D12,ICICCA!D12,HKBCCA!D12,CUCXCA!D12,BOFMCA!D12,BOFACA!D12,BNPACA!D12,BNDCCA!D12,BLCMCA!D12,BCANCA!D12,ATBRCA!D12,CCDQCA!D12,CIBCCA!D12,NOSCCA!D12,TDOMCA!D12,ROYCCA!D12)</f>
        <v>4869.3809999999994</v>
      </c>
      <c r="E12" s="2">
        <f>SUM(SBOSCA!E12,MCBTCA!E12,ICICCA!E12,HKBCCA!E12,CUCXCA!E12,BOFMCA!E12,BOFACA!E12,BNPACA!E12,BNDCCA!E12,BLCMCA!E12,BCANCA!E12,ATBRCA!E12,CCDQCA!E12,CIBCCA!E12,NOSCCA!E12,TDOMCA!E12,ROYCCA!E12)</f>
        <v>5.7210000000000001</v>
      </c>
      <c r="F12" s="3">
        <f>SUM(SBOSCA!F12,MCBTCA!F12,ICICCA!F12,HKBCCA!F12,CUCXCA!F12,BOFMCA!F12,BOFACA!F12,BNPACA!F12,BNDCCA!F12,BLCMCA!F12,BCANCA!F12,ATBRCA!F12,CCDQCA!F12,CIBCCA!F12,NOSCCA!F12,TDOMCA!F12,ROYCCA!F12)</f>
        <v>6.2859999999999996</v>
      </c>
      <c r="G12" s="2">
        <f>SUM(SBOSCA!G12,MCBTCA!G12,ICICCA!G12,HKBCCA!G12,CUCXCA!G12,BOFMCA!G12,BOFACA!G12,BNPACA!G12,BNDCCA!G12,BLCMCA!G12,BCANCA!G12,ATBRCA!G12,CCDQCA!G12,CIBCCA!G12,NOSCCA!G12,TDOMCA!G12,ROYCCA!G12)</f>
        <v>6.8529999999999998</v>
      </c>
      <c r="K12" s="19" t="str">
        <f t="shared" si="1"/>
        <v>2024Q1</v>
      </c>
      <c r="L12" s="20">
        <f>ROUND(LN(Totals!B12/'Porfolio Forecast'!B12),4)</f>
        <v>3.3999999999999998E-3</v>
      </c>
      <c r="M12" s="21">
        <f>ROUND(LN(Totals!C12/'Porfolio Forecast'!C12),4)</f>
        <v>4.3299999999999998E-2</v>
      </c>
      <c r="N12" s="20">
        <f>ROUND(LN(Totals!D12/'Porfolio Forecast'!D12),4)</f>
        <v>7.8100000000000003E-2</v>
      </c>
      <c r="O12" s="20">
        <f>ROUND(LN(Totals!E12/'Porfolio Forecast'!E12),4)</f>
        <v>-5.3400000000000003E-2</v>
      </c>
      <c r="P12" s="21">
        <f>ROUND(LN(Totals!F12/'Porfolio Forecast'!F12),4)</f>
        <v>-2.64E-2</v>
      </c>
      <c r="Q12" s="20">
        <f>ROUND(LN(Totals!G12/'Porfolio Forecast'!G12),4)</f>
        <v>-2.8999999999999998E-3</v>
      </c>
    </row>
    <row r="13" spans="1:40" s="1" customFormat="1" ht="15.5" thickTop="1" thickBot="1" x14ac:dyDescent="0.4">
      <c r="A13" s="5" t="str">
        <f>SBOSCA!A13</f>
        <v>2024Q2</v>
      </c>
      <c r="B13" s="2">
        <f>SUM(SBOSCA!B13,MCBTCA!B13,ICICCA!B13,HKBCCA!B13,CUCXCA!B13,BOFMCA!B13,BOFACA!B13,BNPACA!B13,BNDCCA!B13,BLCMCA!B13,BCANCA!B13,ATBRCA!B13,CCDQCA!B13,CIBCCA!B13,NOSCCA!B13,TDOMCA!B13,ROYCCA!B13)</f>
        <v>4347.0950000000003</v>
      </c>
      <c r="C13" s="3">
        <f>SUM(SBOSCA!C13,MCBTCA!C13,ICICCA!C13,HKBCCA!C13,CUCXCA!C13,BOFMCA!C13,BOFACA!C13,BNPACA!C13,BNDCCA!C13,BLCMCA!C13,BCANCA!C13,ATBRCA!C13,CCDQCA!C13,CIBCCA!C13,NOSCCA!C13,TDOMCA!C13,ROYCCA!C13)</f>
        <v>4740.4589999999998</v>
      </c>
      <c r="D13" s="2">
        <f>SUM(SBOSCA!D13,MCBTCA!D13,ICICCA!D13,HKBCCA!D13,CUCXCA!D13,BOFMCA!D13,BOFACA!D13,BNPACA!D13,BNDCCA!D13,BLCMCA!D13,BCANCA!D13,ATBRCA!D13,CCDQCA!D13,CIBCCA!D13,NOSCCA!D13,TDOMCA!D13,ROYCCA!D13)</f>
        <v>5133.8220000000001</v>
      </c>
      <c r="E13" s="2">
        <f>SUM(SBOSCA!E13,MCBTCA!E13,ICICCA!E13,HKBCCA!E13,CUCXCA!E13,BOFMCA!E13,BOFACA!E13,BNPACA!E13,BNDCCA!E13,BLCMCA!E13,BCANCA!E13,ATBRCA!E13,CCDQCA!E13,CIBCCA!E13,NOSCCA!E13,TDOMCA!E13,ROYCCA!E13)</f>
        <v>5.875</v>
      </c>
      <c r="F13" s="3">
        <f>SUM(SBOSCA!F13,MCBTCA!F13,ICICCA!F13,HKBCCA!F13,CUCXCA!F13,BOFMCA!F13,BOFACA!F13,BNPACA!F13,BNDCCA!F13,BLCMCA!F13,BCANCA!F13,ATBRCA!F13,CCDQCA!F13,CIBCCA!F13,NOSCCA!F13,TDOMCA!F13,ROYCCA!F13)</f>
        <v>6.468</v>
      </c>
      <c r="G13" s="2">
        <f>SUM(SBOSCA!G13,MCBTCA!G13,ICICCA!G13,HKBCCA!G13,CUCXCA!G13,BOFMCA!G13,BOFACA!G13,BNPACA!G13,BNDCCA!G13,BLCMCA!G13,BCANCA!G13,ATBRCA!G13,CCDQCA!G13,CIBCCA!G13,NOSCCA!G13,TDOMCA!G13,ROYCCA!G13)</f>
        <v>7.0629999999999997</v>
      </c>
      <c r="K13" s="19" t="str">
        <f t="shared" si="1"/>
        <v>2024Q2</v>
      </c>
      <c r="L13" s="20">
        <f>ROUND(LN(Totals!B13/'Porfolio Forecast'!B13),4)</f>
        <v>6.9999999999999999E-4</v>
      </c>
      <c r="M13" s="21">
        <f>ROUND(LN(Totals!C13/'Porfolio Forecast'!C13),4)</f>
        <v>3.9600000000000003E-2</v>
      </c>
      <c r="N13" s="20">
        <f>ROUND(LN(Totals!D13/'Porfolio Forecast'!D13),4)</f>
        <v>7.3800000000000004E-2</v>
      </c>
      <c r="O13" s="20">
        <f>ROUND(LN(Totals!E13/'Porfolio Forecast'!E13),4)</f>
        <v>-5.0599999999999999E-2</v>
      </c>
      <c r="P13" s="21">
        <f>ROUND(LN(Totals!F13/'Porfolio Forecast'!F13),4)</f>
        <v>-2.3099999999999999E-2</v>
      </c>
      <c r="Q13" s="20">
        <f>ROUND(LN(Totals!G13/'Porfolio Forecast'!G13),4)</f>
        <v>6.9999999999999999E-4</v>
      </c>
    </row>
    <row r="14" spans="1:40" s="1" customFormat="1" ht="15.5" thickTop="1" thickBot="1" x14ac:dyDescent="0.4">
      <c r="A14" s="5" t="str">
        <f>SBOSCA!A14</f>
        <v>2024Q3</v>
      </c>
      <c r="B14" s="2">
        <f>SUM(SBOSCA!B14,MCBTCA!B14,ICICCA!B14,HKBCCA!B14,CUCXCA!B14,BOFMCA!B14,BOFACA!B14,BNPACA!B14,BNDCCA!B14,BLCMCA!B14,BCANCA!B14,ATBRCA!B14,CCDQCA!B14,CIBCCA!B14,NOSCCA!B14,TDOMCA!B14,ROYCCA!B14)</f>
        <v>4333.549</v>
      </c>
      <c r="C14" s="3">
        <f>SUM(SBOSCA!C14,MCBTCA!C14,ICICCA!C14,HKBCCA!C14,CUCXCA!C14,BOFMCA!C14,BOFACA!C14,BNPACA!C14,BNDCCA!C14,BLCMCA!C14,BCANCA!C14,ATBRCA!C14,CCDQCA!C14,CIBCCA!C14,NOSCCA!C14,TDOMCA!C14,ROYCCA!C14)</f>
        <v>4731.6419999999998</v>
      </c>
      <c r="D14" s="2">
        <f>SUM(SBOSCA!D14,MCBTCA!D14,ICICCA!D14,HKBCCA!D14,CUCXCA!D14,BOFMCA!D14,BOFACA!D14,BNPACA!D14,BNDCCA!D14,BLCMCA!D14,BCANCA!D14,ATBRCA!D14,CCDQCA!D14,CIBCCA!D14,NOSCCA!D14,TDOMCA!D14,ROYCCA!D14)</f>
        <v>5129.7350000000006</v>
      </c>
      <c r="E14" s="2">
        <f>SUM(SBOSCA!E14,MCBTCA!E14,ICICCA!E14,HKBCCA!E14,CUCXCA!E14,BOFMCA!E14,BOFACA!E14,BNPACA!E14,BNDCCA!E14,BLCMCA!E14,BCANCA!E14,ATBRCA!E14,CCDQCA!E14,CIBCCA!E14,NOSCCA!E14,TDOMCA!E14,ROYCCA!E14)</f>
        <v>5.8620000000000001</v>
      </c>
      <c r="F14" s="3">
        <f>SUM(SBOSCA!F14,MCBTCA!F14,ICICCA!F14,HKBCCA!F14,CUCXCA!F14,BOFMCA!F14,BOFACA!F14,BNPACA!F14,BNDCCA!F14,BLCMCA!F14,BCANCA!F14,ATBRCA!F14,CCDQCA!F14,CIBCCA!F14,NOSCCA!F14,TDOMCA!F14,ROYCCA!F14)</f>
        <v>6.4819999999999993</v>
      </c>
      <c r="G14" s="2">
        <f>SUM(SBOSCA!G14,MCBTCA!G14,ICICCA!G14,HKBCCA!G14,CUCXCA!G14,BOFMCA!G14,BOFACA!G14,BNPACA!G14,BNDCCA!G14,BLCMCA!G14,BCANCA!G14,ATBRCA!G14,CCDQCA!G14,CIBCCA!G14,NOSCCA!G14,TDOMCA!G14,ROYCCA!G14)</f>
        <v>7.1019999999999994</v>
      </c>
      <c r="K14" s="19" t="str">
        <f t="shared" si="1"/>
        <v>2024Q3</v>
      </c>
      <c r="L14" s="20">
        <f>ROUND(LN(Totals!B14/'Porfolio Forecast'!B14),4)</f>
        <v>-4.0000000000000002E-4</v>
      </c>
      <c r="M14" s="21">
        <f>ROUND(LN(Totals!C14/'Porfolio Forecast'!C14),4)</f>
        <v>3.9699999999999999E-2</v>
      </c>
      <c r="N14" s="20">
        <f>ROUND(LN(Totals!D14/'Porfolio Forecast'!D14),4)</f>
        <v>7.4899999999999994E-2</v>
      </c>
      <c r="O14" s="20">
        <f>ROUND(LN(Totals!E14/'Porfolio Forecast'!E14),4)</f>
        <v>-5.3199999999999997E-2</v>
      </c>
      <c r="P14" s="21">
        <f>ROUND(LN(Totals!F14/'Porfolio Forecast'!F14),4)</f>
        <v>-2.4199999999999999E-2</v>
      </c>
      <c r="Q14" s="20">
        <f>ROUND(LN(Totals!G14/'Porfolio Forecast'!G14),4)</f>
        <v>2.9999999999999997E-4</v>
      </c>
    </row>
    <row r="15" spans="1:40" s="1" customFormat="1" ht="15.5" thickTop="1" thickBot="1" x14ac:dyDescent="0.4">
      <c r="A15" s="5" t="str">
        <f>SBOSCA!A15</f>
        <v>2024Q4</v>
      </c>
      <c r="B15" s="2">
        <f>SUM(SBOSCA!B15,MCBTCA!B15,ICICCA!B15,HKBCCA!B15,CUCXCA!B15,BOFMCA!B15,BOFACA!B15,BNPACA!B15,BNDCCA!B15,BLCMCA!B15,BCANCA!B15,ATBRCA!B15,CCDQCA!B15,CIBCCA!B15,NOSCCA!B15,TDOMCA!B15,ROYCCA!B15)</f>
        <v>4390.8339999999998</v>
      </c>
      <c r="C15" s="3">
        <f>SUM(SBOSCA!C15,MCBTCA!C15,ICICCA!C15,HKBCCA!C15,CUCXCA!C15,BOFMCA!C15,BOFACA!C15,BNPACA!C15,BNDCCA!C15,BLCMCA!C15,BCANCA!C15,ATBRCA!C15,CCDQCA!C15,CIBCCA!C15,NOSCCA!C15,TDOMCA!C15,ROYCCA!C15)</f>
        <v>4793.1820000000007</v>
      </c>
      <c r="D15" s="2">
        <f>SUM(SBOSCA!D15,MCBTCA!D15,ICICCA!D15,HKBCCA!D15,CUCXCA!D15,BOFMCA!D15,BOFACA!D15,BNPACA!D15,BNDCCA!D15,BLCMCA!D15,BCANCA!D15,ATBRCA!D15,CCDQCA!D15,CIBCCA!D15,NOSCCA!D15,TDOMCA!D15,ROYCCA!D15)</f>
        <v>5195.53</v>
      </c>
      <c r="E15" s="2">
        <f>SUM(SBOSCA!E15,MCBTCA!E15,ICICCA!E15,HKBCCA!E15,CUCXCA!E15,BOFMCA!E15,BOFACA!E15,BNPACA!E15,BNDCCA!E15,BLCMCA!E15,BCANCA!E15,ATBRCA!E15,CCDQCA!E15,CIBCCA!E15,NOSCCA!E15,TDOMCA!E15,ROYCCA!E15)</f>
        <v>5.89</v>
      </c>
      <c r="F15" s="3">
        <f>SUM(SBOSCA!F15,MCBTCA!F15,ICICCA!F15,HKBCCA!F15,CUCXCA!F15,BOFMCA!F15,BOFACA!F15,BNPACA!F15,BNDCCA!F15,BLCMCA!F15,BCANCA!F15,ATBRCA!F15,CCDQCA!F15,CIBCCA!F15,NOSCCA!F15,TDOMCA!F15,ROYCCA!F15)</f>
        <v>6.5359999999999996</v>
      </c>
      <c r="G15" s="2">
        <f>SUM(SBOSCA!G15,MCBTCA!G15,ICICCA!G15,HKBCCA!G15,CUCXCA!G15,BOFMCA!G15,BOFACA!G15,BNPACA!G15,BNDCCA!G15,BLCMCA!G15,BCANCA!G15,ATBRCA!G15,CCDQCA!G15,CIBCCA!G15,NOSCCA!G15,TDOMCA!G15,ROYCCA!G15)</f>
        <v>7.1829999999999998</v>
      </c>
      <c r="K15" s="19" t="str">
        <f t="shared" si="1"/>
        <v>2024Q4</v>
      </c>
      <c r="L15" s="20">
        <f>ROUND(LN(Totals!B15/'Porfolio Forecast'!B15),4)</f>
        <v>-1.8E-3</v>
      </c>
      <c r="M15" s="21">
        <f>ROUND(LN(Totals!C15/'Porfolio Forecast'!C15),4)</f>
        <v>3.8800000000000001E-2</v>
      </c>
      <c r="N15" s="20">
        <f>ROUND(LN(Totals!D15/'Porfolio Forecast'!D15),4)</f>
        <v>7.4399999999999994E-2</v>
      </c>
      <c r="O15" s="20">
        <f>ROUND(LN(Totals!E15/'Porfolio Forecast'!E15),4)</f>
        <v>-5.4699999999999999E-2</v>
      </c>
      <c r="P15" s="21">
        <f>ROUND(LN(Totals!F15/'Porfolio Forecast'!F15),4)</f>
        <v>-2.46E-2</v>
      </c>
      <c r="Q15" s="20">
        <f>ROUND(LN(Totals!G15/'Porfolio Forecast'!G15),4)</f>
        <v>8.0000000000000004E-4</v>
      </c>
    </row>
    <row r="16" spans="1:40" s="1" customFormat="1" ht="15.5" thickTop="1" thickBot="1" x14ac:dyDescent="0.4">
      <c r="A16" s="5" t="str">
        <f>SBOSCA!A16</f>
        <v>2025Q1</v>
      </c>
      <c r="B16" s="2">
        <f>SUM(SBOSCA!B16,MCBTCA!B16,ICICCA!B16,HKBCCA!B16,CUCXCA!B16,BOFMCA!B16,BOFACA!B16,BNPACA!B16,BNDCCA!B16,BLCMCA!B16,BCANCA!B16,ATBRCA!B16,CCDQCA!B16,CIBCCA!B16,NOSCCA!B16,TDOMCA!B16,ROYCCA!B16)</f>
        <v>4177.5039999999999</v>
      </c>
      <c r="C16" s="3">
        <f>SUM(SBOSCA!C16,MCBTCA!C16,ICICCA!C16,HKBCCA!C16,CUCXCA!C16,BOFMCA!C16,BOFACA!C16,BNPACA!C16,BNDCCA!C16,BLCMCA!C16,BCANCA!C16,ATBRCA!C16,CCDQCA!C16,CIBCCA!C16,NOSCCA!C16,TDOMCA!C16,ROYCCA!C16)</f>
        <v>4583.7039999999997</v>
      </c>
      <c r="D16" s="2">
        <f>SUM(SBOSCA!D16,MCBTCA!D16,ICICCA!D16,HKBCCA!D16,CUCXCA!D16,BOFMCA!D16,BOFACA!D16,BNPACA!D16,BNDCCA!D16,BLCMCA!D16,BCANCA!D16,ATBRCA!D16,CCDQCA!D16,CIBCCA!D16,NOSCCA!D16,TDOMCA!D16,ROYCCA!D16)</f>
        <v>4989.905999999999</v>
      </c>
      <c r="E16" s="2">
        <f>SUM(SBOSCA!E16,MCBTCA!E16,ICICCA!E16,HKBCCA!E16,CUCXCA!E16,BOFMCA!E16,BOFACA!E16,BNPACA!E16,BNDCCA!E16,BLCMCA!E16,BCANCA!E16,ATBRCA!E16,CCDQCA!E16,CIBCCA!E16,NOSCCA!E16,TDOMCA!E16,ROYCCA!E16)</f>
        <v>5.8229999999999995</v>
      </c>
      <c r="F16" s="3">
        <f>SUM(SBOSCA!F16,MCBTCA!F16,ICICCA!F16,HKBCCA!F16,CUCXCA!F16,BOFMCA!F16,BOFACA!F16,BNPACA!F16,BNDCCA!F16,BLCMCA!F16,BCANCA!F16,ATBRCA!F16,CCDQCA!F16,CIBCCA!F16,NOSCCA!F16,TDOMCA!F16,ROYCCA!F16)</f>
        <v>6.4940000000000007</v>
      </c>
      <c r="G16" s="2">
        <f>SUM(SBOSCA!G16,MCBTCA!G16,ICICCA!G16,HKBCCA!G16,CUCXCA!G16,BOFMCA!G16,BOFACA!G16,BNPACA!G16,BNDCCA!G16,BLCMCA!G16,BCANCA!G16,ATBRCA!G16,CCDQCA!G16,CIBCCA!G16,NOSCCA!G16,TDOMCA!G16,ROYCCA!G16)</f>
        <v>7.1620000000000008</v>
      </c>
      <c r="K16" s="19" t="str">
        <f t="shared" si="1"/>
        <v>2025Q1</v>
      </c>
      <c r="L16" s="20">
        <f>ROUND(LN(Totals!B16/'Porfolio Forecast'!B16),4)</f>
        <v>-8.9999999999999998E-4</v>
      </c>
      <c r="M16" s="21">
        <f>ROUND(LN(Totals!C16/'Porfolio Forecast'!C16),4)</f>
        <v>4.24E-2</v>
      </c>
      <c r="N16" s="20">
        <f>ROUND(LN(Totals!D16/'Porfolio Forecast'!D16),4)</f>
        <v>8.0199999999999994E-2</v>
      </c>
      <c r="O16" s="20">
        <f>ROUND(LN(Totals!E16/'Porfolio Forecast'!E16),4)</f>
        <v>-5.7599999999999998E-2</v>
      </c>
      <c r="P16" s="21">
        <f>ROUND(LN(Totals!F16/'Porfolio Forecast'!F16),4)</f>
        <v>-2.5700000000000001E-2</v>
      </c>
      <c r="Q16" s="20">
        <f>ROUND(LN(Totals!G16/'Porfolio Forecast'!G16),4)</f>
        <v>4.0000000000000002E-4</v>
      </c>
    </row>
    <row r="17" spans="1:17" s="1" customFormat="1" ht="15.5" thickTop="1" thickBot="1" x14ac:dyDescent="0.4">
      <c r="A17" s="5" t="str">
        <f>SBOSCA!A17</f>
        <v>2025Q2</v>
      </c>
      <c r="B17" s="2">
        <f>SUM(SBOSCA!B17,MCBTCA!B17,ICICCA!B17,HKBCCA!B17,CUCXCA!B17,BOFMCA!B17,BOFACA!B17,BNPACA!B17,BNDCCA!B17,BLCMCA!B17,BCANCA!B17,ATBRCA!B17,CCDQCA!B17,CIBCCA!B17,NOSCCA!B17,TDOMCA!B17,ROYCCA!B17)</f>
        <v>4433.018</v>
      </c>
      <c r="C17" s="3">
        <f>SUM(SBOSCA!C17,MCBTCA!C17,ICICCA!C17,HKBCCA!C17,CUCXCA!C17,BOFMCA!C17,BOFACA!C17,BNPACA!C17,BNDCCA!C17,BLCMCA!C17,BCANCA!C17,ATBRCA!C17,CCDQCA!C17,CIBCCA!C17,NOSCCA!C17,TDOMCA!C17,ROYCCA!C17)</f>
        <v>4842.7279999999992</v>
      </c>
      <c r="D17" s="2">
        <f>SUM(SBOSCA!D17,MCBTCA!D17,ICICCA!D17,HKBCCA!D17,CUCXCA!D17,BOFMCA!D17,BOFACA!D17,BNPACA!D17,BNDCCA!D17,BLCMCA!D17,BCANCA!D17,ATBRCA!D17,CCDQCA!D17,CIBCCA!D17,NOSCCA!D17,TDOMCA!D17,ROYCCA!D17)</f>
        <v>5252.4409999999998</v>
      </c>
      <c r="E17" s="2">
        <f>SUM(SBOSCA!E17,MCBTCA!E17,ICICCA!E17,HKBCCA!E17,CUCXCA!E17,BOFMCA!E17,BOFACA!E17,BNPACA!E17,BNDCCA!E17,BLCMCA!E17,BCANCA!E17,ATBRCA!E17,CCDQCA!E17,CIBCCA!E17,NOSCCA!E17,TDOMCA!E17,ROYCCA!E17)</f>
        <v>5.984</v>
      </c>
      <c r="F17" s="3">
        <f>SUM(SBOSCA!F17,MCBTCA!F17,ICICCA!F17,HKBCCA!F17,CUCXCA!F17,BOFMCA!F17,BOFACA!F17,BNPACA!F17,BNDCCA!F17,BLCMCA!F17,BCANCA!F17,ATBRCA!F17,CCDQCA!F17,CIBCCA!F17,NOSCCA!F17,TDOMCA!F17,ROYCCA!F17)</f>
        <v>6.6740000000000004</v>
      </c>
      <c r="G17" s="2">
        <f>SUM(SBOSCA!G17,MCBTCA!G17,ICICCA!G17,HKBCCA!G17,CUCXCA!G17,BOFMCA!G17,BOFACA!G17,BNPACA!G17,BNDCCA!G17,BLCMCA!G17,BCANCA!G17,ATBRCA!G17,CCDQCA!G17,CIBCCA!G17,NOSCCA!G17,TDOMCA!G17,ROYCCA!G17)</f>
        <v>7.3669999999999991</v>
      </c>
      <c r="K17" s="19" t="str">
        <f t="shared" si="1"/>
        <v>2025Q2</v>
      </c>
      <c r="L17" s="20">
        <f>ROUND(LN(Totals!B17/'Porfolio Forecast'!B17),4)</f>
        <v>-2.8999999999999998E-3</v>
      </c>
      <c r="M17" s="21">
        <f>ROUND(LN(Totals!C17/'Porfolio Forecast'!C17),4)</f>
        <v>3.8899999999999997E-2</v>
      </c>
      <c r="N17" s="20">
        <f>ROUND(LN(Totals!D17/'Porfolio Forecast'!D17),4)</f>
        <v>7.5499999999999998E-2</v>
      </c>
      <c r="O17" s="20">
        <f>ROUND(LN(Totals!E17/'Porfolio Forecast'!E17),4)</f>
        <v>-5.3800000000000001E-2</v>
      </c>
      <c r="P17" s="21">
        <f>ROUND(LN(Totals!F17/'Porfolio Forecast'!F17),4)</f>
        <v>-2.2800000000000001E-2</v>
      </c>
      <c r="Q17" s="20">
        <f>ROUND(LN(Totals!G17/'Porfolio Forecast'!G17),4)</f>
        <v>3.3999999999999998E-3</v>
      </c>
    </row>
    <row r="18" spans="1:17" s="1" customFormat="1" ht="15.5" thickTop="1" thickBot="1" x14ac:dyDescent="0.4">
      <c r="A18" s="5" t="str">
        <f>SBOSCA!A18</f>
        <v>2025Q3</v>
      </c>
      <c r="B18" s="2">
        <f>SUM(SBOSCA!B18,MCBTCA!B18,ICICCA!B18,HKBCCA!B18,CUCXCA!B18,BOFMCA!B18,BOFACA!B18,BNPACA!B18,BNDCCA!B18,BLCMCA!B18,BCANCA!B18,ATBRCA!B18,CCDQCA!B18,CIBCCA!B18,NOSCCA!B18,TDOMCA!B18,ROYCCA!B18)</f>
        <v>4420.9139999999998</v>
      </c>
      <c r="C18" s="3">
        <f>SUM(SBOSCA!C18,MCBTCA!C18,ICICCA!C18,HKBCCA!C18,CUCXCA!C18,BOFMCA!C18,BOFACA!C18,BNPACA!C18,BNDCCA!C18,BLCMCA!C18,BCANCA!C18,ATBRCA!C18,CCDQCA!C18,CIBCCA!C18,NOSCCA!C18,TDOMCA!C18,ROYCCA!C18)</f>
        <v>4833.835</v>
      </c>
      <c r="D18" s="2">
        <f>SUM(SBOSCA!D18,MCBTCA!D18,ICICCA!D18,HKBCCA!D18,CUCXCA!D18,BOFMCA!D18,BOFACA!D18,BNPACA!D18,BNDCCA!D18,BLCMCA!D18,BCANCA!D18,ATBRCA!D18,CCDQCA!D18,CIBCCA!D18,NOSCCA!D18,TDOMCA!D18,ROYCCA!D18)</f>
        <v>5246.7569999999996</v>
      </c>
      <c r="E18" s="2">
        <f>SUM(SBOSCA!E18,MCBTCA!E18,ICICCA!E18,HKBCCA!E18,CUCXCA!E18,BOFMCA!E18,BOFACA!E18,BNPACA!E18,BNDCCA!E18,BLCMCA!E18,BCANCA!E18,ATBRCA!E18,CCDQCA!E18,CIBCCA!E18,NOSCCA!E18,TDOMCA!E18,ROYCCA!E18)</f>
        <v>5.9709999999999992</v>
      </c>
      <c r="F18" s="3">
        <f>SUM(SBOSCA!F18,MCBTCA!F18,ICICCA!F18,HKBCCA!F18,CUCXCA!F18,BOFMCA!F18,BOFACA!F18,BNPACA!F18,BNDCCA!F18,BLCMCA!F18,BCANCA!F18,ATBRCA!F18,CCDQCA!F18,CIBCCA!F18,NOSCCA!F18,TDOMCA!F18,ROYCCA!F18)</f>
        <v>6.6880000000000006</v>
      </c>
      <c r="G18" s="2">
        <f>SUM(SBOSCA!G18,MCBTCA!G18,ICICCA!G18,HKBCCA!G18,CUCXCA!G18,BOFMCA!G18,BOFACA!G18,BNPACA!G18,BNDCCA!G18,BLCMCA!G18,BCANCA!G18,ATBRCA!G18,CCDQCA!G18,CIBCCA!G18,NOSCCA!G18,TDOMCA!G18,ROYCCA!G18)</f>
        <v>7.4029999999999996</v>
      </c>
      <c r="K18" s="19" t="str">
        <f t="shared" si="1"/>
        <v>2025Q3</v>
      </c>
      <c r="L18" s="20">
        <f>ROUND(LN(Totals!B18/'Porfolio Forecast'!B18),4)</f>
        <v>-3.5999999999999999E-3</v>
      </c>
      <c r="M18" s="21">
        <f>ROUND(LN(Totals!C18/'Porfolio Forecast'!C18),4)</f>
        <v>3.9E-2</v>
      </c>
      <c r="N18" s="20">
        <f>ROUND(LN(Totals!D18/'Porfolio Forecast'!D18),4)</f>
        <v>7.6300000000000007E-2</v>
      </c>
      <c r="O18" s="20">
        <f>ROUND(LN(Totals!E18/'Porfolio Forecast'!E18),4)</f>
        <v>-5.6800000000000003E-2</v>
      </c>
      <c r="P18" s="21">
        <f>ROUND(LN(Totals!F18/'Porfolio Forecast'!F18),4)</f>
        <v>-2.3900000000000001E-2</v>
      </c>
      <c r="Q18" s="20">
        <f>ROUND(LN(Totals!G18/'Porfolio Forecast'!G18),4)</f>
        <v>3.0999999999999999E-3</v>
      </c>
    </row>
    <row r="19" spans="1:17" s="1" customFormat="1" ht="15.5" thickTop="1" thickBot="1" x14ac:dyDescent="0.4">
      <c r="A19" s="5" t="str">
        <f>SBOSCA!A19</f>
        <v>2025Q4</v>
      </c>
      <c r="B19" s="2">
        <f>SUM(SBOSCA!B19,MCBTCA!B19,ICICCA!B19,HKBCCA!B19,CUCXCA!B19,BOFMCA!B19,BOFACA!B19,BNPACA!B19,BNDCCA!B19,BLCMCA!B19,BCANCA!B19,ATBRCA!B19,CCDQCA!B19,CIBCCA!B19,NOSCCA!B19,TDOMCA!B19,ROYCCA!B19)</f>
        <v>4479.46</v>
      </c>
      <c r="C19" s="3">
        <f>SUM(SBOSCA!C19,MCBTCA!C19,ICICCA!C19,HKBCCA!C19,CUCXCA!C19,BOFMCA!C19,BOFACA!C19,BNPACA!C19,BNDCCA!C19,BLCMCA!C19,BCANCA!C19,ATBRCA!C19,CCDQCA!C19,CIBCCA!C19,NOSCCA!C19,TDOMCA!C19,ROYCCA!C19)</f>
        <v>4895.3340000000007</v>
      </c>
      <c r="D19" s="2">
        <f>SUM(SBOSCA!D19,MCBTCA!D19,ICICCA!D19,HKBCCA!D19,CUCXCA!D19,BOFMCA!D19,BOFACA!D19,BNPACA!D19,BNDCCA!D19,BLCMCA!D19,BCANCA!D19,ATBRCA!D19,CCDQCA!D19,CIBCCA!D19,NOSCCA!D19,TDOMCA!D19,ROYCCA!D19)</f>
        <v>5311.2060000000001</v>
      </c>
      <c r="E19" s="2">
        <f>SUM(SBOSCA!E19,MCBTCA!E19,ICICCA!E19,HKBCCA!E19,CUCXCA!E19,BOFMCA!E19,BOFACA!E19,BNPACA!E19,BNDCCA!E19,BLCMCA!E19,BCANCA!E19,ATBRCA!E19,CCDQCA!E19,CIBCCA!E19,NOSCCA!E19,TDOMCA!E19,ROYCCA!E19)</f>
        <v>6.0039999999999996</v>
      </c>
      <c r="F19" s="3">
        <f>SUM(SBOSCA!F19,MCBTCA!F19,ICICCA!F19,HKBCCA!F19,CUCXCA!F19,BOFMCA!F19,BOFACA!F19,BNPACA!F19,BNDCCA!F19,BLCMCA!F19,BCANCA!F19,ATBRCA!F19,CCDQCA!F19,CIBCCA!F19,NOSCCA!F19,TDOMCA!F19,ROYCCA!F19)</f>
        <v>6.7429999999999994</v>
      </c>
      <c r="G19" s="2">
        <f>SUM(SBOSCA!G19,MCBTCA!G19,ICICCA!G19,HKBCCA!G19,CUCXCA!G19,BOFMCA!G19,BOFACA!G19,BNPACA!G19,BNDCCA!G19,BLCMCA!G19,BCANCA!G19,ATBRCA!G19,CCDQCA!G19,CIBCCA!G19,NOSCCA!G19,TDOMCA!G19,ROYCCA!G19)</f>
        <v>7.4809999999999999</v>
      </c>
      <c r="K19" s="19" t="str">
        <f t="shared" si="1"/>
        <v>2025Q4</v>
      </c>
      <c r="L19" s="20">
        <f>ROUND(LN(Totals!B19/'Porfolio Forecast'!B19),4)</f>
        <v>-4.7000000000000002E-3</v>
      </c>
      <c r="M19" s="21">
        <f>ROUND(LN(Totals!C19/'Porfolio Forecast'!C19),4)</f>
        <v>3.7999999999999999E-2</v>
      </c>
      <c r="N19" s="20">
        <f>ROUND(LN(Totals!D19/'Porfolio Forecast'!D19),4)</f>
        <v>7.5499999999999998E-2</v>
      </c>
      <c r="O19" s="20">
        <f>ROUND(LN(Totals!E19/'Porfolio Forecast'!E19),4)</f>
        <v>-5.79E-2</v>
      </c>
      <c r="P19" s="21">
        <f>ROUND(LN(Totals!F19/'Porfolio Forecast'!F19),4)</f>
        <v>-2.4199999999999999E-2</v>
      </c>
      <c r="Q19" s="20">
        <f>ROUND(LN(Totals!G19/'Porfolio Forecast'!G19),4)</f>
        <v>3.5000000000000001E-3</v>
      </c>
    </row>
    <row r="20" spans="1:17" s="1" customFormat="1" ht="15.5" thickTop="1" thickBot="1" x14ac:dyDescent="0.4">
      <c r="A20" s="5" t="str">
        <f>SBOSCA!A20</f>
        <v>2026Q1</v>
      </c>
      <c r="B20" s="2">
        <f>SUM(SBOSCA!B20,MCBTCA!B20,ICICCA!B20,HKBCCA!B20,CUCXCA!B20,BOFMCA!B20,BOFACA!B20,BNPACA!B20,BNDCCA!B20,BLCMCA!B20,BCANCA!B20,ATBRCA!B20,CCDQCA!B20,CIBCCA!B20,NOSCCA!B20,TDOMCA!B20,ROYCCA!B20)</f>
        <v>4267.25</v>
      </c>
      <c r="C20" s="3">
        <f>SUM(SBOSCA!C20,MCBTCA!C20,ICICCA!C20,HKBCCA!C20,CUCXCA!C20,BOFMCA!C20,BOFACA!C20,BNPACA!C20,BNDCCA!C20,BLCMCA!C20,BCANCA!C20,ATBRCA!C20,CCDQCA!C20,CIBCCA!C20,NOSCCA!C20,TDOMCA!C20,ROYCCA!C20)</f>
        <v>4685.8410000000003</v>
      </c>
      <c r="D20" s="2">
        <f>SUM(SBOSCA!D20,MCBTCA!D20,ICICCA!D20,HKBCCA!D20,CUCXCA!D20,BOFMCA!D20,BOFACA!D20,BNPACA!D20,BNDCCA!D20,BLCMCA!D20,BCANCA!D20,ATBRCA!D20,CCDQCA!D20,CIBCCA!D20,NOSCCA!D20,TDOMCA!D20,ROYCCA!D20)</f>
        <v>5104.4380000000001</v>
      </c>
      <c r="E20" s="2">
        <f>SUM(SBOSCA!E20,MCBTCA!E20,ICICCA!E20,HKBCCA!E20,CUCXCA!E20,BOFMCA!E20,BOFACA!E20,BNPACA!E20,BNDCCA!E20,BLCMCA!E20,BCANCA!E20,ATBRCA!E20,CCDQCA!E20,CIBCCA!E20,NOSCCA!E20,TDOMCA!E20,ROYCCA!E20)</f>
        <v>5.9389999999999992</v>
      </c>
      <c r="F20" s="3">
        <f>SUM(SBOSCA!F20,MCBTCA!F20,ICICCA!F20,HKBCCA!F20,CUCXCA!F20,BOFMCA!F20,BOFACA!F20,BNPACA!F20,BNDCCA!F20,BLCMCA!F20,BCANCA!F20,ATBRCA!F20,CCDQCA!F20,CIBCCA!F20,NOSCCA!F20,TDOMCA!F20,ROYCCA!F20)</f>
        <v>6.702</v>
      </c>
      <c r="G20" s="2">
        <f>SUM(SBOSCA!G20,MCBTCA!G20,ICICCA!G20,HKBCCA!G20,CUCXCA!G20,BOFMCA!G20,BOFACA!G20,BNPACA!G20,BNDCCA!G20,BLCMCA!G20,BCANCA!G20,ATBRCA!G20,CCDQCA!G20,CIBCCA!G20,NOSCCA!G20,TDOMCA!G20,ROYCCA!G20)</f>
        <v>7.46</v>
      </c>
      <c r="K20" s="19" t="str">
        <f t="shared" si="1"/>
        <v>2026Q1</v>
      </c>
      <c r="L20" s="20">
        <f>ROUND(LN(Totals!B20/'Porfolio Forecast'!B20),4)</f>
        <v>-3.7000000000000002E-3</v>
      </c>
      <c r="M20" s="21">
        <f>ROUND(LN(Totals!C20/'Porfolio Forecast'!C20),4)</f>
        <v>4.1599999999999998E-2</v>
      </c>
      <c r="N20" s="20">
        <f>ROUND(LN(Totals!D20/'Porfolio Forecast'!D20),4)</f>
        <v>8.1000000000000003E-2</v>
      </c>
      <c r="O20" s="20">
        <f>ROUND(LN(Totals!E20/'Porfolio Forecast'!E20),4)</f>
        <v>-6.08E-2</v>
      </c>
      <c r="P20" s="21">
        <f>ROUND(LN(Totals!F20/'Porfolio Forecast'!F20),4)</f>
        <v>-2.52E-2</v>
      </c>
      <c r="Q20" s="20">
        <f>ROUND(LN(Totals!G20/'Porfolio Forecast'!G20),4)</f>
        <v>3.3999999999999998E-3</v>
      </c>
    </row>
    <row r="21" spans="1:17" s="1" customFormat="1" ht="15.5" thickTop="1" thickBot="1" x14ac:dyDescent="0.4">
      <c r="A21" s="5" t="str">
        <f>SBOSCA!A21</f>
        <v>2026Q2</v>
      </c>
      <c r="B21" s="2">
        <f>SUM(SBOSCA!B21,MCBTCA!B21,ICICCA!B21,HKBCCA!B21,CUCXCA!B21,BOFMCA!B21,BOFACA!B21,BNPACA!B21,BNDCCA!B21,BLCMCA!B21,BCANCA!B21,ATBRCA!B21,CCDQCA!B21,CIBCCA!B21,NOSCCA!B21,TDOMCA!B21,ROYCCA!B21)</f>
        <v>4523.7699999999995</v>
      </c>
      <c r="C21" s="3">
        <f>SUM(SBOSCA!C21,MCBTCA!C21,ICICCA!C21,HKBCCA!C21,CUCXCA!C21,BOFMCA!C21,BOFACA!C21,BNPACA!C21,BNDCCA!C21,BLCMCA!C21,BCANCA!C21,ATBRCA!C21,CCDQCA!C21,CIBCCA!C21,NOSCCA!C21,TDOMCA!C21,ROYCCA!C21)</f>
        <v>4944.8760000000002</v>
      </c>
      <c r="D21" s="2">
        <f>SUM(SBOSCA!D21,MCBTCA!D21,ICICCA!D21,HKBCCA!D21,CUCXCA!D21,BOFMCA!D21,BOFACA!D21,BNPACA!D21,BNDCCA!D21,BLCMCA!D21,BCANCA!D21,ATBRCA!D21,CCDQCA!D21,CIBCCA!D21,NOSCCA!D21,TDOMCA!D21,ROYCCA!D21)</f>
        <v>5365.9840000000004</v>
      </c>
      <c r="E21" s="2">
        <f>SUM(SBOSCA!E21,MCBTCA!E21,ICICCA!E21,HKBCCA!E21,CUCXCA!E21,BOFMCA!E21,BOFACA!E21,BNPACA!E21,BNDCCA!E21,BLCMCA!E21,BCANCA!E21,ATBRCA!E21,CCDQCA!E21,CIBCCA!E21,NOSCCA!E21,TDOMCA!E21,ROYCCA!E21)</f>
        <v>6.1</v>
      </c>
      <c r="F21" s="3">
        <f>SUM(SBOSCA!F21,MCBTCA!F21,ICICCA!F21,HKBCCA!F21,CUCXCA!F21,BOFMCA!F21,BOFACA!F21,BNPACA!F21,BNDCCA!F21,BLCMCA!F21,BCANCA!F21,ATBRCA!F21,CCDQCA!F21,CIBCCA!F21,NOSCCA!F21,TDOMCA!F21,ROYCCA!F21)</f>
        <v>6.8829999999999991</v>
      </c>
      <c r="G21" s="2">
        <f>SUM(SBOSCA!G21,MCBTCA!G21,ICICCA!G21,HKBCCA!G21,CUCXCA!G21,BOFMCA!G21,BOFACA!G21,BNPACA!G21,BNDCCA!G21,BLCMCA!G21,BCANCA!G21,ATBRCA!G21,CCDQCA!G21,CIBCCA!G21,NOSCCA!G21,TDOMCA!G21,ROYCCA!G21)</f>
        <v>7.660000000000001</v>
      </c>
      <c r="K21" s="19" t="str">
        <f t="shared" si="1"/>
        <v>2026Q2</v>
      </c>
      <c r="L21" s="20">
        <f>ROUND(LN(Totals!B21/'Porfolio Forecast'!B21),4)</f>
        <v>-5.3E-3</v>
      </c>
      <c r="M21" s="21">
        <f>ROUND(LN(Totals!C21/'Porfolio Forecast'!C21),4)</f>
        <v>3.8100000000000002E-2</v>
      </c>
      <c r="N21" s="20">
        <f>ROUND(LN(Totals!D21/'Porfolio Forecast'!D21),4)</f>
        <v>7.6200000000000004E-2</v>
      </c>
      <c r="O21" s="20">
        <f>ROUND(LN(Totals!E21/'Porfolio Forecast'!E21),4)</f>
        <v>-5.7299999999999997E-2</v>
      </c>
      <c r="P21" s="21">
        <f>ROUND(LN(Totals!F21/'Porfolio Forecast'!F21),4)</f>
        <v>-2.23E-2</v>
      </c>
      <c r="Q21" s="20">
        <f>ROUND(LN(Totals!G21/'Porfolio Forecast'!G21),4)</f>
        <v>5.7999999999999996E-3</v>
      </c>
    </row>
    <row r="22" spans="1:17" s="1" customFormat="1" ht="15.5" thickTop="1" thickBot="1" x14ac:dyDescent="0.4">
      <c r="A22" s="5" t="str">
        <f>SBOSCA!A22</f>
        <v>2026Q3</v>
      </c>
      <c r="B22" s="2">
        <f>SUM(SBOSCA!B22,MCBTCA!B22,ICICCA!B22,HKBCCA!B22,CUCXCA!B22,BOFMCA!B22,BOFACA!B22,BNPACA!B22,BNDCCA!B22,BLCMCA!B22,BCANCA!B22,ATBRCA!B22,CCDQCA!B22,CIBCCA!B22,NOSCCA!B22,TDOMCA!B22,ROYCCA!B22)</f>
        <v>4512.58</v>
      </c>
      <c r="C22" s="3">
        <f>SUM(SBOSCA!C22,MCBTCA!C22,ICICCA!C22,HKBCCA!C22,CUCXCA!C22,BOFMCA!C22,BOFACA!C22,BNPACA!C22,BNDCCA!C22,BLCMCA!C22,BCANCA!C22,ATBRCA!C22,CCDQCA!C22,CIBCCA!C22,NOSCCA!C22,TDOMCA!C22,ROYCCA!C22)</f>
        <v>4936.0149999999994</v>
      </c>
      <c r="D22" s="2">
        <f>SUM(SBOSCA!D22,MCBTCA!D22,ICICCA!D22,HKBCCA!D22,CUCXCA!D22,BOFMCA!D22,BOFACA!D22,BNPACA!D22,BNDCCA!D22,BLCMCA!D22,BCANCA!D22,ATBRCA!D22,CCDQCA!D22,CIBCCA!D22,NOSCCA!D22,TDOMCA!D22,ROYCCA!D22)</f>
        <v>5359.4489999999996</v>
      </c>
      <c r="E22" s="2">
        <f>SUM(SBOSCA!E22,MCBTCA!E22,ICICCA!E22,HKBCCA!E22,CUCXCA!E22,BOFMCA!E22,BOFACA!E22,BNPACA!E22,BNDCCA!E22,BLCMCA!E22,BCANCA!E22,ATBRCA!E22,CCDQCA!E22,CIBCCA!E22,NOSCCA!E22,TDOMCA!E22,ROYCCA!E22)</f>
        <v>6.093</v>
      </c>
      <c r="F22" s="3">
        <f>SUM(SBOSCA!F22,MCBTCA!F22,ICICCA!F22,HKBCCA!F22,CUCXCA!F22,BOFMCA!F22,BOFACA!F22,BNPACA!F22,BNDCCA!F22,BLCMCA!F22,BCANCA!F22,ATBRCA!F22,CCDQCA!F22,CIBCCA!F22,NOSCCA!F22,TDOMCA!F22,ROYCCA!F22)</f>
        <v>6.8940000000000001</v>
      </c>
      <c r="G22" s="2">
        <f>SUM(SBOSCA!G22,MCBTCA!G22,ICICCA!G22,HKBCCA!G22,CUCXCA!G22,BOFMCA!G22,BOFACA!G22,BNPACA!G22,BNDCCA!G22,BLCMCA!G22,BCANCA!G22,ATBRCA!G22,CCDQCA!G22,CIBCCA!G22,NOSCCA!G22,TDOMCA!G22,ROYCCA!G22)</f>
        <v>7.694</v>
      </c>
      <c r="K22" s="19" t="str">
        <f t="shared" si="1"/>
        <v>2026Q3</v>
      </c>
      <c r="L22" s="20">
        <f>ROUND(LN(Totals!B22/'Porfolio Forecast'!B22),4)</f>
        <v>-5.7999999999999996E-3</v>
      </c>
      <c r="M22" s="21">
        <f>ROUND(LN(Totals!C22/'Porfolio Forecast'!C22),4)</f>
        <v>3.8199999999999998E-2</v>
      </c>
      <c r="N22" s="20">
        <f>ROUND(LN(Totals!D22/'Porfolio Forecast'!D22),4)</f>
        <v>7.6799999999999993E-2</v>
      </c>
      <c r="O22" s="20">
        <f>ROUND(LN(Totals!E22/'Porfolio Forecast'!E22),4)</f>
        <v>-5.96E-2</v>
      </c>
      <c r="P22" s="21">
        <f>ROUND(LN(Totals!F22/'Porfolio Forecast'!F22),4)</f>
        <v>-2.3800000000000002E-2</v>
      </c>
      <c r="Q22" s="20">
        <f>ROUND(LN(Totals!G22/'Porfolio Forecast'!G22),4)</f>
        <v>5.3E-3</v>
      </c>
    </row>
    <row r="23" spans="1:17" s="1" customFormat="1" ht="15.5" thickTop="1" thickBot="1" x14ac:dyDescent="0.4">
      <c r="A23" s="5" t="str">
        <f>SBOSCA!A23</f>
        <v>2026Q4</v>
      </c>
      <c r="B23" s="2">
        <f>SUM(SBOSCA!B23,MCBTCA!B23,ICICCA!B23,HKBCCA!B23,CUCXCA!B23,BOFMCA!B23,BOFACA!B23,BNPACA!B23,BNDCCA!B23,BLCMCA!B23,BCANCA!B23,ATBRCA!B23,CCDQCA!B23,CIBCCA!B23,NOSCCA!B23,TDOMCA!B23,ROYCCA!B23)</f>
        <v>4571.9650000000001</v>
      </c>
      <c r="C23" s="3">
        <f>SUM(SBOSCA!C23,MCBTCA!C23,ICICCA!C23,HKBCCA!C23,CUCXCA!C23,BOFMCA!C23,BOFACA!C23,BNPACA!C23,BNDCCA!C23,BLCMCA!C23,BCANCA!C23,ATBRCA!C23,CCDQCA!C23,CIBCCA!C23,NOSCCA!C23,TDOMCA!C23,ROYCCA!C23)</f>
        <v>4997.5610000000006</v>
      </c>
      <c r="D23" s="2">
        <f>SUM(SBOSCA!D23,MCBTCA!D23,ICICCA!D23,HKBCCA!D23,CUCXCA!D23,BOFMCA!D23,BOFACA!D23,BNPACA!D23,BNDCCA!D23,BLCMCA!D23,BCANCA!D23,ATBRCA!D23,CCDQCA!D23,CIBCCA!D23,NOSCCA!D23,TDOMCA!D23,ROYCCA!D23)</f>
        <v>5423.1560000000009</v>
      </c>
      <c r="E23" s="2">
        <f>SUM(SBOSCA!E23,MCBTCA!E23,ICICCA!E23,HKBCCA!E23,CUCXCA!E23,BOFMCA!E23,BOFACA!E23,BNPACA!E23,BNDCCA!E23,BLCMCA!E23,BCANCA!E23,ATBRCA!E23,CCDQCA!E23,CIBCCA!E23,NOSCCA!E23,TDOMCA!E23,ROYCCA!E23)</f>
        <v>6.1259999999999994</v>
      </c>
      <c r="F23" s="3">
        <f>SUM(SBOSCA!F23,MCBTCA!F23,ICICCA!F23,HKBCCA!F23,CUCXCA!F23,BOFMCA!F23,BOFACA!F23,BNPACA!F23,BNDCCA!F23,BLCMCA!F23,BCANCA!F23,ATBRCA!F23,CCDQCA!F23,CIBCCA!F23,NOSCCA!F23,TDOMCA!F23,ROYCCA!F23)</f>
        <v>6.9489999999999998</v>
      </c>
      <c r="G23" s="2">
        <f>SUM(SBOSCA!G23,MCBTCA!G23,ICICCA!G23,HKBCCA!G23,CUCXCA!G23,BOFMCA!G23,BOFACA!G23,BNPACA!G23,BNDCCA!G23,BLCMCA!G23,BCANCA!G23,ATBRCA!G23,CCDQCA!G23,CIBCCA!G23,NOSCCA!G23,TDOMCA!G23,ROYCCA!G23)</f>
        <v>7.7690000000000001</v>
      </c>
      <c r="K23" s="19" t="str">
        <f t="shared" si="1"/>
        <v>2026Q4</v>
      </c>
      <c r="L23" s="20">
        <f>ROUND(LN(Totals!B23/'Porfolio Forecast'!B23),4)</f>
        <v>-6.6E-3</v>
      </c>
      <c r="M23" s="21">
        <f>ROUND(LN(Totals!C23/'Porfolio Forecast'!C23),4)</f>
        <v>3.73E-2</v>
      </c>
      <c r="N23" s="20">
        <f>ROUND(LN(Totals!D23/'Porfolio Forecast'!D23),4)</f>
        <v>7.5899999999999995E-2</v>
      </c>
      <c r="O23" s="20">
        <f>ROUND(LN(Totals!E23/'Porfolio Forecast'!E23),4)</f>
        <v>-6.08E-2</v>
      </c>
      <c r="P23" s="21">
        <f>ROUND(LN(Totals!F23/'Porfolio Forecast'!F23),4)</f>
        <v>-2.4E-2</v>
      </c>
      <c r="Q23" s="20">
        <f>ROUND(LN(Totals!G23/'Porfolio Forecast'!G23),4)</f>
        <v>5.7000000000000002E-3</v>
      </c>
    </row>
    <row r="24" spans="1:17" s="1" customFormat="1" ht="15.5" thickTop="1" thickBot="1" x14ac:dyDescent="0.4">
      <c r="A24" s="5" t="str">
        <f>SBOSCA!A24</f>
        <v>2027Q1</v>
      </c>
      <c r="B24" s="2">
        <f>SUM(SBOSCA!B24,MCBTCA!B24,ICICCA!B24,HKBCCA!B24,CUCXCA!B24,BOFMCA!B24,BOFACA!B24,BNPACA!B24,BNDCCA!B24,BLCMCA!B24,BCANCA!B24,ATBRCA!B24,CCDQCA!B24,CIBCCA!B24,NOSCCA!B24,TDOMCA!B24,ROYCCA!B24)</f>
        <v>4360.5249999999996</v>
      </c>
      <c r="C24" s="3">
        <f>SUM(SBOSCA!C24,MCBTCA!C24,ICICCA!C24,HKBCCA!C24,CUCXCA!C24,BOFMCA!C24,BOFACA!C24,BNPACA!C24,BNDCCA!C24,BLCMCA!C24,BCANCA!C24,ATBRCA!C24,CCDQCA!C24,CIBCCA!C24,NOSCCA!C24,TDOMCA!C24,ROYCCA!C24)</f>
        <v>4788.13</v>
      </c>
      <c r="D24" s="2">
        <f>SUM(SBOSCA!D24,MCBTCA!D24,ICICCA!D24,HKBCCA!D24,CUCXCA!D24,BOFMCA!D24,BOFACA!D24,BNPACA!D24,BNDCCA!D24,BLCMCA!D24,BCANCA!D24,ATBRCA!D24,CCDQCA!D24,CIBCCA!D24,NOSCCA!D24,TDOMCA!D24,ROYCCA!D24)</f>
        <v>5215.7330000000002</v>
      </c>
      <c r="E24" s="2">
        <f>SUM(SBOSCA!E24,MCBTCA!E24,ICICCA!E24,HKBCCA!E24,CUCXCA!E24,BOFMCA!E24,BOFACA!E24,BNPACA!E24,BNDCCA!E24,BLCMCA!E24,BCANCA!E24,ATBRCA!E24,CCDQCA!E24,CIBCCA!E24,NOSCCA!E24,TDOMCA!E24,ROYCCA!E24)</f>
        <v>6.0679999999999996</v>
      </c>
      <c r="F24" s="3">
        <f>SUM(SBOSCA!F24,MCBTCA!F24,ICICCA!F24,HKBCCA!F24,CUCXCA!F24,BOFMCA!F24,BOFACA!F24,BNPACA!F24,BNDCCA!F24,BLCMCA!F24,BCANCA!F24,ATBRCA!F24,CCDQCA!F24,CIBCCA!F24,NOSCCA!F24,TDOMCA!F24,ROYCCA!F24)</f>
        <v>6.9049999999999994</v>
      </c>
      <c r="G24" s="2">
        <f>SUM(SBOSCA!G24,MCBTCA!G24,ICICCA!G24,HKBCCA!G24,CUCXCA!G24,BOFMCA!G24,BOFACA!G24,BNPACA!G24,BNDCCA!G24,BLCMCA!G24,BCANCA!G24,ATBRCA!G24,CCDQCA!G24,CIBCCA!G24,NOSCCA!G24,TDOMCA!G24,ROYCCA!G24)</f>
        <v>7.7480000000000011</v>
      </c>
      <c r="K24" s="19" t="str">
        <f t="shared" si="1"/>
        <v>2027Q1</v>
      </c>
      <c r="L24" s="20">
        <f>ROUND(LN(Totals!B24/'Porfolio Forecast'!B24),4)</f>
        <v>-5.4999999999999997E-3</v>
      </c>
      <c r="M24" s="21">
        <f>ROUND(LN(Totals!C24/'Porfolio Forecast'!C24),4)</f>
        <v>4.0800000000000003E-2</v>
      </c>
      <c r="N24" s="20">
        <f>ROUND(LN(Totals!D24/'Porfolio Forecast'!D24),4)</f>
        <v>8.1199999999999994E-2</v>
      </c>
      <c r="O24" s="20">
        <f>ROUND(LN(Totals!E24/'Porfolio Forecast'!E24),4)</f>
        <v>-6.2600000000000003E-2</v>
      </c>
      <c r="P24" s="21">
        <f>ROUND(LN(Totals!F24/'Porfolio Forecast'!F24),4)</f>
        <v>-2.53E-2</v>
      </c>
      <c r="Q24" s="20">
        <f>ROUND(LN(Totals!G24/'Porfolio Forecast'!G24),4)</f>
        <v>5.7000000000000002E-3</v>
      </c>
    </row>
    <row r="25" spans="1:17" s="1" customFormat="1" ht="15.5" thickTop="1" thickBot="1" x14ac:dyDescent="0.4">
      <c r="A25" s="5" t="str">
        <f>SBOSCA!A25</f>
        <v>2027Q2</v>
      </c>
      <c r="B25" s="2">
        <f>SUM(SBOSCA!B25,MCBTCA!B25,ICICCA!B25,HKBCCA!B25,CUCXCA!B25,BOFMCA!B25,BOFACA!B25,BNPACA!B25,BNDCCA!B25,BLCMCA!B25,BCANCA!B25,ATBRCA!B25,CCDQCA!B25,CIBCCA!B25,NOSCCA!B25,TDOMCA!B25,ROYCCA!B25)</f>
        <v>4617.7599999999993</v>
      </c>
      <c r="C25" s="3">
        <f>SUM(SBOSCA!C25,MCBTCA!C25,ICICCA!C25,HKBCCA!C25,CUCXCA!C25,BOFMCA!C25,BOFACA!C25,BNPACA!C25,BNDCCA!C25,BLCMCA!C25,BCANCA!C25,ATBRCA!C25,CCDQCA!C25,CIBCCA!C25,NOSCCA!C25,TDOMCA!C25,ROYCCA!C25)</f>
        <v>5047.2329999999993</v>
      </c>
      <c r="D25" s="2">
        <f>SUM(SBOSCA!D25,MCBTCA!D25,ICICCA!D25,HKBCCA!D25,CUCXCA!D25,BOFMCA!D25,BOFACA!D25,BNPACA!D25,BNDCCA!D25,BLCMCA!D25,BCANCA!D25,ATBRCA!D25,CCDQCA!D25,CIBCCA!D25,NOSCCA!D25,TDOMCA!D25,ROYCCA!D25)</f>
        <v>5476.7089999999998</v>
      </c>
      <c r="E25" s="2">
        <f>SUM(SBOSCA!E25,MCBTCA!E25,ICICCA!E25,HKBCCA!E25,CUCXCA!E25,BOFMCA!E25,BOFACA!E25,BNPACA!E25,BNDCCA!E25,BLCMCA!E25,BCANCA!E25,ATBRCA!E25,CCDQCA!E25,CIBCCA!E25,NOSCCA!E25,TDOMCA!E25,ROYCCA!E25)</f>
        <v>6.2290000000000001</v>
      </c>
      <c r="F25" s="3">
        <f>SUM(SBOSCA!F25,MCBTCA!F25,ICICCA!F25,HKBCCA!F25,CUCXCA!F25,BOFMCA!F25,BOFACA!F25,BNPACA!F25,BNDCCA!F25,BLCMCA!F25,BCANCA!F25,ATBRCA!F25,CCDQCA!F25,CIBCCA!F25,NOSCCA!F25,TDOMCA!F25,ROYCCA!F25)</f>
        <v>7.085</v>
      </c>
      <c r="G25" s="2">
        <f>SUM(SBOSCA!G25,MCBTCA!G25,ICICCA!G25,HKBCCA!G25,CUCXCA!G25,BOFMCA!G25,BOFACA!G25,BNPACA!G25,BNDCCA!G25,BLCMCA!G25,BCANCA!G25,ATBRCA!G25,CCDQCA!G25,CIBCCA!G25,NOSCCA!G25,TDOMCA!G25,ROYCCA!G25)</f>
        <v>7.9450000000000012</v>
      </c>
      <c r="K25" s="19" t="str">
        <f t="shared" si="1"/>
        <v>2027Q2</v>
      </c>
      <c r="L25" s="20">
        <f>ROUND(LN(Totals!B25/'Porfolio Forecast'!B25),4)</f>
        <v>-6.8999999999999999E-3</v>
      </c>
      <c r="M25" s="21">
        <f>ROUND(LN(Totals!C25/'Porfolio Forecast'!C25),4)</f>
        <v>3.7499999999999999E-2</v>
      </c>
      <c r="N25" s="20">
        <f>ROUND(LN(Totals!D25/'Porfolio Forecast'!D25),4)</f>
        <v>7.6399999999999996E-2</v>
      </c>
      <c r="O25" s="20">
        <f>ROUND(LN(Totals!E25/'Porfolio Forecast'!E25),4)</f>
        <v>-5.9499999999999997E-2</v>
      </c>
      <c r="P25" s="21">
        <f>ROUND(LN(Totals!F25/'Porfolio Forecast'!F25),4)</f>
        <v>-2.2599999999999999E-2</v>
      </c>
      <c r="Q25" s="20">
        <f>ROUND(LN(Totals!G25/'Porfolio Forecast'!G25),4)</f>
        <v>7.7999999999999996E-3</v>
      </c>
    </row>
    <row r="26" spans="1:17" s="1" customFormat="1" ht="15.5" thickTop="1" thickBot="1" x14ac:dyDescent="0.4">
      <c r="A26" s="5" t="str">
        <f>SBOSCA!A26</f>
        <v>2027Q3</v>
      </c>
      <c r="B26" s="2">
        <f>SUM(SBOSCA!B26,MCBTCA!B26,ICICCA!B26,HKBCCA!B26,CUCXCA!B26,BOFMCA!B26,BOFACA!B26,BNPACA!B26,BNDCCA!B26,BLCMCA!B26,BCANCA!B26,ATBRCA!B26,CCDQCA!B26,CIBCCA!B26,NOSCCA!B26,TDOMCA!B26,ROYCCA!B26)</f>
        <v>4607.2359999999999</v>
      </c>
      <c r="C26" s="3">
        <f>SUM(SBOSCA!C26,MCBTCA!C26,ICICCA!C26,HKBCCA!C26,CUCXCA!C26,BOFMCA!C26,BOFACA!C26,BNPACA!C26,BNDCCA!C26,BLCMCA!C26,BCANCA!C26,ATBRCA!C26,CCDQCA!C26,CIBCCA!C26,NOSCCA!C26,TDOMCA!C26,ROYCCA!C26)</f>
        <v>5038.4520000000002</v>
      </c>
      <c r="D26" s="2">
        <f>SUM(SBOSCA!D26,MCBTCA!D26,ICICCA!D26,HKBCCA!D26,CUCXCA!D26,BOFMCA!D26,BOFACA!D26,BNPACA!D26,BNDCCA!D26,BLCMCA!D26,BCANCA!D26,ATBRCA!D26,CCDQCA!D26,CIBCCA!D26,NOSCCA!D26,TDOMCA!D26,ROYCCA!D26)</f>
        <v>5469.6669999999995</v>
      </c>
      <c r="E26" s="2">
        <f>SUM(SBOSCA!E26,MCBTCA!E26,ICICCA!E26,HKBCCA!E26,CUCXCA!E26,BOFMCA!E26,BOFACA!E26,BNPACA!E26,BNDCCA!E26,BLCMCA!E26,BCANCA!E26,ATBRCA!E26,CCDQCA!E26,CIBCCA!E26,NOSCCA!E26,TDOMCA!E26,ROYCCA!E26)</f>
        <v>6.2229999999999999</v>
      </c>
      <c r="F26" s="3">
        <f>SUM(SBOSCA!F26,MCBTCA!F26,ICICCA!F26,HKBCCA!F26,CUCXCA!F26,BOFMCA!F26,BOFACA!F26,BNPACA!F26,BNDCCA!F26,BLCMCA!F26,BCANCA!F26,ATBRCA!F26,CCDQCA!F26,CIBCCA!F26,NOSCCA!F26,TDOMCA!F26,ROYCCA!F26)</f>
        <v>7.1009999999999991</v>
      </c>
      <c r="G26" s="2">
        <f>SUM(SBOSCA!G26,MCBTCA!G26,ICICCA!G26,HKBCCA!G26,CUCXCA!G26,BOFMCA!G26,BOFACA!G26,BNPACA!G26,BNDCCA!G26,BLCMCA!G26,BCANCA!G26,ATBRCA!G26,CCDQCA!G26,CIBCCA!G26,NOSCCA!G26,TDOMCA!G26,ROYCCA!G26)</f>
        <v>7.9770000000000003</v>
      </c>
      <c r="K26" s="19" t="str">
        <f t="shared" si="1"/>
        <v>2027Q3</v>
      </c>
      <c r="L26" s="20">
        <f>ROUND(LN(Totals!B26/'Porfolio Forecast'!B26),4)</f>
        <v>-7.1999999999999998E-3</v>
      </c>
      <c r="M26" s="21">
        <f>ROUND(LN(Totals!C26/'Porfolio Forecast'!C26),4)</f>
        <v>3.7600000000000001E-2</v>
      </c>
      <c r="N26" s="20">
        <f>ROUND(LN(Totals!D26/'Porfolio Forecast'!D26),4)</f>
        <v>7.6899999999999996E-2</v>
      </c>
      <c r="O26" s="20">
        <f>ROUND(LN(Totals!E26/'Porfolio Forecast'!E26),4)</f>
        <v>-6.1800000000000001E-2</v>
      </c>
      <c r="P26" s="21">
        <f>ROUND(LN(Totals!F26/'Porfolio Forecast'!F26),4)</f>
        <v>-2.3400000000000001E-2</v>
      </c>
      <c r="Q26" s="20">
        <f>ROUND(LN(Totals!G26/'Porfolio Forecast'!G26),4)</f>
        <v>7.3000000000000001E-3</v>
      </c>
    </row>
    <row r="27" spans="1:17" s="1" customFormat="1" ht="15.5" thickTop="1" thickBot="1" x14ac:dyDescent="0.4">
      <c r="A27" s="5" t="str">
        <f>SBOSCA!A27</f>
        <v>2027Q4</v>
      </c>
      <c r="B27" s="2">
        <f>SUM(SBOSCA!B27,MCBTCA!B27,ICICCA!B27,HKBCCA!B27,CUCXCA!B27,BOFMCA!B27,BOFACA!B27,BNPACA!B27,BNDCCA!B27,BLCMCA!B27,BCANCA!B27,ATBRCA!B27,CCDQCA!B27,CIBCCA!B27,NOSCCA!B27,TDOMCA!B27,ROYCCA!B27)</f>
        <v>4667.2339999999995</v>
      </c>
      <c r="C27" s="3">
        <f>SUM(SBOSCA!C27,MCBTCA!C27,ICICCA!C27,HKBCCA!C27,CUCXCA!C27,BOFMCA!C27,BOFACA!C27,BNPACA!C27,BNDCCA!C27,BLCMCA!C27,BCANCA!C27,ATBRCA!C27,CCDQCA!C27,CIBCCA!C27,NOSCCA!C27,TDOMCA!C27,ROYCCA!C27)</f>
        <v>5100.08</v>
      </c>
      <c r="D27" s="2">
        <f>SUM(SBOSCA!D27,MCBTCA!D27,ICICCA!D27,HKBCCA!D27,CUCXCA!D27,BOFMCA!D27,BOFACA!D27,BNPACA!D27,BNDCCA!D27,BLCMCA!D27,BCANCA!D27,ATBRCA!D27,CCDQCA!D27,CIBCCA!D27,NOSCCA!D27,TDOMCA!D27,ROYCCA!D27)</f>
        <v>5532.9259999999995</v>
      </c>
      <c r="E27" s="2">
        <f>SUM(SBOSCA!E27,MCBTCA!E27,ICICCA!E27,HKBCCA!E27,CUCXCA!E27,BOFMCA!E27,BOFACA!E27,BNPACA!E27,BNDCCA!E27,BLCMCA!E27,BCANCA!E27,ATBRCA!E27,CCDQCA!E27,CIBCCA!E27,NOSCCA!E27,TDOMCA!E27,ROYCCA!E27)</f>
        <v>6.2589999999999995</v>
      </c>
      <c r="F27" s="3">
        <f>SUM(SBOSCA!F27,MCBTCA!F27,ICICCA!F27,HKBCCA!F27,CUCXCA!F27,BOFMCA!F27,BOFACA!F27,BNPACA!F27,BNDCCA!F27,BLCMCA!F27,BCANCA!F27,ATBRCA!F27,CCDQCA!F27,CIBCCA!F27,NOSCCA!F27,TDOMCA!F27,ROYCCA!F27)</f>
        <v>7.1549999999999994</v>
      </c>
      <c r="G27" s="2">
        <f>SUM(SBOSCA!G27,MCBTCA!G27,ICICCA!G27,HKBCCA!G27,CUCXCA!G27,BOFMCA!G27,BOFACA!G27,BNPACA!G27,BNDCCA!G27,BLCMCA!G27,BCANCA!G27,ATBRCA!G27,CCDQCA!G27,CIBCCA!G27,NOSCCA!G27,TDOMCA!G27,ROYCCA!G27)</f>
        <v>8.0510000000000002</v>
      </c>
      <c r="K27" s="19" t="str">
        <f t="shared" si="1"/>
        <v>2027Q4</v>
      </c>
      <c r="L27" s="20">
        <f>ROUND(LN(Totals!B27/'Porfolio Forecast'!B27),4)</f>
        <v>-7.9000000000000008E-3</v>
      </c>
      <c r="M27" s="21">
        <f>ROUND(LN(Totals!C27/'Porfolio Forecast'!C27),4)</f>
        <v>3.6700000000000003E-2</v>
      </c>
      <c r="N27" s="20">
        <f>ROUND(LN(Totals!D27/'Porfolio Forecast'!D27),4)</f>
        <v>7.5899999999999995E-2</v>
      </c>
      <c r="O27" s="20">
        <f>ROUND(LN(Totals!E27/'Porfolio Forecast'!E27),4)</f>
        <v>-6.2700000000000006E-2</v>
      </c>
      <c r="P27" s="21">
        <f>ROUND(LN(Totals!F27/'Porfolio Forecast'!F27),4)</f>
        <v>-2.3800000000000002E-2</v>
      </c>
      <c r="Q27" s="20">
        <f>ROUND(LN(Totals!G27/'Porfolio Forecast'!G27),4)</f>
        <v>7.6E-3</v>
      </c>
    </row>
    <row r="28" spans="1:17" s="1" customFormat="1" ht="15.5" thickTop="1" thickBot="1" x14ac:dyDescent="0.4">
      <c r="A28" s="5" t="str">
        <f>SBOSCA!A28</f>
        <v>2028Q1</v>
      </c>
      <c r="B28" s="2">
        <f>SUM(SBOSCA!B28,MCBTCA!B28,ICICCA!B28,HKBCCA!B28,CUCXCA!B28,BOFMCA!B28,BOFACA!B28,BNPACA!B28,BNDCCA!B28,BLCMCA!B28,BCANCA!B28,ATBRCA!B28,CCDQCA!B28,CIBCCA!B28,NOSCCA!B28,TDOMCA!B28,ROYCCA!B28)</f>
        <v>4456.3770000000004</v>
      </c>
      <c r="C28" s="3">
        <f>SUM(SBOSCA!C28,MCBTCA!C28,ICICCA!C28,HKBCCA!C28,CUCXCA!C28,BOFMCA!C28,BOFACA!C28,BNPACA!C28,BNDCCA!C28,BLCMCA!C28,BCANCA!C28,ATBRCA!C28,CCDQCA!C28,CIBCCA!C28,NOSCCA!C28,TDOMCA!C28,ROYCCA!C28)</f>
        <v>4890.7400000000007</v>
      </c>
      <c r="D28" s="2">
        <f>SUM(SBOSCA!D28,MCBTCA!D28,ICICCA!D28,HKBCCA!D28,CUCXCA!D28,BOFMCA!D28,BOFACA!D28,BNPACA!D28,BNDCCA!D28,BLCMCA!D28,BCANCA!D28,ATBRCA!D28,CCDQCA!D28,CIBCCA!D28,NOSCCA!D28,TDOMCA!D28,ROYCCA!D28)</f>
        <v>5325.1059999999998</v>
      </c>
      <c r="E28" s="2">
        <f>SUM(SBOSCA!E28,MCBTCA!E28,ICICCA!E28,HKBCCA!E28,CUCXCA!E28,BOFMCA!E28,BOFACA!E28,BNPACA!E28,BNDCCA!E28,BLCMCA!E28,BCANCA!E28,ATBRCA!E28,CCDQCA!E28,CIBCCA!E28,NOSCCA!E28,TDOMCA!E28,ROYCCA!E28)</f>
        <v>6.1989999999999998</v>
      </c>
      <c r="F28" s="3">
        <f>SUM(SBOSCA!F28,MCBTCA!F28,ICICCA!F28,HKBCCA!F28,CUCXCA!F28,BOFMCA!F28,BOFACA!F28,BNPACA!F28,BNDCCA!F28,BLCMCA!F28,BCANCA!F28,ATBRCA!F28,CCDQCA!F28,CIBCCA!F28,NOSCCA!F28,TDOMCA!F28,ROYCCA!F28)</f>
        <v>7.1130000000000004</v>
      </c>
      <c r="G28" s="2">
        <f>SUM(SBOSCA!G28,MCBTCA!G28,ICICCA!G28,HKBCCA!G28,CUCXCA!G28,BOFMCA!G28,BOFACA!G28,BNPACA!G28,BNDCCA!G28,BLCMCA!G28,BCANCA!G28,ATBRCA!G28,CCDQCA!G28,CIBCCA!G28,NOSCCA!G28,TDOMCA!G28,ROYCCA!G28)</f>
        <v>8.0279999999999987</v>
      </c>
      <c r="K28" s="19" t="str">
        <f t="shared" si="1"/>
        <v>2028Q1</v>
      </c>
      <c r="L28" s="20">
        <f>ROUND(LN(Totals!B28/'Porfolio Forecast'!B28),4)</f>
        <v>-6.7000000000000002E-3</v>
      </c>
      <c r="M28" s="21">
        <f>ROUND(LN(Totals!C28/'Porfolio Forecast'!C28),4)</f>
        <v>4.0099999999999997E-2</v>
      </c>
      <c r="N28" s="20">
        <f>ROUND(LN(Totals!D28/'Porfolio Forecast'!D28),4)</f>
        <v>8.1000000000000003E-2</v>
      </c>
      <c r="O28" s="20">
        <f>ROUND(LN(Totals!E28/'Porfolio Forecast'!E28),4)</f>
        <v>-6.5100000000000005E-2</v>
      </c>
      <c r="P28" s="21">
        <f>ROUND(LN(Totals!F28/'Porfolio Forecast'!F28),4)</f>
        <v>-2.4899999999999999E-2</v>
      </c>
      <c r="Q28" s="20">
        <f>ROUND(LN(Totals!G28/'Porfolio Forecast'!G28),4)</f>
        <v>7.4999999999999997E-3</v>
      </c>
    </row>
    <row r="29" spans="1:17" s="1" customFormat="1" ht="15.5" thickTop="1" thickBot="1" x14ac:dyDescent="0.4">
      <c r="A29" s="5" t="str">
        <f>SBOSCA!A29</f>
        <v>2028Q2</v>
      </c>
      <c r="B29" s="2">
        <f>SUM(SBOSCA!B29,MCBTCA!B29,ICICCA!B29,HKBCCA!B29,CUCXCA!B29,BOFMCA!B29,BOFACA!B29,BNPACA!B29,BNDCCA!B29,BLCMCA!B29,BCANCA!B29,ATBRCA!B29,CCDQCA!B29,CIBCCA!B29,NOSCCA!B29,TDOMCA!B29,ROYCCA!B29)</f>
        <v>4714.1549999999997</v>
      </c>
      <c r="C29" s="3">
        <f>SUM(SBOSCA!C29,MCBTCA!C29,ICICCA!C29,HKBCCA!C29,CUCXCA!C29,BOFMCA!C29,BOFACA!C29,BNPACA!C29,BNDCCA!C29,BLCMCA!C29,BCANCA!C29,ATBRCA!C29,CCDQCA!C29,CIBCCA!C29,NOSCCA!C29,TDOMCA!C29,ROYCCA!C29)</f>
        <v>5149.9400000000005</v>
      </c>
      <c r="D29" s="2">
        <f>SUM(SBOSCA!D29,MCBTCA!D29,ICICCA!D29,HKBCCA!D29,CUCXCA!D29,BOFMCA!D29,BOFACA!D29,BNPACA!D29,BNDCCA!D29,BLCMCA!D29,BCANCA!D29,ATBRCA!D29,CCDQCA!D29,CIBCCA!D29,NOSCCA!D29,TDOMCA!D29,ROYCCA!D29)</f>
        <v>5585.7280000000001</v>
      </c>
      <c r="E29" s="2">
        <f>SUM(SBOSCA!E29,MCBTCA!E29,ICICCA!E29,HKBCCA!E29,CUCXCA!E29,BOFMCA!E29,BOFACA!E29,BNPACA!E29,BNDCCA!E29,BLCMCA!E29,BCANCA!E29,ATBRCA!E29,CCDQCA!E29,CIBCCA!E29,NOSCCA!E29,TDOMCA!E29,ROYCCA!E29)</f>
        <v>6.3620000000000001</v>
      </c>
      <c r="F29" s="3">
        <f>SUM(SBOSCA!F29,MCBTCA!F29,ICICCA!F29,HKBCCA!F29,CUCXCA!F29,BOFMCA!F29,BOFACA!F29,BNPACA!F29,BNDCCA!F29,BLCMCA!F29,BCANCA!F29,ATBRCA!F29,CCDQCA!F29,CIBCCA!F29,NOSCCA!F29,TDOMCA!F29,ROYCCA!F29)</f>
        <v>7.2940000000000005</v>
      </c>
      <c r="G29" s="2">
        <f>SUM(SBOSCA!G29,MCBTCA!G29,ICICCA!G29,HKBCCA!G29,CUCXCA!G29,BOFMCA!G29,BOFACA!G29,BNPACA!G29,BNDCCA!G29,BLCMCA!G29,BCANCA!G29,ATBRCA!G29,CCDQCA!G29,CIBCCA!G29,NOSCCA!G29,TDOMCA!G29,ROYCCA!G29)</f>
        <v>8.2219999999999995</v>
      </c>
      <c r="K29" s="19" t="str">
        <f t="shared" si="1"/>
        <v>2028Q2</v>
      </c>
      <c r="L29" s="20">
        <f>ROUND(LN(Totals!B29/'Porfolio Forecast'!B29),4)</f>
        <v>-7.9000000000000008E-3</v>
      </c>
      <c r="M29" s="21">
        <f>ROUND(LN(Totals!C29/'Porfolio Forecast'!C29),4)</f>
        <v>3.6900000000000002E-2</v>
      </c>
      <c r="N29" s="20">
        <f>ROUND(LN(Totals!D29/'Porfolio Forecast'!D29),4)</f>
        <v>7.6300000000000007E-2</v>
      </c>
      <c r="O29" s="20">
        <f>ROUND(LN(Totals!E29/'Porfolio Forecast'!E29),4)</f>
        <v>-6.1899999999999997E-2</v>
      </c>
      <c r="P29" s="21">
        <f>ROUND(LN(Totals!F29/'Porfolio Forecast'!F29),4)</f>
        <v>-2.2100000000000002E-2</v>
      </c>
      <c r="Q29" s="20">
        <f>ROUND(LN(Totals!G29/'Porfolio Forecast'!G29),4)</f>
        <v>9.2999999999999992E-3</v>
      </c>
    </row>
    <row r="30" spans="1:17" s="1" customFormat="1" ht="15.5" thickTop="1" thickBot="1" x14ac:dyDescent="0.4">
      <c r="A30" s="5" t="str">
        <f>SBOSCA!A30</f>
        <v>2028Q3</v>
      </c>
      <c r="B30" s="2">
        <f>SUM(SBOSCA!B30,MCBTCA!B30,ICICCA!B30,HKBCCA!B30,CUCXCA!B30,BOFMCA!B30,BOFACA!B30,BNPACA!B30,BNDCCA!B30,BLCMCA!B30,BCANCA!B30,ATBRCA!B30,CCDQCA!B30,CIBCCA!B30,NOSCCA!B30,TDOMCA!B30,ROYCCA!B30)</f>
        <v>4704.1369999999997</v>
      </c>
      <c r="C30" s="3">
        <f>SUM(SBOSCA!C30,MCBTCA!C30,ICICCA!C30,HKBCCA!C30,CUCXCA!C30,BOFMCA!C30,BOFACA!C30,BNPACA!C30,BNDCCA!C30,BLCMCA!C30,BCANCA!C30,ATBRCA!C30,CCDQCA!C30,CIBCCA!C30,NOSCCA!C30,TDOMCA!C30,ROYCCA!C30)</f>
        <v>5141.2559999999994</v>
      </c>
      <c r="D30" s="2">
        <f>SUM(SBOSCA!D30,MCBTCA!D30,ICICCA!D30,HKBCCA!D30,CUCXCA!D30,BOFMCA!D30,BOFACA!D30,BNPACA!D30,BNDCCA!D30,BLCMCA!D30,BCANCA!D30,ATBRCA!D30,CCDQCA!D30,CIBCCA!D30,NOSCCA!D30,TDOMCA!D30,ROYCCA!D30)</f>
        <v>5578.3710000000001</v>
      </c>
      <c r="E30" s="2">
        <f>SUM(SBOSCA!E30,MCBTCA!E30,ICICCA!E30,HKBCCA!E30,CUCXCA!E30,BOFMCA!E30,BOFACA!E30,BNPACA!E30,BNDCCA!E30,BLCMCA!E30,BCANCA!E30,ATBRCA!E30,CCDQCA!E30,CIBCCA!E30,NOSCCA!E30,TDOMCA!E30,ROYCCA!E30)</f>
        <v>6.359</v>
      </c>
      <c r="F30" s="3">
        <f>SUM(SBOSCA!F30,MCBTCA!F30,ICICCA!F30,HKBCCA!F30,CUCXCA!F30,BOFMCA!F30,BOFACA!F30,BNPACA!F30,BNDCCA!F30,BLCMCA!F30,BCANCA!F30,ATBRCA!F30,CCDQCA!F30,CIBCCA!F30,NOSCCA!F30,TDOMCA!F30,ROYCCA!F30)</f>
        <v>7.3069999999999986</v>
      </c>
      <c r="G30" s="2">
        <f>SUM(SBOSCA!G30,MCBTCA!G30,ICICCA!G30,HKBCCA!G30,CUCXCA!G30,BOFMCA!G30,BOFACA!G30,BNPACA!G30,BNDCCA!G30,BLCMCA!G30,BCANCA!G30,ATBRCA!G30,CCDQCA!G30,CIBCCA!G30,NOSCCA!G30,TDOMCA!G30,ROYCCA!G30)</f>
        <v>8.2530000000000001</v>
      </c>
      <c r="K30" s="19" t="str">
        <f t="shared" si="1"/>
        <v>2028Q3</v>
      </c>
      <c r="L30" s="20">
        <f>ROUND(LN(Totals!B30/'Porfolio Forecast'!B30),4)</f>
        <v>-8.0999999999999996E-3</v>
      </c>
      <c r="M30" s="21">
        <f>ROUND(LN(Totals!C30/'Porfolio Forecast'!C30),4)</f>
        <v>3.6999999999999998E-2</v>
      </c>
      <c r="N30" s="20">
        <f>ROUND(LN(Totals!D30/'Porfolio Forecast'!D30),4)</f>
        <v>7.6700000000000004E-2</v>
      </c>
      <c r="O30" s="20">
        <f>ROUND(LN(Totals!E30/'Porfolio Forecast'!E30),4)</f>
        <v>-6.3700000000000007E-2</v>
      </c>
      <c r="P30" s="21">
        <f>ROUND(LN(Totals!F30/'Porfolio Forecast'!F30),4)</f>
        <v>-2.3300000000000001E-2</v>
      </c>
      <c r="Q30" s="20">
        <f>ROUND(LN(Totals!G30/'Porfolio Forecast'!G30),4)</f>
        <v>8.8999999999999999E-3</v>
      </c>
    </row>
    <row r="31" spans="1:17" s="1" customFormat="1" ht="15.5" thickTop="1" thickBot="1" x14ac:dyDescent="0.4">
      <c r="A31" s="5" t="str">
        <f>SBOSCA!A31</f>
        <v>2028Q4</v>
      </c>
      <c r="B31" s="2">
        <f>SUM(SBOSCA!B31,MCBTCA!B31,ICICCA!B31,HKBCCA!B31,CUCXCA!B31,BOFMCA!B31,BOFACA!B31,BNPACA!B31,BNDCCA!B31,BLCMCA!B31,BCANCA!B31,ATBRCA!B31,CCDQCA!B31,CIBCCA!B31,NOSCCA!B31,TDOMCA!B31,ROYCCA!B31)</f>
        <v>4764.62</v>
      </c>
      <c r="C31" s="3">
        <f>SUM(SBOSCA!C31,MCBTCA!C31,ICICCA!C31,HKBCCA!C31,CUCXCA!C31,BOFMCA!C31,BOFACA!C31,BNPACA!C31,BNDCCA!C31,BLCMCA!C31,BCANCA!C31,ATBRCA!C31,CCDQCA!C31,CIBCCA!C31,NOSCCA!C31,TDOMCA!C31,ROYCCA!C31)</f>
        <v>5202.9830000000002</v>
      </c>
      <c r="D31" s="2">
        <f>SUM(SBOSCA!D31,MCBTCA!D31,ICICCA!D31,HKBCCA!D31,CUCXCA!D31,BOFMCA!D31,BOFACA!D31,BNPACA!D31,BNDCCA!D31,BLCMCA!D31,BCANCA!D31,ATBRCA!D31,CCDQCA!D31,CIBCCA!D31,NOSCCA!D31,TDOMCA!D31,ROYCCA!D31)</f>
        <v>5641.3459999999995</v>
      </c>
      <c r="E31" s="2">
        <f>SUM(SBOSCA!E31,MCBTCA!E31,ICICCA!E31,HKBCCA!E31,CUCXCA!E31,BOFMCA!E31,BOFACA!E31,BNPACA!E31,BNDCCA!E31,BLCMCA!E31,BCANCA!E31,ATBRCA!E31,CCDQCA!E31,CIBCCA!E31,NOSCCA!E31,TDOMCA!E31,ROYCCA!E31)</f>
        <v>6.3960000000000008</v>
      </c>
      <c r="F31" s="3">
        <f>SUM(SBOSCA!F31,MCBTCA!F31,ICICCA!F31,HKBCCA!F31,CUCXCA!F31,BOFMCA!F31,BOFACA!F31,BNPACA!F31,BNDCCA!F31,BLCMCA!F31,BCANCA!F31,ATBRCA!F31,CCDQCA!F31,CIBCCA!F31,NOSCCA!F31,TDOMCA!F31,ROYCCA!F31)</f>
        <v>7.3610000000000007</v>
      </c>
      <c r="G31" s="2">
        <f>SUM(SBOSCA!G31,MCBTCA!G31,ICICCA!G31,HKBCCA!G31,CUCXCA!G31,BOFMCA!G31,BOFACA!G31,BNPACA!G31,BNDCCA!G31,BLCMCA!G31,BCANCA!G31,ATBRCA!G31,CCDQCA!G31,CIBCCA!G31,NOSCCA!G31,TDOMCA!G31,ROYCCA!G31)</f>
        <v>8.3230000000000004</v>
      </c>
      <c r="K31" s="19" t="str">
        <f t="shared" si="1"/>
        <v>2028Q4</v>
      </c>
      <c r="L31" s="20">
        <f>ROUND(LN(Totals!B31/'Porfolio Forecast'!B31),4)</f>
        <v>-8.6E-3</v>
      </c>
      <c r="M31" s="21">
        <f>ROUND(LN(Totals!C31/'Porfolio Forecast'!C31),4)</f>
        <v>3.6200000000000003E-2</v>
      </c>
      <c r="N31" s="20">
        <f>ROUND(LN(Totals!D31/'Porfolio Forecast'!D31),4)</f>
        <v>7.5700000000000003E-2</v>
      </c>
      <c r="O31" s="20">
        <f>ROUND(LN(Totals!E31/'Porfolio Forecast'!E31),4)</f>
        <v>-6.4500000000000002E-2</v>
      </c>
      <c r="P31" s="21">
        <f>ROUND(LN(Totals!F31/'Porfolio Forecast'!F31),4)</f>
        <v>-2.3599999999999999E-2</v>
      </c>
      <c r="Q31" s="20">
        <f>ROUND(LN(Totals!G31/'Porfolio Forecast'!G31),4)</f>
        <v>8.6999999999999994E-3</v>
      </c>
    </row>
    <row r="32" spans="1:17" s="1" customFormat="1" ht="15.5" thickTop="1" thickBot="1" x14ac:dyDescent="0.4">
      <c r="A32" s="5" t="str">
        <f>SBOSCA!A32</f>
        <v>2029Q1</v>
      </c>
      <c r="B32" s="2">
        <f>SUM(SBOSCA!B32,MCBTCA!B32,ICICCA!B32,HKBCCA!B32,CUCXCA!B32,BOFMCA!B32,BOFACA!B32,BNPACA!B32,BNDCCA!B32,BLCMCA!B32,BCANCA!B32,ATBRCA!B32,CCDQCA!B32,CIBCCA!B32,NOSCCA!B32,TDOMCA!B32,ROYCCA!B32)</f>
        <v>4554.2129999999997</v>
      </c>
      <c r="C32" s="3">
        <f>SUM(SBOSCA!C32,MCBTCA!C32,ICICCA!C32,HKBCCA!C32,CUCXCA!C32,BOFMCA!C32,BOFACA!C32,BNPACA!C32,BNDCCA!C32,BLCMCA!C32,BCANCA!C32,ATBRCA!C32,CCDQCA!C32,CIBCCA!C32,NOSCCA!C32,TDOMCA!C32,ROYCCA!C32)</f>
        <v>4993.7440000000006</v>
      </c>
      <c r="D32" s="2">
        <f>SUM(SBOSCA!D32,MCBTCA!D32,ICICCA!D32,HKBCCA!D32,CUCXCA!D32,BOFMCA!D32,BOFACA!D32,BNPACA!D32,BNDCCA!D32,BLCMCA!D32,BCANCA!D32,ATBRCA!D32,CCDQCA!D32,CIBCCA!D32,NOSCCA!D32,TDOMCA!D32,ROYCCA!D32)</f>
        <v>5433.2730000000001</v>
      </c>
      <c r="E32" s="2">
        <f>SUM(SBOSCA!E32,MCBTCA!E32,ICICCA!E32,HKBCCA!E32,CUCXCA!E32,BOFMCA!E32,BOFACA!E32,BNPACA!E32,BNDCCA!E32,BLCMCA!E32,BCANCA!E32,ATBRCA!E32,CCDQCA!E32,CIBCCA!E32,NOSCCA!E32,TDOMCA!E32,ROYCCA!E32)</f>
        <v>6.3389999999999995</v>
      </c>
      <c r="F32" s="3">
        <f>SUM(SBOSCA!F32,MCBTCA!F32,ICICCA!F32,HKBCCA!F32,CUCXCA!F32,BOFMCA!F32,BOFACA!F32,BNPACA!F32,BNDCCA!F32,BLCMCA!F32,BCANCA!F32,ATBRCA!F32,CCDQCA!F32,CIBCCA!F32,NOSCCA!F32,TDOMCA!F32,ROYCCA!F32)</f>
        <v>7.32</v>
      </c>
      <c r="G32" s="2">
        <f>SUM(SBOSCA!G32,MCBTCA!G32,ICICCA!G32,HKBCCA!G32,CUCXCA!G32,BOFMCA!G32,BOFACA!G32,BNPACA!G32,BNDCCA!G32,BLCMCA!G32,BCANCA!G32,ATBRCA!G32,CCDQCA!G32,CIBCCA!G32,NOSCCA!G32,TDOMCA!G32,ROYCCA!G32)</f>
        <v>8.3010000000000002</v>
      </c>
      <c r="K32" s="19" t="str">
        <f t="shared" si="1"/>
        <v>2029Q1</v>
      </c>
      <c r="L32" s="20">
        <f>ROUND(LN(Totals!B32/'Porfolio Forecast'!B32),4)</f>
        <v>-7.4000000000000003E-3</v>
      </c>
      <c r="M32" s="21">
        <f>ROUND(LN(Totals!C32/'Porfolio Forecast'!C32),4)</f>
        <v>3.95E-2</v>
      </c>
      <c r="N32" s="20">
        <f>ROUND(LN(Totals!D32/'Porfolio Forecast'!D32),4)</f>
        <v>8.0600000000000005E-2</v>
      </c>
      <c r="O32" s="20">
        <f>ROUND(LN(Totals!E32/'Porfolio Forecast'!E32),4)</f>
        <v>-6.6500000000000004E-2</v>
      </c>
      <c r="P32" s="21">
        <f>ROUND(LN(Totals!F32/'Porfolio Forecast'!F32),4)</f>
        <v>-2.4400000000000002E-2</v>
      </c>
      <c r="Q32" s="20">
        <f>ROUND(LN(Totals!G32/'Porfolio Forecast'!G32),4)</f>
        <v>8.8000000000000005E-3</v>
      </c>
    </row>
    <row r="33" spans="1:17" s="1" customFormat="1" ht="15.5" thickTop="1" thickBot="1" x14ac:dyDescent="0.4">
      <c r="A33" s="5" t="str">
        <f>SBOSCA!A33</f>
        <v>2029Q2</v>
      </c>
      <c r="B33" s="2">
        <f>SUM(SBOSCA!B33,MCBTCA!B33,ICICCA!B33,HKBCCA!B33,CUCXCA!B33,BOFMCA!B33,BOFACA!B33,BNPACA!B33,BNDCCA!B33,BLCMCA!B33,BCANCA!B33,ATBRCA!B33,CCDQCA!B33,CIBCCA!B33,NOSCCA!B33,TDOMCA!B33,ROYCCA!B33)</f>
        <v>4812.4169999999995</v>
      </c>
      <c r="C33" s="3">
        <f>SUM(SBOSCA!C33,MCBTCA!C33,ICICCA!C33,HKBCCA!C33,CUCXCA!C33,BOFMCA!C33,BOFACA!C33,BNPACA!C33,BNDCCA!C33,BLCMCA!C33,BCANCA!C33,ATBRCA!C33,CCDQCA!C33,CIBCCA!C33,NOSCCA!C33,TDOMCA!C33,ROYCCA!C33)</f>
        <v>5253.0429999999997</v>
      </c>
      <c r="D33" s="2">
        <f>SUM(SBOSCA!D33,MCBTCA!D33,ICICCA!D33,HKBCCA!D33,CUCXCA!D33,BOFMCA!D33,BOFACA!D33,BNPACA!D33,BNDCCA!D33,BLCMCA!D33,BCANCA!D33,ATBRCA!D33,CCDQCA!D33,CIBCCA!D33,NOSCCA!D33,TDOMCA!D33,ROYCCA!D33)</f>
        <v>5693.6670000000004</v>
      </c>
      <c r="E33" s="2">
        <f>SUM(SBOSCA!E33,MCBTCA!E33,ICICCA!E33,HKBCCA!E33,CUCXCA!E33,BOFMCA!E33,BOFACA!E33,BNPACA!E33,BNDCCA!E33,BLCMCA!E33,BCANCA!E33,ATBRCA!E33,CCDQCA!E33,CIBCCA!E33,NOSCCA!E33,TDOMCA!E33,ROYCCA!E33)</f>
        <v>6.5030000000000001</v>
      </c>
      <c r="F33" s="3">
        <f>SUM(SBOSCA!F33,MCBTCA!F33,ICICCA!F33,HKBCCA!F33,CUCXCA!F33,BOFMCA!F33,BOFACA!F33,BNPACA!F33,BNDCCA!F33,BLCMCA!F33,BCANCA!F33,ATBRCA!F33,CCDQCA!F33,CIBCCA!F33,NOSCCA!F33,TDOMCA!F33,ROYCCA!F33)</f>
        <v>7.4979999999999993</v>
      </c>
      <c r="G33" s="2">
        <f>SUM(SBOSCA!G33,MCBTCA!G33,ICICCA!G33,HKBCCA!G33,CUCXCA!G33,BOFMCA!G33,BOFACA!G33,BNPACA!G33,BNDCCA!G33,BLCMCA!G33,BCANCA!G33,ATBRCA!G33,CCDQCA!G33,CIBCCA!G33,NOSCCA!G33,TDOMCA!G33,ROYCCA!G33)</f>
        <v>8.4969999999999999</v>
      </c>
      <c r="K33" s="19" t="str">
        <f t="shared" si="1"/>
        <v>2029Q2</v>
      </c>
      <c r="L33" s="20">
        <f>ROUND(LN(Totals!B33/'Porfolio Forecast'!B33),4)</f>
        <v>-8.3999999999999995E-3</v>
      </c>
      <c r="M33" s="21">
        <f>ROUND(LN(Totals!C33/'Porfolio Forecast'!C33),4)</f>
        <v>3.6400000000000002E-2</v>
      </c>
      <c r="N33" s="20">
        <f>ROUND(LN(Totals!D33/'Porfolio Forecast'!D33),4)</f>
        <v>7.5899999999999995E-2</v>
      </c>
      <c r="O33" s="20">
        <f>ROUND(LN(Totals!E33/'Porfolio Forecast'!E33),4)</f>
        <v>-6.3299999999999995E-2</v>
      </c>
      <c r="P33" s="21">
        <f>ROUND(LN(Totals!F33/'Porfolio Forecast'!F33),4)</f>
        <v>-2.2200000000000001E-2</v>
      </c>
      <c r="Q33" s="20">
        <f>ROUND(LN(Totals!G33/'Porfolio Forecast'!G33),4)</f>
        <v>1.09E-2</v>
      </c>
    </row>
    <row r="34" spans="1:17" s="1" customFormat="1" ht="15.5" thickTop="1" thickBot="1" x14ac:dyDescent="0.4">
      <c r="A34" s="5" t="str">
        <f>SBOSCA!A34</f>
        <v>2029Q3</v>
      </c>
      <c r="B34" s="2">
        <f>SUM(SBOSCA!B34,MCBTCA!B34,ICICCA!B34,HKBCCA!B34,CUCXCA!B34,BOFMCA!B34,BOFACA!B34,BNPACA!B34,BNDCCA!B34,BLCMCA!B34,BCANCA!B34,ATBRCA!B34,CCDQCA!B34,CIBCCA!B34,NOSCCA!B34,TDOMCA!B34,ROYCCA!B34)</f>
        <v>4802.8040000000001</v>
      </c>
      <c r="C34" s="3">
        <f>SUM(SBOSCA!C34,MCBTCA!C34,ICICCA!C34,HKBCCA!C34,CUCXCA!C34,BOFMCA!C34,BOFACA!C34,BNPACA!C34,BNDCCA!C34,BLCMCA!C34,BCANCA!C34,ATBRCA!C34,CCDQCA!C34,CIBCCA!C34,NOSCCA!C34,TDOMCA!C34,ROYCCA!C34)</f>
        <v>5244.4570000000003</v>
      </c>
      <c r="D34" s="2">
        <f>SUM(SBOSCA!D34,MCBTCA!D34,ICICCA!D34,HKBCCA!D34,CUCXCA!D34,BOFMCA!D34,BOFACA!D34,BNPACA!D34,BNDCCA!D34,BLCMCA!D34,BCANCA!D34,ATBRCA!D34,CCDQCA!D34,CIBCCA!D34,NOSCCA!D34,TDOMCA!D34,ROYCCA!D34)</f>
        <v>5686.1079999999993</v>
      </c>
      <c r="E34" s="2">
        <f>SUM(SBOSCA!E34,MCBTCA!E34,ICICCA!E34,HKBCCA!E34,CUCXCA!E34,BOFMCA!E34,BOFACA!E34,BNPACA!E34,BNDCCA!E34,BLCMCA!E34,BCANCA!E34,ATBRCA!E34,CCDQCA!E34,CIBCCA!E34,NOSCCA!E34,TDOMCA!E34,ROYCCA!E34)</f>
        <v>6.5020000000000007</v>
      </c>
      <c r="F34" s="3">
        <f>SUM(SBOSCA!F34,MCBTCA!F34,ICICCA!F34,HKBCCA!F34,CUCXCA!F34,BOFMCA!F34,BOFACA!F34,BNPACA!F34,BNDCCA!F34,BLCMCA!F34,BCANCA!F34,ATBRCA!F34,CCDQCA!F34,CIBCCA!F34,NOSCCA!F34,TDOMCA!F34,ROYCCA!F34)</f>
        <v>7.516</v>
      </c>
      <c r="G34" s="2">
        <f>SUM(SBOSCA!G34,MCBTCA!G34,ICICCA!G34,HKBCCA!G34,CUCXCA!G34,BOFMCA!G34,BOFACA!G34,BNPACA!G34,BNDCCA!G34,BLCMCA!G34,BCANCA!G34,ATBRCA!G34,CCDQCA!G34,CIBCCA!G34,NOSCCA!G34,TDOMCA!G34,ROYCCA!G34)</f>
        <v>8.5259999999999998</v>
      </c>
      <c r="K34" s="19" t="str">
        <f t="shared" si="1"/>
        <v>2029Q3</v>
      </c>
      <c r="L34" s="20">
        <f>ROUND(LN(Totals!B34/'Porfolio Forecast'!B34),4)</f>
        <v>-8.6E-3</v>
      </c>
      <c r="M34" s="21">
        <f>ROUND(LN(Totals!C34/'Porfolio Forecast'!C34),4)</f>
        <v>3.6499999999999998E-2</v>
      </c>
      <c r="N34" s="20">
        <f>ROUND(LN(Totals!D34/'Porfolio Forecast'!D34),4)</f>
        <v>7.6300000000000007E-2</v>
      </c>
      <c r="O34" s="20">
        <f>ROUND(LN(Totals!E34/'Porfolio Forecast'!E34),4)</f>
        <v>-6.4899999999999999E-2</v>
      </c>
      <c r="P34" s="21">
        <f>ROUND(LN(Totals!F34/'Porfolio Forecast'!F34),4)</f>
        <v>-2.2599999999999999E-2</v>
      </c>
      <c r="Q34" s="20">
        <f>ROUND(LN(Totals!G34/'Porfolio Forecast'!G34),4)</f>
        <v>1.04E-2</v>
      </c>
    </row>
    <row r="35" spans="1:17" s="1" customFormat="1" ht="15.5" thickTop="1" thickBot="1" x14ac:dyDescent="0.4">
      <c r="A35" s="5" t="str">
        <f>SBOSCA!A35</f>
        <v>2029Q4</v>
      </c>
      <c r="B35" s="2">
        <f>SUM(SBOSCA!B35,MCBTCA!B35,ICICCA!B35,HKBCCA!B35,CUCXCA!B35,BOFMCA!B35,BOFACA!B35,BNPACA!B35,BNDCCA!B35,BLCMCA!B35,BCANCA!B35,ATBRCA!B35,CCDQCA!B35,CIBCCA!B35,NOSCCA!B35,TDOMCA!B35,ROYCCA!B35)</f>
        <v>4863.6670000000004</v>
      </c>
      <c r="C35" s="3">
        <f>SUM(SBOSCA!C35,MCBTCA!C35,ICICCA!C35,HKBCCA!C35,CUCXCA!C35,BOFMCA!C35,BOFACA!C35,BNPACA!C35,BNDCCA!C35,BLCMCA!C35,BCANCA!C35,ATBRCA!C35,CCDQCA!C35,CIBCCA!C35,NOSCCA!C35,TDOMCA!C35,ROYCCA!C35)</f>
        <v>5306.2820000000002</v>
      </c>
      <c r="D35" s="2">
        <f>SUM(SBOSCA!D35,MCBTCA!D35,ICICCA!D35,HKBCCA!D35,CUCXCA!D35,BOFMCA!D35,BOFACA!D35,BNPACA!D35,BNDCCA!D35,BLCMCA!D35,BCANCA!D35,ATBRCA!D35,CCDQCA!D35,CIBCCA!D35,NOSCCA!D35,TDOMCA!D35,ROYCCA!D35)</f>
        <v>5748.9009999999998</v>
      </c>
      <c r="E35" s="2">
        <f>SUM(SBOSCA!E35,MCBTCA!E35,ICICCA!E35,HKBCCA!E35,CUCXCA!E35,BOFMCA!E35,BOFACA!E35,BNPACA!E35,BNDCCA!E35,BLCMCA!E35,BCANCA!E35,ATBRCA!E35,CCDQCA!E35,CIBCCA!E35,NOSCCA!E35,TDOMCA!E35,ROYCCA!E35)</f>
        <v>6.5389999999999997</v>
      </c>
      <c r="F35" s="3">
        <f>SUM(SBOSCA!F35,MCBTCA!F35,ICICCA!F35,HKBCCA!F35,CUCXCA!F35,BOFMCA!F35,BOFACA!F35,BNPACA!F35,BNDCCA!F35,BLCMCA!F35,BCANCA!F35,ATBRCA!F35,CCDQCA!F35,CIBCCA!F35,NOSCCA!F35,TDOMCA!F35,ROYCCA!F35)</f>
        <v>7.5670000000000002</v>
      </c>
      <c r="G35" s="2">
        <f>SUM(SBOSCA!G35,MCBTCA!G35,ICICCA!G35,HKBCCA!G35,CUCXCA!G35,BOFMCA!G35,BOFACA!G35,BNPACA!G35,BNDCCA!G35,BLCMCA!G35,BCANCA!G35,ATBRCA!G35,CCDQCA!G35,CIBCCA!G35,NOSCCA!G35,TDOMCA!G35,ROYCCA!G35)</f>
        <v>8.5960000000000001</v>
      </c>
      <c r="K35" s="19" t="str">
        <f t="shared" si="1"/>
        <v>2029Q4</v>
      </c>
      <c r="L35" s="20">
        <f>ROUND(LN(Totals!B35/'Porfolio Forecast'!B35),4)</f>
        <v>-8.9999999999999993E-3</v>
      </c>
      <c r="M35" s="21">
        <f>ROUND(LN(Totals!C35/'Porfolio Forecast'!C35),4)</f>
        <v>3.5799999999999998E-2</v>
      </c>
      <c r="N35" s="20">
        <f>ROUND(LN(Totals!D35/'Porfolio Forecast'!D35),4)</f>
        <v>7.5300000000000006E-2</v>
      </c>
      <c r="O35" s="20">
        <f>ROUND(LN(Totals!E35/'Porfolio Forecast'!E35),4)</f>
        <v>-6.5799999999999997E-2</v>
      </c>
      <c r="P35" s="21">
        <f>ROUND(LN(Totals!F35/'Porfolio Forecast'!F35),4)</f>
        <v>-2.3400000000000001E-2</v>
      </c>
      <c r="Q35" s="20">
        <f>ROUND(LN(Totals!G35/'Porfolio Forecast'!G35),4)</f>
        <v>1.03E-2</v>
      </c>
    </row>
    <row r="36" spans="1:17" ht="15" thickTop="1" x14ac:dyDescent="0.35"/>
    <row r="38" spans="1:17" ht="15" thickBot="1" x14ac:dyDescent="0.4"/>
    <row r="39" spans="1:17" ht="15.5" thickTop="1" thickBot="1" x14ac:dyDescent="0.4">
      <c r="A39" s="29" t="s">
        <v>67</v>
      </c>
      <c r="B39" s="30"/>
      <c r="C39" s="30"/>
      <c r="D39" s="30"/>
      <c r="E39" s="30"/>
      <c r="F39" s="30"/>
      <c r="G39" s="30"/>
      <c r="K39" s="29" t="s">
        <v>68</v>
      </c>
      <c r="L39" s="30"/>
      <c r="M39" s="30"/>
      <c r="N39" s="30"/>
      <c r="O39" s="30"/>
      <c r="P39" s="30"/>
      <c r="Q39" s="30"/>
    </row>
    <row r="40" spans="1:17" ht="15.5" thickTop="1" thickBot="1" x14ac:dyDescent="0.4">
      <c r="A40" s="6"/>
      <c r="B40" s="30" t="s">
        <v>1</v>
      </c>
      <c r="C40" s="30"/>
      <c r="D40" s="30"/>
      <c r="E40" s="30" t="s">
        <v>2</v>
      </c>
      <c r="F40" s="30"/>
      <c r="G40" s="30"/>
      <c r="K40" s="6"/>
      <c r="L40" s="30" t="s">
        <v>1</v>
      </c>
      <c r="M40" s="30"/>
      <c r="N40" s="30"/>
      <c r="O40" s="30" t="s">
        <v>2</v>
      </c>
      <c r="P40" s="30"/>
      <c r="Q40" s="30"/>
    </row>
    <row r="41" spans="1:17" ht="30" thickTop="1" thickBot="1" x14ac:dyDescent="0.4">
      <c r="A41" s="10" t="s">
        <v>0</v>
      </c>
      <c r="B41" s="10" t="s">
        <v>19</v>
      </c>
      <c r="C41" s="11" t="s">
        <v>91</v>
      </c>
      <c r="D41" s="10" t="s">
        <v>20</v>
      </c>
      <c r="E41" s="10" t="s">
        <v>19</v>
      </c>
      <c r="F41" s="11" t="s">
        <v>89</v>
      </c>
      <c r="G41" s="10" t="s">
        <v>20</v>
      </c>
      <c r="K41" s="10" t="s">
        <v>0</v>
      </c>
      <c r="L41" s="10" t="s">
        <v>19</v>
      </c>
      <c r="M41" s="11" t="s">
        <v>89</v>
      </c>
      <c r="N41" s="10" t="s">
        <v>20</v>
      </c>
      <c r="O41" s="10" t="s">
        <v>19</v>
      </c>
      <c r="P41" s="11" t="s">
        <v>89</v>
      </c>
      <c r="Q41" s="10" t="s">
        <v>20</v>
      </c>
    </row>
    <row r="42" spans="1:17" ht="15.5" thickTop="1" thickBot="1" x14ac:dyDescent="0.4">
      <c r="A42" s="7" t="str">
        <f>SBOSCA!A44</f>
        <v>2022Q1</v>
      </c>
      <c r="B42" s="6">
        <f>SUM(SBOSCA!B44,MCBTCA!B44,ICICCA!B44,HKBCCA!B44,CUCXCA!B44,BOFMCA!B44,BOFACA!B44,BNPACA!B44,BNDCCA!B44,BLCMCA!B44,BCANCA!B44,ATBRCA!B44,CCDQCA!B44,CIBCCA!B44,NOSCCA!B44,TDOMCA!B44,ROYCCA!B44)</f>
        <v>0</v>
      </c>
      <c r="C42" s="9">
        <f>SUM(SBOSCA!C44,MCBTCA!C44,ICICCA!C44,HKBCCA!C44,CUCXCA!C44,BOFMCA!C44,BOFACA!C44,BNPACA!C44,BNDCCA!C44,BLCMCA!C44,BCANCA!C44,ATBRCA!C44,CCDQCA!C44,CIBCCA!C44,NOSCCA!C44,TDOMCA!C44,ROYCCA!C44)</f>
        <v>4193.3900000000003</v>
      </c>
      <c r="D42" s="6">
        <f>SUM(SBOSCA!D44,MCBTCA!D44,ICICCA!D44,HKBCCA!D44,CUCXCA!D44,BOFMCA!D44,BOFACA!D44,BNPACA!D44,BNDCCA!D44,BLCMCA!D44,BCANCA!D44,ATBRCA!D44,CCDQCA!D44,CIBCCA!D44,NOSCCA!D44,TDOMCA!D44,ROYCCA!D44)</f>
        <v>0</v>
      </c>
      <c r="E42" s="6">
        <f>SUM(SBOSCA!E44,MCBTCA!E44,ICICCA!E44,HKBCCA!E44,CUCXCA!E44,BOFMCA!E44,BOFACA!E44,BNPACA!E44,BNDCCA!E44,BLCMCA!E44,BCANCA!E44,ATBRCA!E44,CCDQCA!E44,CIBCCA!E44,NOSCCA!E44,TDOMCA!E44,ROYCCA!E44)</f>
        <v>0</v>
      </c>
      <c r="F42" s="9">
        <f>SUM(SBOSCA!F44,MCBTCA!F44,ICICCA!F44,HKBCCA!F44,CUCXCA!F44,BOFMCA!F44,BOFACA!F44,BNPACA!F44,BNDCCA!F44,BLCMCA!F44,BCANCA!F44,ATBRCA!F44,CCDQCA!F44,CIBCCA!F44,NOSCCA!F44,TDOMCA!F44,ROYCCA!F44)</f>
        <v>5.8119999999999994</v>
      </c>
      <c r="G42" s="6">
        <f>SUM(SBOSCA!G44,MCBTCA!G44,ICICCA!G44,HKBCCA!G44,CUCXCA!G44,BOFMCA!G44,BOFACA!G44,BNPACA!G44,BNDCCA!G44,BLCMCA!G44,BCANCA!G44,ATBRCA!G44,CCDQCA!G44,CIBCCA!G44,NOSCCA!G44,TDOMCA!G44,ROYCCA!G44)</f>
        <v>0</v>
      </c>
      <c r="K42" s="7" t="str">
        <f>SBOSCA!K44</f>
        <v>2022Q1</v>
      </c>
      <c r="L42" s="6">
        <f>SUM(SBOSCA!L44,MCBTCA!L44,ICICCA!L44,HKBCCA!L44,CUCXCA!L44,BOFMCA!L44,BOFACA!L44,BNPACA!L44,BNDCCA!L44,BLCMCA!L44,BCANCA!L44,ATBRCA!L44,CCDQCA!L44,CIBCCA!L44,NOSCCA!L44,TDOMCA!L44,ROYCCA!L44)</f>
        <v>0</v>
      </c>
      <c r="M42" s="9">
        <f>SUM(SBOSCA!M44,MCBTCA!M44,ICICCA!M44,HKBCCA!M44,CUCXCA!M44,BOFMCA!M44,BOFACA!M44,BNPACA!M44,BNDCCA!M44,BLCMCA!M44,BCANCA!M44,ATBRCA!M44,CCDQCA!M44,CIBCCA!M44,NOSCCA!M44,TDOMCA!M44,ROYCCA!M44)</f>
        <v>4125.4259999999995</v>
      </c>
      <c r="N42" s="6">
        <f>SUM(SBOSCA!N44,MCBTCA!N44,ICICCA!N44,HKBCCA!N44,CUCXCA!N44,BOFMCA!N44,BOFACA!N44,BNPACA!N44,BNDCCA!N44,BLCMCA!N44,BCANCA!N44,ATBRCA!N44,CCDQCA!N44,CIBCCA!N44,NOSCCA!N44,TDOMCA!N44,ROYCCA!N44)</f>
        <v>0</v>
      </c>
      <c r="O42" s="6">
        <f>SUM(SBOSCA!O44,MCBTCA!O44,ICICCA!O44,HKBCCA!O44,CUCXCA!O44,BOFMCA!O44,BOFACA!O44,BNPACA!O44,BNDCCA!O44,BLCMCA!O44,BCANCA!O44,ATBRCA!O44,CCDQCA!O44,CIBCCA!O44,NOSCCA!O44,TDOMCA!O44,ROYCCA!O44)</f>
        <v>0</v>
      </c>
      <c r="P42" s="9">
        <f>SUM(SBOSCA!P44,MCBTCA!P44,ICICCA!P44,HKBCCA!P44,CUCXCA!P44,BOFMCA!P44,BOFACA!P44,BNPACA!P44,BNDCCA!P44,BLCMCA!P44,BCANCA!P44,ATBRCA!P44,CCDQCA!P44,CIBCCA!P44,NOSCCA!P44,TDOMCA!P44,ROYCCA!P44)</f>
        <v>5.7549999999999999</v>
      </c>
      <c r="Q42" s="6">
        <f>SUM(SBOSCA!Q44,MCBTCA!Q44,ICICCA!Q44,HKBCCA!Q44,CUCXCA!Q44,BOFMCA!Q44,BOFACA!Q44,BNPACA!Q44,BNDCCA!Q44,BLCMCA!Q44,BCANCA!Q44,ATBRCA!Q44,CCDQCA!Q44,CIBCCA!Q44,NOSCCA!Q44,TDOMCA!Q44,ROYCCA!Q44)</f>
        <v>0</v>
      </c>
    </row>
    <row r="43" spans="1:17" ht="15.5" thickTop="1" thickBot="1" x14ac:dyDescent="0.4">
      <c r="A43" s="7" t="str">
        <f>SBOSCA!A45</f>
        <v>2022Q2</v>
      </c>
      <c r="B43" s="6">
        <f>SUM(SBOSCA!B45,MCBTCA!B45,ICICCA!B45,HKBCCA!B45,CUCXCA!B45,BOFMCA!B45,BOFACA!B45,BNPACA!B45,BNDCCA!B45,BLCMCA!B45,BCANCA!B45,ATBRCA!B45,CCDQCA!B45,CIBCCA!B45,NOSCCA!B45,TDOMCA!B45,ROYCCA!B45)</f>
        <v>0</v>
      </c>
      <c r="C43" s="9">
        <f>SUM(SBOSCA!C45,MCBTCA!C45,ICICCA!C45,HKBCCA!C45,CUCXCA!C45,BOFMCA!C45,BOFACA!C45,BNPACA!C45,BNDCCA!C45,BLCMCA!C45,BCANCA!C45,ATBRCA!C45,CCDQCA!C45,CIBCCA!C45,NOSCCA!C45,TDOMCA!C45,ROYCCA!C45)</f>
        <v>4450.9799999999996</v>
      </c>
      <c r="D43" s="6">
        <f>SUM(SBOSCA!D45,MCBTCA!D45,ICICCA!D45,HKBCCA!D45,CUCXCA!D45,BOFMCA!D45,BOFACA!D45,BNPACA!D45,BNDCCA!D45,BLCMCA!D45,BCANCA!D45,ATBRCA!D45,CCDQCA!D45,CIBCCA!D45,NOSCCA!D45,TDOMCA!D45,ROYCCA!D45)</f>
        <v>0</v>
      </c>
      <c r="E43" s="6">
        <f>SUM(SBOSCA!E45,MCBTCA!E45,ICICCA!E45,HKBCCA!E45,CUCXCA!E45,BOFMCA!E45,BOFACA!E45,BNPACA!E45,BNDCCA!E45,BLCMCA!E45,BCANCA!E45,ATBRCA!E45,CCDQCA!E45,CIBCCA!E45,NOSCCA!E45,TDOMCA!E45,ROYCCA!E45)</f>
        <v>0</v>
      </c>
      <c r="F43" s="9">
        <f>SUM(SBOSCA!F45,MCBTCA!F45,ICICCA!F45,HKBCCA!F45,CUCXCA!F45,BOFMCA!F45,BOFACA!F45,BNPACA!F45,BNDCCA!F45,BLCMCA!F45,BCANCA!F45,ATBRCA!F45,CCDQCA!F45,CIBCCA!F45,NOSCCA!F45,TDOMCA!F45,ROYCCA!F45)</f>
        <v>5.9930000000000003</v>
      </c>
      <c r="G43" s="6">
        <f>SUM(SBOSCA!G45,MCBTCA!G45,ICICCA!G45,HKBCCA!G45,CUCXCA!G45,BOFMCA!G45,BOFACA!G45,BNPACA!G45,BNDCCA!G45,BLCMCA!G45,BCANCA!G45,ATBRCA!G45,CCDQCA!G45,CIBCCA!G45,NOSCCA!G45,TDOMCA!G45,ROYCCA!G45)</f>
        <v>0</v>
      </c>
      <c r="K43" s="7" t="str">
        <f>SBOSCA!K45</f>
        <v>2022Q2</v>
      </c>
      <c r="L43" s="6">
        <f>SUM(SBOSCA!L45,MCBTCA!L45,ICICCA!L45,HKBCCA!L45,CUCXCA!L45,BOFMCA!L45,BOFACA!L45,BNPACA!L45,BNDCCA!L45,BLCMCA!L45,BCANCA!L45,ATBRCA!L45,CCDQCA!L45,CIBCCA!L45,NOSCCA!L45,TDOMCA!L45,ROYCCA!L45)</f>
        <v>0</v>
      </c>
      <c r="M43" s="9">
        <f>SUM(SBOSCA!M45,MCBTCA!M45,ICICCA!M45,HKBCCA!M45,CUCXCA!M45,BOFMCA!M45,BOFACA!M45,BNPACA!M45,BNDCCA!M45,BLCMCA!M45,BCANCA!M45,ATBRCA!M45,CCDQCA!M45,CIBCCA!M45,NOSCCA!M45,TDOMCA!M45,ROYCCA!M45)</f>
        <v>4373.4389999999994</v>
      </c>
      <c r="N43" s="6">
        <f>SUM(SBOSCA!N45,MCBTCA!N45,ICICCA!N45,HKBCCA!N45,CUCXCA!N45,BOFMCA!N45,BOFACA!N45,BNPACA!N45,BNDCCA!N45,BLCMCA!N45,BCANCA!N45,ATBRCA!N45,CCDQCA!N45,CIBCCA!N45,NOSCCA!N45,TDOMCA!N45,ROYCCA!N45)</f>
        <v>0</v>
      </c>
      <c r="O43" s="6">
        <f>SUM(SBOSCA!O45,MCBTCA!O45,ICICCA!O45,HKBCCA!O45,CUCXCA!O45,BOFMCA!O45,BOFACA!O45,BNPACA!O45,BNDCCA!O45,BLCMCA!O45,BCANCA!O45,ATBRCA!O45,CCDQCA!O45,CIBCCA!O45,NOSCCA!O45,TDOMCA!O45,ROYCCA!O45)</f>
        <v>0</v>
      </c>
      <c r="P43" s="9">
        <f>SUM(SBOSCA!P45,MCBTCA!P45,ICICCA!P45,HKBCCA!P45,CUCXCA!P45,BOFMCA!P45,BOFACA!P45,BNPACA!P45,BNDCCA!P45,BLCMCA!P45,BCANCA!P45,ATBRCA!P45,CCDQCA!P45,CIBCCA!P45,NOSCCA!P45,TDOMCA!P45,ROYCCA!P45)</f>
        <v>5.9160000000000004</v>
      </c>
      <c r="Q43" s="6">
        <f>SUM(SBOSCA!Q45,MCBTCA!Q45,ICICCA!Q45,HKBCCA!Q45,CUCXCA!Q45,BOFMCA!Q45,BOFACA!Q45,BNPACA!Q45,BNDCCA!Q45,BLCMCA!Q45,BCANCA!Q45,ATBRCA!Q45,CCDQCA!Q45,CIBCCA!Q45,NOSCCA!Q45,TDOMCA!Q45,ROYCCA!Q45)</f>
        <v>0</v>
      </c>
    </row>
    <row r="44" spans="1:17" ht="15.5" thickTop="1" thickBot="1" x14ac:dyDescent="0.4">
      <c r="A44" s="7" t="str">
        <f>SBOSCA!A46</f>
        <v>2022Q3</v>
      </c>
      <c r="B44" s="6">
        <f>SUM(SBOSCA!B46,MCBTCA!B46,ICICCA!B46,HKBCCA!B46,CUCXCA!B46,BOFMCA!B46,BOFACA!B46,BNPACA!B46,BNDCCA!B46,BLCMCA!B46,BCANCA!B46,ATBRCA!B46,CCDQCA!B46,CIBCCA!B46,NOSCCA!B46,TDOMCA!B46,ROYCCA!B46)</f>
        <v>0</v>
      </c>
      <c r="C44" s="9">
        <f>SUM(SBOSCA!C46,MCBTCA!C46,ICICCA!C46,HKBCCA!C46,CUCXCA!C46,BOFMCA!C46,BOFACA!C46,BNPACA!C46,BNDCCA!C46,BLCMCA!C46,BCANCA!C46,ATBRCA!C46,CCDQCA!C46,CIBCCA!C46,NOSCCA!C46,TDOMCA!C46,ROYCCA!C46)</f>
        <v>4440.3040000000001</v>
      </c>
      <c r="D44" s="6">
        <f>SUM(SBOSCA!D46,MCBTCA!D46,ICICCA!D46,HKBCCA!D46,CUCXCA!D46,BOFMCA!D46,BOFACA!D46,BNPACA!D46,BNDCCA!D46,BLCMCA!D46,BCANCA!D46,ATBRCA!D46,CCDQCA!D46,CIBCCA!D46,NOSCCA!D46,TDOMCA!D46,ROYCCA!D46)</f>
        <v>0</v>
      </c>
      <c r="E44" s="6">
        <f>SUM(SBOSCA!E46,MCBTCA!E46,ICICCA!E46,HKBCCA!E46,CUCXCA!E46,BOFMCA!E46,BOFACA!E46,BNPACA!E46,BNDCCA!E46,BLCMCA!E46,BCANCA!E46,ATBRCA!E46,CCDQCA!E46,CIBCCA!E46,NOSCCA!E46,TDOMCA!E46,ROYCCA!E46)</f>
        <v>0</v>
      </c>
      <c r="F44" s="9">
        <f>SUM(SBOSCA!F46,MCBTCA!F46,ICICCA!F46,HKBCCA!F46,CUCXCA!F46,BOFMCA!F46,BOFACA!F46,BNPACA!F46,BNDCCA!F46,BLCMCA!F46,BCANCA!F46,ATBRCA!F46,CCDQCA!F46,CIBCCA!F46,NOSCCA!F46,TDOMCA!F46,ROYCCA!F46)</f>
        <v>5.9809999999999999</v>
      </c>
      <c r="G44" s="6">
        <f>SUM(SBOSCA!G46,MCBTCA!G46,ICICCA!G46,HKBCCA!G46,CUCXCA!G46,BOFMCA!G46,BOFACA!G46,BNPACA!G46,BNDCCA!G46,BLCMCA!G46,BCANCA!G46,ATBRCA!G46,CCDQCA!G46,CIBCCA!G46,NOSCCA!G46,TDOMCA!G46,ROYCCA!G46)</f>
        <v>0</v>
      </c>
      <c r="K44" s="7" t="str">
        <f>SBOSCA!K46</f>
        <v>2022Q3</v>
      </c>
      <c r="L44" s="6">
        <f>SUM(SBOSCA!L46,MCBTCA!L46,ICICCA!L46,HKBCCA!L46,CUCXCA!L46,BOFMCA!L46,BOFACA!L46,BNPACA!L46,BNDCCA!L46,BLCMCA!L46,BCANCA!L46,ATBRCA!L46,CCDQCA!L46,CIBCCA!L46,NOSCCA!L46,TDOMCA!L46,ROYCCA!L46)</f>
        <v>0</v>
      </c>
      <c r="M44" s="9">
        <f>SUM(SBOSCA!M46,MCBTCA!M46,ICICCA!M46,HKBCCA!M46,CUCXCA!M46,BOFMCA!M46,BOFACA!M46,BNPACA!M46,BNDCCA!M46,BLCMCA!M46,BCANCA!M46,ATBRCA!M46,CCDQCA!M46,CIBCCA!M46,NOSCCA!M46,TDOMCA!M46,ROYCCA!M46)</f>
        <v>4357.5129999999999</v>
      </c>
      <c r="N44" s="6">
        <f>SUM(SBOSCA!N46,MCBTCA!N46,ICICCA!N46,HKBCCA!N46,CUCXCA!N46,BOFMCA!N46,BOFACA!N46,BNPACA!N46,BNDCCA!N46,BLCMCA!N46,BCANCA!N46,ATBRCA!N46,CCDQCA!N46,CIBCCA!N46,NOSCCA!N46,TDOMCA!N46,ROYCCA!N46)</f>
        <v>0</v>
      </c>
      <c r="O44" s="6">
        <f>SUM(SBOSCA!O46,MCBTCA!O46,ICICCA!O46,HKBCCA!O46,CUCXCA!O46,BOFMCA!O46,BOFACA!O46,BNPACA!O46,BNDCCA!O46,BLCMCA!O46,BCANCA!O46,ATBRCA!O46,CCDQCA!O46,CIBCCA!O46,NOSCCA!O46,TDOMCA!O46,ROYCCA!O46)</f>
        <v>0</v>
      </c>
      <c r="P44" s="9">
        <f>SUM(SBOSCA!P46,MCBTCA!P46,ICICCA!P46,HKBCCA!P46,CUCXCA!P46,BOFMCA!P46,BOFACA!P46,BNPACA!P46,BNDCCA!P46,BLCMCA!P46,BCANCA!P46,ATBRCA!P46,CCDQCA!P46,CIBCCA!P46,NOSCCA!P46,TDOMCA!P46,ROYCCA!P46)</f>
        <v>5.895999999999999</v>
      </c>
      <c r="Q44" s="6">
        <f>SUM(SBOSCA!Q46,MCBTCA!Q46,ICICCA!Q46,HKBCCA!Q46,CUCXCA!Q46,BOFMCA!Q46,BOFACA!Q46,BNPACA!Q46,BNDCCA!Q46,BLCMCA!Q46,BCANCA!Q46,ATBRCA!Q46,CCDQCA!Q46,CIBCCA!Q46,NOSCCA!Q46,TDOMCA!Q46,ROYCCA!Q46)</f>
        <v>0</v>
      </c>
    </row>
    <row r="45" spans="1:17" ht="15.5" thickTop="1" thickBot="1" x14ac:dyDescent="0.4">
      <c r="A45" s="7" t="str">
        <f>SBOSCA!A47</f>
        <v>2022Q4</v>
      </c>
      <c r="B45" s="6">
        <f>SUM(SBOSCA!B47,MCBTCA!B47,ICICCA!B47,HKBCCA!B47,CUCXCA!B47,BOFMCA!B47,BOFACA!B47,BNPACA!B47,BNDCCA!B47,BLCMCA!B47,BCANCA!B47,ATBRCA!B47,CCDQCA!B47,CIBCCA!B47,NOSCCA!B47,TDOMCA!B47,ROYCCA!B47)</f>
        <v>0</v>
      </c>
      <c r="C45" s="9">
        <f>SUM(SBOSCA!C47,MCBTCA!C47,ICICCA!C47,HKBCCA!C47,CUCXCA!C47,BOFMCA!C47,BOFACA!C47,BNPACA!C47,BNDCCA!C47,BLCMCA!C47,BCANCA!C47,ATBRCA!C47,CCDQCA!C47,CIBCCA!C47,NOSCCA!C47,TDOMCA!C47,ROYCCA!C47)</f>
        <v>4499.7640000000001</v>
      </c>
      <c r="D45" s="6">
        <f>SUM(SBOSCA!D47,MCBTCA!D47,ICICCA!D47,HKBCCA!D47,CUCXCA!D47,BOFMCA!D47,BOFACA!D47,BNPACA!D47,BNDCCA!D47,BLCMCA!D47,BCANCA!D47,ATBRCA!D47,CCDQCA!D47,CIBCCA!D47,NOSCCA!D47,TDOMCA!D47,ROYCCA!D47)</f>
        <v>0</v>
      </c>
      <c r="E45" s="6">
        <f>SUM(SBOSCA!E47,MCBTCA!E47,ICICCA!E47,HKBCCA!E47,CUCXCA!E47,BOFMCA!E47,BOFACA!E47,BNPACA!E47,BNDCCA!E47,BLCMCA!E47,BCANCA!E47,ATBRCA!E47,CCDQCA!E47,CIBCCA!E47,NOSCCA!E47,TDOMCA!E47,ROYCCA!E47)</f>
        <v>0</v>
      </c>
      <c r="F45" s="9">
        <f>SUM(SBOSCA!F47,MCBTCA!F47,ICICCA!F47,HKBCCA!F47,CUCXCA!F47,BOFMCA!F47,BOFACA!F47,BNPACA!F47,BNDCCA!F47,BLCMCA!F47,BCANCA!F47,ATBRCA!F47,CCDQCA!F47,CIBCCA!F47,NOSCCA!F47,TDOMCA!F47,ROYCCA!F47)</f>
        <v>6.0309999999999988</v>
      </c>
      <c r="G45" s="6">
        <f>SUM(SBOSCA!G47,MCBTCA!G47,ICICCA!G47,HKBCCA!G47,CUCXCA!G47,BOFMCA!G47,BOFACA!G47,BNPACA!G47,BNDCCA!G47,BLCMCA!G47,BCANCA!G47,ATBRCA!G47,CCDQCA!G47,CIBCCA!G47,NOSCCA!G47,TDOMCA!G47,ROYCCA!G47)</f>
        <v>0</v>
      </c>
      <c r="K45" s="7" t="str">
        <f>SBOSCA!K47</f>
        <v>2022Q4</v>
      </c>
      <c r="L45" s="6">
        <f>SUM(SBOSCA!L47,MCBTCA!L47,ICICCA!L47,HKBCCA!L47,CUCXCA!L47,BOFMCA!L47,BOFACA!L47,BNPACA!L47,BNDCCA!L47,BLCMCA!L47,BCANCA!L47,ATBRCA!L47,CCDQCA!L47,CIBCCA!L47,NOSCCA!L47,TDOMCA!L47,ROYCCA!L47)</f>
        <v>0</v>
      </c>
      <c r="M45" s="9">
        <f>SUM(SBOSCA!M47,MCBTCA!M47,ICICCA!M47,HKBCCA!M47,CUCXCA!M47,BOFMCA!M47,BOFACA!M47,BNPACA!M47,BNDCCA!M47,BLCMCA!M47,BCANCA!M47,ATBRCA!M47,CCDQCA!M47,CIBCCA!M47,NOSCCA!M47,TDOMCA!M47,ROYCCA!M47)</f>
        <v>4413.2489999999998</v>
      </c>
      <c r="N45" s="6">
        <f>SUM(SBOSCA!N47,MCBTCA!N47,ICICCA!N47,HKBCCA!N47,CUCXCA!N47,BOFMCA!N47,BOFACA!N47,BNPACA!N47,BNDCCA!N47,BLCMCA!N47,BCANCA!N47,ATBRCA!N47,CCDQCA!N47,CIBCCA!N47,NOSCCA!N47,TDOMCA!N47,ROYCCA!N47)</f>
        <v>0</v>
      </c>
      <c r="O45" s="6">
        <f>SUM(SBOSCA!O47,MCBTCA!O47,ICICCA!O47,HKBCCA!O47,CUCXCA!O47,BOFMCA!O47,BOFACA!O47,BNPACA!O47,BNDCCA!O47,BLCMCA!O47,BCANCA!O47,ATBRCA!O47,CCDQCA!O47,CIBCCA!O47,NOSCCA!O47,TDOMCA!O47,ROYCCA!O47)</f>
        <v>0</v>
      </c>
      <c r="P45" s="9">
        <f>SUM(SBOSCA!P47,MCBTCA!P47,ICICCA!P47,HKBCCA!P47,CUCXCA!P47,BOFMCA!P47,BOFACA!P47,BNPACA!P47,BNDCCA!P47,BLCMCA!P47,BCANCA!P47,ATBRCA!P47,CCDQCA!P47,CIBCCA!P47,NOSCCA!P47,TDOMCA!P47,ROYCCA!P47)</f>
        <v>5.9340000000000002</v>
      </c>
      <c r="Q45" s="6">
        <f>SUM(SBOSCA!Q47,MCBTCA!Q47,ICICCA!Q47,HKBCCA!Q47,CUCXCA!Q47,BOFMCA!Q47,BOFACA!Q47,BNPACA!Q47,BNDCCA!Q47,BLCMCA!Q47,BCANCA!Q47,ATBRCA!Q47,CCDQCA!Q47,CIBCCA!Q47,NOSCCA!Q47,TDOMCA!Q47,ROYCCA!Q47)</f>
        <v>0</v>
      </c>
    </row>
    <row r="46" spans="1:17" ht="15.5" thickTop="1" thickBot="1" x14ac:dyDescent="0.4">
      <c r="A46" s="7" t="str">
        <f>SBOSCA!A48</f>
        <v>2023Q1</v>
      </c>
      <c r="B46" s="6">
        <f>SUM(SBOSCA!B48,MCBTCA!B48,ICICCA!B48,HKBCCA!B48,CUCXCA!B48,BOFMCA!B48,BOFACA!B48,BNPACA!B48,BNDCCA!B48,BLCMCA!B48,BCANCA!B48,ATBRCA!B48,CCDQCA!B48,CIBCCA!B48,NOSCCA!B48,TDOMCA!B48,ROYCCA!B48)</f>
        <v>0</v>
      </c>
      <c r="C46" s="9">
        <f>SUM(SBOSCA!C48,MCBTCA!C48,ICICCA!C48,HKBCCA!C48,CUCXCA!C48,BOFMCA!C48,BOFACA!C48,BNPACA!C48,BNDCCA!C48,BLCMCA!C48,BCANCA!C48,ATBRCA!C48,CCDQCA!C48,CIBCCA!C48,NOSCCA!C48,TDOMCA!C48,ROYCCA!C48)</f>
        <v>4288.3040000000001</v>
      </c>
      <c r="D46" s="6">
        <f>SUM(SBOSCA!D48,MCBTCA!D48,ICICCA!D48,HKBCCA!D48,CUCXCA!D48,BOFMCA!D48,BOFACA!D48,BNPACA!D48,BNDCCA!D48,BLCMCA!D48,BCANCA!D48,ATBRCA!D48,CCDQCA!D48,CIBCCA!D48,NOSCCA!D48,TDOMCA!D48,ROYCCA!D48)</f>
        <v>0</v>
      </c>
      <c r="E46" s="6">
        <f>SUM(SBOSCA!E48,MCBTCA!E48,ICICCA!E48,HKBCCA!E48,CUCXCA!E48,BOFMCA!E48,BOFACA!E48,BNPACA!E48,BNDCCA!E48,BLCMCA!E48,BCANCA!E48,ATBRCA!E48,CCDQCA!E48,CIBCCA!E48,NOSCCA!E48,TDOMCA!E48,ROYCCA!E48)</f>
        <v>0</v>
      </c>
      <c r="F46" s="9">
        <f>SUM(SBOSCA!F48,MCBTCA!F48,ICICCA!F48,HKBCCA!F48,CUCXCA!F48,BOFMCA!F48,BOFACA!F48,BNPACA!F48,BNDCCA!F48,BLCMCA!F48,BCANCA!F48,ATBRCA!F48,CCDQCA!F48,CIBCCA!F48,NOSCCA!F48,TDOMCA!F48,ROYCCA!F48)</f>
        <v>5.976</v>
      </c>
      <c r="G46" s="6">
        <f>SUM(SBOSCA!G48,MCBTCA!G48,ICICCA!G48,HKBCCA!G48,CUCXCA!G48,BOFMCA!G48,BOFACA!G48,BNPACA!G48,BNDCCA!G48,BLCMCA!G48,BCANCA!G48,ATBRCA!G48,CCDQCA!G48,CIBCCA!G48,NOSCCA!G48,TDOMCA!G48,ROYCCA!G48)</f>
        <v>0</v>
      </c>
      <c r="K46" s="7" t="str">
        <f>SBOSCA!K48</f>
        <v>2023Q1</v>
      </c>
      <c r="L46" s="6">
        <f>SUM(SBOSCA!L48,MCBTCA!L48,ICICCA!L48,HKBCCA!L48,CUCXCA!L48,BOFMCA!L48,BOFACA!L48,BNPACA!L48,BNDCCA!L48,BLCMCA!L48,BCANCA!L48,ATBRCA!L48,CCDQCA!L48,CIBCCA!L48,NOSCCA!L48,TDOMCA!L48,ROYCCA!L48)</f>
        <v>0</v>
      </c>
      <c r="M46" s="9">
        <f>SUM(SBOSCA!M48,MCBTCA!M48,ICICCA!M48,HKBCCA!M48,CUCXCA!M48,BOFMCA!M48,BOFACA!M48,BNPACA!M48,BNDCCA!M48,BLCMCA!M48,BCANCA!M48,ATBRCA!M48,CCDQCA!M48,CIBCCA!M48,NOSCCA!M48,TDOMCA!M48,ROYCCA!M48)</f>
        <v>4198.8849999999993</v>
      </c>
      <c r="N46" s="6">
        <f>SUM(SBOSCA!N48,MCBTCA!N48,ICICCA!N48,HKBCCA!N48,CUCXCA!N48,BOFMCA!N48,BOFACA!N48,BNPACA!N48,BNDCCA!N48,BLCMCA!N48,BCANCA!N48,ATBRCA!N48,CCDQCA!N48,CIBCCA!N48,NOSCCA!N48,TDOMCA!N48,ROYCCA!N48)</f>
        <v>0</v>
      </c>
      <c r="O46" s="6">
        <f>SUM(SBOSCA!O48,MCBTCA!O48,ICICCA!O48,HKBCCA!O48,CUCXCA!O48,BOFMCA!O48,BOFACA!O48,BNPACA!O48,BNDCCA!O48,BLCMCA!O48,BCANCA!O48,ATBRCA!O48,CCDQCA!O48,CIBCCA!O48,NOSCCA!O48,TDOMCA!O48,ROYCCA!O48)</f>
        <v>0</v>
      </c>
      <c r="P46" s="9">
        <f>SUM(SBOSCA!P48,MCBTCA!P48,ICICCA!P48,HKBCCA!P48,CUCXCA!P48,BOFMCA!P48,BOFACA!P48,BNPACA!P48,BNDCCA!P48,BLCMCA!P48,BCANCA!P48,ATBRCA!P48,CCDQCA!P48,CIBCCA!P48,NOSCCA!P48,TDOMCA!P48,ROYCCA!P48)</f>
        <v>5.867</v>
      </c>
      <c r="Q46" s="6">
        <f>SUM(SBOSCA!Q48,MCBTCA!Q48,ICICCA!Q48,HKBCCA!Q48,CUCXCA!Q48,BOFMCA!Q48,BOFACA!Q48,BNPACA!Q48,BNDCCA!Q48,BLCMCA!Q48,BCANCA!Q48,ATBRCA!Q48,CCDQCA!Q48,CIBCCA!Q48,NOSCCA!Q48,TDOMCA!Q48,ROYCCA!Q48)</f>
        <v>0</v>
      </c>
    </row>
    <row r="47" spans="1:17" ht="15.5" thickTop="1" thickBot="1" x14ac:dyDescent="0.4">
      <c r="A47" s="7" t="str">
        <f>SBOSCA!A49</f>
        <v>2023Q2</v>
      </c>
      <c r="B47" s="6">
        <f>SUM(SBOSCA!B49,MCBTCA!B49,ICICCA!B49,HKBCCA!B49,CUCXCA!B49,BOFMCA!B49,BOFACA!B49,BNPACA!B49,BNDCCA!B49,BLCMCA!B49,BCANCA!B49,ATBRCA!B49,CCDQCA!B49,CIBCCA!B49,NOSCCA!B49,TDOMCA!B49,ROYCCA!B49)</f>
        <v>0</v>
      </c>
      <c r="C47" s="9">
        <f>SUM(SBOSCA!C49,MCBTCA!C49,ICICCA!C49,HKBCCA!C49,CUCXCA!C49,BOFMCA!C49,BOFACA!C49,BNPACA!C49,BNDCCA!C49,BLCMCA!C49,BCANCA!C49,ATBRCA!C49,CCDQCA!C49,CIBCCA!C49,NOSCCA!C49,TDOMCA!C49,ROYCCA!C49)</f>
        <v>4545.5389999999998</v>
      </c>
      <c r="D47" s="6">
        <f>SUM(SBOSCA!D49,MCBTCA!D49,ICICCA!D49,HKBCCA!D49,CUCXCA!D49,BOFMCA!D49,BOFACA!D49,BNPACA!D49,BNDCCA!D49,BLCMCA!D49,BCANCA!D49,ATBRCA!D49,CCDQCA!D49,CIBCCA!D49,NOSCCA!D49,TDOMCA!D49,ROYCCA!D49)</f>
        <v>0</v>
      </c>
      <c r="E47" s="6">
        <f>SUM(SBOSCA!E49,MCBTCA!E49,ICICCA!E49,HKBCCA!E49,CUCXCA!E49,BOFMCA!E49,BOFACA!E49,BNPACA!E49,BNDCCA!E49,BLCMCA!E49,BCANCA!E49,ATBRCA!E49,CCDQCA!E49,CIBCCA!E49,NOSCCA!E49,TDOMCA!E49,ROYCCA!E49)</f>
        <v>0</v>
      </c>
      <c r="F47" s="9">
        <f>SUM(SBOSCA!F49,MCBTCA!F49,ICICCA!F49,HKBCCA!F49,CUCXCA!F49,BOFMCA!F49,BOFACA!F49,BNPACA!F49,BNDCCA!F49,BLCMCA!F49,BCANCA!F49,ATBRCA!F49,CCDQCA!F49,CIBCCA!F49,NOSCCA!F49,TDOMCA!F49,ROYCCA!F49)</f>
        <v>6.145999999999999</v>
      </c>
      <c r="G47" s="6">
        <f>SUM(SBOSCA!G49,MCBTCA!G49,ICICCA!G49,HKBCCA!G49,CUCXCA!G49,BOFMCA!G49,BOFACA!G49,BNPACA!G49,BNDCCA!G49,BLCMCA!G49,BCANCA!G49,ATBRCA!G49,CCDQCA!G49,CIBCCA!G49,NOSCCA!G49,TDOMCA!G49,ROYCCA!G49)</f>
        <v>0</v>
      </c>
      <c r="K47" s="7" t="str">
        <f>SBOSCA!K49</f>
        <v>2023Q2</v>
      </c>
      <c r="L47" s="6">
        <f>SUM(SBOSCA!L49,MCBTCA!L49,ICICCA!L49,HKBCCA!L49,CUCXCA!L49,BOFMCA!L49,BOFACA!L49,BNPACA!L49,BNDCCA!L49,BLCMCA!L49,BCANCA!L49,ATBRCA!L49,CCDQCA!L49,CIBCCA!L49,NOSCCA!L49,TDOMCA!L49,ROYCCA!L49)</f>
        <v>0</v>
      </c>
      <c r="M47" s="9">
        <f>SUM(SBOSCA!M49,MCBTCA!M49,ICICCA!M49,HKBCCA!M49,CUCXCA!M49,BOFMCA!M49,BOFACA!M49,BNPACA!M49,BNDCCA!M49,BLCMCA!M49,BCANCA!M49,ATBRCA!M49,CCDQCA!M49,CIBCCA!M49,NOSCCA!M49,TDOMCA!M49,ROYCCA!M49)</f>
        <v>4453.7430000000004</v>
      </c>
      <c r="N47" s="6">
        <f>SUM(SBOSCA!N49,MCBTCA!N49,ICICCA!N49,HKBCCA!N49,CUCXCA!N49,BOFMCA!N49,BOFACA!N49,BNPACA!N49,BNDCCA!N49,BLCMCA!N49,BCANCA!N49,ATBRCA!N49,CCDQCA!N49,CIBCCA!N49,NOSCCA!N49,TDOMCA!N49,ROYCCA!N49)</f>
        <v>0</v>
      </c>
      <c r="O47" s="6">
        <f>SUM(SBOSCA!O49,MCBTCA!O49,ICICCA!O49,HKBCCA!O49,CUCXCA!O49,BOFMCA!O49,BOFACA!O49,BNPACA!O49,BNDCCA!O49,BLCMCA!O49,BCANCA!O49,ATBRCA!O49,CCDQCA!O49,CIBCCA!O49,NOSCCA!O49,TDOMCA!O49,ROYCCA!O49)</f>
        <v>0</v>
      </c>
      <c r="P47" s="9">
        <f>SUM(SBOSCA!P49,MCBTCA!P49,ICICCA!P49,HKBCCA!P49,CUCXCA!P49,BOFMCA!P49,BOFACA!P49,BNPACA!P49,BNDCCA!P49,BLCMCA!P49,BCANCA!P49,ATBRCA!P49,CCDQCA!P49,CIBCCA!P49,NOSCCA!P49,TDOMCA!P49,ROYCCA!P49)</f>
        <v>6.0280000000000005</v>
      </c>
      <c r="Q47" s="6">
        <f>SUM(SBOSCA!Q49,MCBTCA!Q49,ICICCA!Q49,HKBCCA!Q49,CUCXCA!Q49,BOFMCA!Q49,BOFACA!Q49,BNPACA!Q49,BNDCCA!Q49,BLCMCA!Q49,BCANCA!Q49,ATBRCA!Q49,CCDQCA!Q49,CIBCCA!Q49,NOSCCA!Q49,TDOMCA!Q49,ROYCCA!Q49)</f>
        <v>0</v>
      </c>
    </row>
    <row r="48" spans="1:17" ht="15.5" thickTop="1" thickBot="1" x14ac:dyDescent="0.4">
      <c r="A48" s="7" t="str">
        <f>SBOSCA!A50</f>
        <v>2023Q3</v>
      </c>
      <c r="B48" s="6">
        <f>SUM(SBOSCA!B50,MCBTCA!B50,ICICCA!B50,HKBCCA!B50,CUCXCA!B50,BOFMCA!B50,BOFACA!B50,BNPACA!B50,BNDCCA!B50,BLCMCA!B50,BCANCA!B50,ATBRCA!B50,CCDQCA!B50,CIBCCA!B50,NOSCCA!B50,TDOMCA!B50,ROYCCA!B50)</f>
        <v>0</v>
      </c>
      <c r="C48" s="9">
        <f>SUM(SBOSCA!C50,MCBTCA!C50,ICICCA!C50,HKBCCA!C50,CUCXCA!C50,BOFMCA!C50,BOFACA!C50,BNPACA!C50,BNDCCA!C50,BLCMCA!C50,BCANCA!C50,ATBRCA!C50,CCDQCA!C50,CIBCCA!C50,NOSCCA!C50,TDOMCA!C50,ROYCCA!C50)</f>
        <v>4535.0490000000009</v>
      </c>
      <c r="D48" s="6">
        <f>SUM(SBOSCA!D50,MCBTCA!D50,ICICCA!D50,HKBCCA!D50,CUCXCA!D50,BOFMCA!D50,BOFACA!D50,BNPACA!D50,BNDCCA!D50,BLCMCA!D50,BCANCA!D50,ATBRCA!D50,CCDQCA!D50,CIBCCA!D50,NOSCCA!D50,TDOMCA!D50,ROYCCA!D50)</f>
        <v>0</v>
      </c>
      <c r="E48" s="6">
        <f>SUM(SBOSCA!E50,MCBTCA!E50,ICICCA!E50,HKBCCA!E50,CUCXCA!E50,BOFMCA!E50,BOFACA!E50,BNPACA!E50,BNDCCA!E50,BLCMCA!E50,BCANCA!E50,ATBRCA!E50,CCDQCA!E50,CIBCCA!E50,NOSCCA!E50,TDOMCA!E50,ROYCCA!E50)</f>
        <v>0</v>
      </c>
      <c r="F48" s="9">
        <f>SUM(SBOSCA!F50,MCBTCA!F50,ICICCA!F50,HKBCCA!F50,CUCXCA!F50,BOFMCA!F50,BOFACA!F50,BNPACA!F50,BNDCCA!F50,BLCMCA!F50,BCANCA!F50,ATBRCA!F50,CCDQCA!F50,CIBCCA!F50,NOSCCA!F50,TDOMCA!F50,ROYCCA!F50)</f>
        <v>6.1479999999999997</v>
      </c>
      <c r="G48" s="6">
        <f>SUM(SBOSCA!G50,MCBTCA!G50,ICICCA!G50,HKBCCA!G50,CUCXCA!G50,BOFMCA!G50,BOFACA!G50,BNPACA!G50,BNDCCA!G50,BLCMCA!G50,BCANCA!G50,ATBRCA!G50,CCDQCA!G50,CIBCCA!G50,NOSCCA!G50,TDOMCA!G50,ROYCCA!G50)</f>
        <v>0</v>
      </c>
      <c r="K48" s="7" t="str">
        <f>SBOSCA!K50</f>
        <v>2023Q3</v>
      </c>
      <c r="L48" s="6">
        <f>SUM(SBOSCA!L50,MCBTCA!L50,ICICCA!L50,HKBCCA!L50,CUCXCA!L50,BOFMCA!L50,BOFACA!L50,BNPACA!L50,BNDCCA!L50,BLCMCA!L50,BCANCA!L50,ATBRCA!L50,CCDQCA!L50,CIBCCA!L50,NOSCCA!L50,TDOMCA!L50,ROYCCA!L50)</f>
        <v>0</v>
      </c>
      <c r="M48" s="9">
        <f>SUM(SBOSCA!M50,MCBTCA!M50,ICICCA!M50,HKBCCA!M50,CUCXCA!M50,BOFMCA!M50,BOFACA!M50,BNPACA!M50,BNDCCA!M50,BLCMCA!M50,BCANCA!M50,ATBRCA!M50,CCDQCA!M50,CIBCCA!M50,NOSCCA!M50,TDOMCA!M50,ROYCCA!M50)</f>
        <v>4441.2529999999997</v>
      </c>
      <c r="N48" s="6">
        <f>SUM(SBOSCA!N50,MCBTCA!N50,ICICCA!N50,HKBCCA!N50,CUCXCA!N50,BOFMCA!N50,BOFACA!N50,BNPACA!N50,BNDCCA!N50,BLCMCA!N50,BCANCA!N50,ATBRCA!N50,CCDQCA!N50,CIBCCA!N50,NOSCCA!N50,TDOMCA!N50,ROYCCA!N50)</f>
        <v>0</v>
      </c>
      <c r="O48" s="6">
        <f>SUM(SBOSCA!O50,MCBTCA!O50,ICICCA!O50,HKBCCA!O50,CUCXCA!O50,BOFMCA!O50,BOFACA!O50,BNPACA!O50,BNDCCA!O50,BLCMCA!O50,BCANCA!O50,ATBRCA!O50,CCDQCA!O50,CIBCCA!O50,NOSCCA!O50,TDOMCA!O50,ROYCCA!O50)</f>
        <v>0</v>
      </c>
      <c r="P48" s="9">
        <f>SUM(SBOSCA!P50,MCBTCA!P50,ICICCA!P50,HKBCCA!P50,CUCXCA!P50,BOFMCA!P50,BOFACA!P50,BNPACA!P50,BNDCCA!P50,BLCMCA!P50,BCANCA!P50,ATBRCA!P50,CCDQCA!P50,CIBCCA!P50,NOSCCA!P50,TDOMCA!P50,ROYCCA!P50)</f>
        <v>6.0209999999999999</v>
      </c>
      <c r="Q48" s="6">
        <f>SUM(SBOSCA!Q50,MCBTCA!Q50,ICICCA!Q50,HKBCCA!Q50,CUCXCA!Q50,BOFMCA!Q50,BOFACA!Q50,BNPACA!Q50,BNDCCA!Q50,BLCMCA!Q50,BCANCA!Q50,ATBRCA!Q50,CCDQCA!Q50,CIBCCA!Q50,NOSCCA!Q50,TDOMCA!Q50,ROYCCA!Q50)</f>
        <v>0</v>
      </c>
    </row>
    <row r="49" spans="1:17" ht="15.5" thickTop="1" thickBot="1" x14ac:dyDescent="0.4">
      <c r="A49" s="7" t="str">
        <f>SBOSCA!A51</f>
        <v>2023Q4</v>
      </c>
      <c r="B49" s="6">
        <f>SUM(SBOSCA!B51,MCBTCA!B51,ICICCA!B51,HKBCCA!B51,CUCXCA!B51,BOFMCA!B51,BOFACA!B51,BNPACA!B51,BNDCCA!B51,BLCMCA!B51,BCANCA!B51,ATBRCA!B51,CCDQCA!B51,CIBCCA!B51,NOSCCA!B51,TDOMCA!B51,ROYCCA!B51)</f>
        <v>0</v>
      </c>
      <c r="C49" s="9">
        <f>SUM(SBOSCA!C51,MCBTCA!C51,ICICCA!C51,HKBCCA!C51,CUCXCA!C51,BOFMCA!C51,BOFACA!C51,BNPACA!C51,BNDCCA!C51,BLCMCA!C51,BCANCA!C51,ATBRCA!C51,CCDQCA!C51,CIBCCA!C51,NOSCCA!C51,TDOMCA!C51,ROYCCA!C51)</f>
        <v>4595.1049999999996</v>
      </c>
      <c r="D49" s="6">
        <f>SUM(SBOSCA!D51,MCBTCA!D51,ICICCA!D51,HKBCCA!D51,CUCXCA!D51,BOFMCA!D51,BOFACA!D51,BNPACA!D51,BNDCCA!D51,BLCMCA!D51,BCANCA!D51,ATBRCA!D51,CCDQCA!D51,CIBCCA!D51,NOSCCA!D51,TDOMCA!D51,ROYCCA!D51)</f>
        <v>0</v>
      </c>
      <c r="E49" s="6">
        <f>SUM(SBOSCA!E51,MCBTCA!E51,ICICCA!E51,HKBCCA!E51,CUCXCA!E51,BOFMCA!E51,BOFACA!E51,BNPACA!E51,BNDCCA!E51,BLCMCA!E51,BCANCA!E51,ATBRCA!E51,CCDQCA!E51,CIBCCA!E51,NOSCCA!E51,TDOMCA!E51,ROYCCA!E51)</f>
        <v>0</v>
      </c>
      <c r="F49" s="9">
        <f>SUM(SBOSCA!F51,MCBTCA!F51,ICICCA!F51,HKBCCA!F51,CUCXCA!F51,BOFMCA!F51,BOFACA!F51,BNPACA!F51,BNDCCA!F51,BLCMCA!F51,BCANCA!F51,ATBRCA!F51,CCDQCA!F51,CIBCCA!F51,NOSCCA!F51,TDOMCA!F51,ROYCCA!F51)</f>
        <v>6.1990000000000007</v>
      </c>
      <c r="G49" s="6">
        <f>SUM(SBOSCA!G51,MCBTCA!G51,ICICCA!G51,HKBCCA!G51,CUCXCA!G51,BOFMCA!G51,BOFACA!G51,BNPACA!G51,BNDCCA!G51,BLCMCA!G51,BCANCA!G51,ATBRCA!G51,CCDQCA!G51,CIBCCA!G51,NOSCCA!G51,TDOMCA!G51,ROYCCA!G51)</f>
        <v>0</v>
      </c>
      <c r="K49" s="7" t="str">
        <f>SBOSCA!K51</f>
        <v>2023Q4</v>
      </c>
      <c r="L49" s="6">
        <f>SUM(SBOSCA!L51,MCBTCA!L51,ICICCA!L51,HKBCCA!L51,CUCXCA!L51,BOFMCA!L51,BOFACA!L51,BNPACA!L51,BNDCCA!L51,BLCMCA!L51,BCANCA!L51,ATBRCA!L51,CCDQCA!L51,CIBCCA!L51,NOSCCA!L51,TDOMCA!L51,ROYCCA!L51)</f>
        <v>0</v>
      </c>
      <c r="M49" s="9">
        <f>SUM(SBOSCA!M51,MCBTCA!M51,ICICCA!M51,HKBCCA!M51,CUCXCA!M51,BOFMCA!M51,BOFACA!M51,BNPACA!M51,BNDCCA!M51,BLCMCA!M51,BCANCA!M51,ATBRCA!M51,CCDQCA!M51,CIBCCA!M51,NOSCCA!M51,TDOMCA!M51,ROYCCA!M51)</f>
        <v>4499.5889999999999</v>
      </c>
      <c r="N49" s="6">
        <f>SUM(SBOSCA!N51,MCBTCA!N51,ICICCA!N51,HKBCCA!N51,CUCXCA!N51,BOFMCA!N51,BOFACA!N51,BNPACA!N51,BNDCCA!N51,BLCMCA!N51,BCANCA!N51,ATBRCA!N51,CCDQCA!N51,CIBCCA!N51,NOSCCA!N51,TDOMCA!N51,ROYCCA!N51)</f>
        <v>0</v>
      </c>
      <c r="O49" s="6">
        <f>SUM(SBOSCA!O51,MCBTCA!O51,ICICCA!O51,HKBCCA!O51,CUCXCA!O51,BOFMCA!O51,BOFACA!O51,BNPACA!O51,BNDCCA!O51,BLCMCA!O51,BCANCA!O51,ATBRCA!O51,CCDQCA!O51,CIBCCA!O51,NOSCCA!O51,TDOMCA!O51,ROYCCA!O51)</f>
        <v>0</v>
      </c>
      <c r="P49" s="9">
        <f>SUM(SBOSCA!P51,MCBTCA!P51,ICICCA!P51,HKBCCA!P51,CUCXCA!P51,BOFMCA!P51,BOFACA!P51,BNPACA!P51,BNDCCA!P51,BLCMCA!P51,BCANCA!P51,ATBRCA!P51,CCDQCA!P51,CIBCCA!P51,NOSCCA!P51,TDOMCA!P51,ROYCCA!P51)</f>
        <v>6.0640000000000001</v>
      </c>
      <c r="Q49" s="6">
        <f>SUM(SBOSCA!Q51,MCBTCA!Q51,ICICCA!Q51,HKBCCA!Q51,CUCXCA!Q51,BOFMCA!Q51,BOFACA!Q51,BNPACA!Q51,BNDCCA!Q51,BLCMCA!Q51,BCANCA!Q51,ATBRCA!Q51,CCDQCA!Q51,CIBCCA!Q51,NOSCCA!Q51,TDOMCA!Q51,ROYCCA!Q51)</f>
        <v>0</v>
      </c>
    </row>
    <row r="50" spans="1:17" ht="15.5" thickTop="1" thickBot="1" x14ac:dyDescent="0.4">
      <c r="A50" s="7" t="str">
        <f>SBOSCA!A52</f>
        <v>2024Q1</v>
      </c>
      <c r="B50" s="6">
        <f>SUM(SBOSCA!B52,MCBTCA!B52,ICICCA!B52,HKBCCA!B52,CUCXCA!B52,BOFMCA!B52,BOFACA!B52,BNPACA!B52,BNDCCA!B52,BLCMCA!B52,BCANCA!B52,ATBRCA!B52,CCDQCA!B52,CIBCCA!B52,NOSCCA!B52,TDOMCA!B52,ROYCCA!B52)</f>
        <v>0</v>
      </c>
      <c r="C50" s="9">
        <f>SUM(SBOSCA!C52,MCBTCA!C52,ICICCA!C52,HKBCCA!C52,CUCXCA!C52,BOFMCA!C52,BOFACA!C52,BNPACA!C52,BNDCCA!C52,BLCMCA!C52,BCANCA!C52,ATBRCA!C52,CCDQCA!C52,CIBCCA!C52,NOSCCA!C52,TDOMCA!C52,ROYCCA!C52)</f>
        <v>4384.2999999999993</v>
      </c>
      <c r="D50" s="6">
        <f>SUM(SBOSCA!D52,MCBTCA!D52,ICICCA!D52,HKBCCA!D52,CUCXCA!D52,BOFMCA!D52,BOFACA!D52,BNPACA!D52,BNDCCA!D52,BLCMCA!D52,BCANCA!D52,ATBRCA!D52,CCDQCA!D52,CIBCCA!D52,NOSCCA!D52,TDOMCA!D52,ROYCCA!D52)</f>
        <v>0</v>
      </c>
      <c r="E50" s="6">
        <f>SUM(SBOSCA!E52,MCBTCA!E52,ICICCA!E52,HKBCCA!E52,CUCXCA!E52,BOFMCA!E52,BOFACA!E52,BNPACA!E52,BNDCCA!E52,BLCMCA!E52,BCANCA!E52,ATBRCA!E52,CCDQCA!E52,CIBCCA!E52,NOSCCA!E52,TDOMCA!E52,ROYCCA!E52)</f>
        <v>0</v>
      </c>
      <c r="F50" s="9">
        <f>SUM(SBOSCA!F52,MCBTCA!F52,ICICCA!F52,HKBCCA!F52,CUCXCA!F52,BOFMCA!F52,BOFACA!F52,BNPACA!F52,BNDCCA!F52,BLCMCA!F52,BCANCA!F52,ATBRCA!F52,CCDQCA!F52,CIBCCA!F52,NOSCCA!F52,TDOMCA!F52,ROYCCA!F52)</f>
        <v>6.1479999999999997</v>
      </c>
      <c r="G50" s="6">
        <f>SUM(SBOSCA!G52,MCBTCA!G52,ICICCA!G52,HKBCCA!G52,CUCXCA!G52,BOFMCA!G52,BOFACA!G52,BNPACA!G52,BNDCCA!G52,BLCMCA!G52,BCANCA!G52,ATBRCA!G52,CCDQCA!G52,CIBCCA!G52,NOSCCA!G52,TDOMCA!G52,ROYCCA!G52)</f>
        <v>0</v>
      </c>
      <c r="K50" s="7" t="str">
        <f>SBOSCA!K52</f>
        <v>2024Q1</v>
      </c>
      <c r="L50" s="6">
        <f>SUM(SBOSCA!L52,MCBTCA!L52,ICICCA!L52,HKBCCA!L52,CUCXCA!L52,BOFMCA!L52,BOFACA!L52,BNPACA!L52,BNDCCA!L52,BLCMCA!L52,BCANCA!L52,ATBRCA!L52,CCDQCA!L52,CIBCCA!L52,NOSCCA!L52,TDOMCA!L52,ROYCCA!L52)</f>
        <v>0</v>
      </c>
      <c r="M50" s="9">
        <f>SUM(SBOSCA!M52,MCBTCA!M52,ICICCA!M52,HKBCCA!M52,CUCXCA!M52,BOFMCA!M52,BOFACA!M52,BNPACA!M52,BNDCCA!M52,BLCMCA!M52,BCANCA!M52,ATBRCA!M52,CCDQCA!M52,CIBCCA!M52,NOSCCA!M52,TDOMCA!M52,ROYCCA!M52)</f>
        <v>4287.2849999999999</v>
      </c>
      <c r="N50" s="6">
        <f>SUM(SBOSCA!N52,MCBTCA!N52,ICICCA!N52,HKBCCA!N52,CUCXCA!N52,BOFMCA!N52,BOFACA!N52,BNPACA!N52,BNDCCA!N52,BLCMCA!N52,BCANCA!N52,ATBRCA!N52,CCDQCA!N52,CIBCCA!N52,NOSCCA!N52,TDOMCA!N52,ROYCCA!N52)</f>
        <v>0</v>
      </c>
      <c r="O50" s="6">
        <f>SUM(SBOSCA!O52,MCBTCA!O52,ICICCA!O52,HKBCCA!O52,CUCXCA!O52,BOFMCA!O52,BOFACA!O52,BNPACA!O52,BNDCCA!O52,BLCMCA!O52,BCANCA!O52,ATBRCA!O52,CCDQCA!O52,CIBCCA!O52,NOSCCA!O52,TDOMCA!O52,ROYCCA!O52)</f>
        <v>0</v>
      </c>
      <c r="P50" s="9">
        <f>SUM(SBOSCA!P52,MCBTCA!P52,ICICCA!P52,HKBCCA!P52,CUCXCA!P52,BOFMCA!P52,BOFACA!P52,BNPACA!P52,BNDCCA!P52,BLCMCA!P52,BCANCA!P52,ATBRCA!P52,CCDQCA!P52,CIBCCA!P52,NOSCCA!P52,TDOMCA!P52,ROYCCA!P52)</f>
        <v>6.0060000000000002</v>
      </c>
      <c r="Q50" s="6">
        <f>SUM(SBOSCA!Q52,MCBTCA!Q52,ICICCA!Q52,HKBCCA!Q52,CUCXCA!Q52,BOFMCA!Q52,BOFACA!Q52,BNPACA!Q52,BNDCCA!Q52,BLCMCA!Q52,BCANCA!Q52,ATBRCA!Q52,CCDQCA!Q52,CIBCCA!Q52,NOSCCA!Q52,TDOMCA!Q52,ROYCCA!Q52)</f>
        <v>0</v>
      </c>
    </row>
    <row r="51" spans="1:17" ht="15.5" thickTop="1" thickBot="1" x14ac:dyDescent="0.4">
      <c r="A51" s="7" t="str">
        <f>SBOSCA!A53</f>
        <v>2024Q2</v>
      </c>
      <c r="B51" s="6">
        <f>SUM(SBOSCA!B53,MCBTCA!B53,ICICCA!B53,HKBCCA!B53,CUCXCA!B53,BOFMCA!B53,BOFACA!B53,BNPACA!B53,BNDCCA!B53,BLCMCA!B53,BCANCA!B53,ATBRCA!B53,CCDQCA!B53,CIBCCA!B53,NOSCCA!B53,TDOMCA!B53,ROYCCA!B53)</f>
        <v>0</v>
      </c>
      <c r="C51" s="9">
        <f>SUM(SBOSCA!C53,MCBTCA!C53,ICICCA!C53,HKBCCA!C53,CUCXCA!C53,BOFMCA!C53,BOFACA!C53,BNPACA!C53,BNDCCA!C53,BLCMCA!C53,BCANCA!C53,ATBRCA!C53,CCDQCA!C53,CIBCCA!C53,NOSCCA!C53,TDOMCA!C53,ROYCCA!C53)</f>
        <v>4642.12</v>
      </c>
      <c r="D51" s="6">
        <f>SUM(SBOSCA!D53,MCBTCA!D53,ICICCA!D53,HKBCCA!D53,CUCXCA!D53,BOFMCA!D53,BOFACA!D53,BNPACA!D53,BNDCCA!D53,BLCMCA!D53,BCANCA!D53,ATBRCA!D53,CCDQCA!D53,CIBCCA!D53,NOSCCA!D53,TDOMCA!D53,ROYCCA!D53)</f>
        <v>0</v>
      </c>
      <c r="E51" s="6">
        <f>SUM(SBOSCA!E53,MCBTCA!E53,ICICCA!E53,HKBCCA!E53,CUCXCA!E53,BOFMCA!E53,BOFACA!E53,BNPACA!E53,BNDCCA!E53,BLCMCA!E53,BCANCA!E53,ATBRCA!E53,CCDQCA!E53,CIBCCA!E53,NOSCCA!E53,TDOMCA!E53,ROYCCA!E53)</f>
        <v>0</v>
      </c>
      <c r="F51" s="9">
        <f>SUM(SBOSCA!F53,MCBTCA!F53,ICICCA!F53,HKBCCA!F53,CUCXCA!F53,BOFMCA!F53,BOFACA!F53,BNPACA!F53,BNDCCA!F53,BLCMCA!F53,BCANCA!F53,ATBRCA!F53,CCDQCA!F53,CIBCCA!F53,NOSCCA!F53,TDOMCA!F53,ROYCCA!F53)</f>
        <v>6.32</v>
      </c>
      <c r="G51" s="6">
        <f>SUM(SBOSCA!G53,MCBTCA!G53,ICICCA!G53,HKBCCA!G53,CUCXCA!G53,BOFMCA!G53,BOFACA!G53,BNPACA!G53,BNDCCA!G53,BLCMCA!G53,BCANCA!G53,ATBRCA!G53,CCDQCA!G53,CIBCCA!G53,NOSCCA!G53,TDOMCA!G53,ROYCCA!G53)</f>
        <v>0</v>
      </c>
      <c r="K51" s="7" t="str">
        <f>SBOSCA!K53</f>
        <v>2024Q2</v>
      </c>
      <c r="L51" s="6">
        <f>SUM(SBOSCA!L53,MCBTCA!L53,ICICCA!L53,HKBCCA!L53,CUCXCA!L53,BOFMCA!L53,BOFACA!L53,BNPACA!L53,BNDCCA!L53,BLCMCA!L53,BCANCA!L53,ATBRCA!L53,CCDQCA!L53,CIBCCA!L53,NOSCCA!L53,TDOMCA!L53,ROYCCA!L53)</f>
        <v>0</v>
      </c>
      <c r="M51" s="9">
        <f>SUM(SBOSCA!M53,MCBTCA!M53,ICICCA!M53,HKBCCA!M53,CUCXCA!M53,BOFMCA!M53,BOFACA!M53,BNPACA!M53,BNDCCA!M53,BLCMCA!M53,BCANCA!M53,ATBRCA!M53,CCDQCA!M53,CIBCCA!M53,NOSCCA!M53,TDOMCA!M53,ROYCCA!M53)</f>
        <v>4543.7809999999999</v>
      </c>
      <c r="N51" s="6">
        <f>SUM(SBOSCA!N53,MCBTCA!N53,ICICCA!N53,HKBCCA!N53,CUCXCA!N53,BOFMCA!N53,BOFACA!N53,BNPACA!N53,BNDCCA!N53,BLCMCA!N53,BCANCA!N53,ATBRCA!N53,CCDQCA!N53,CIBCCA!N53,NOSCCA!N53,TDOMCA!N53,ROYCCA!N53)</f>
        <v>0</v>
      </c>
      <c r="O51" s="6">
        <f>SUM(SBOSCA!O53,MCBTCA!O53,ICICCA!O53,HKBCCA!O53,CUCXCA!O53,BOFMCA!O53,BOFACA!O53,BNPACA!O53,BNDCCA!O53,BLCMCA!O53,BCANCA!O53,ATBRCA!O53,CCDQCA!O53,CIBCCA!O53,NOSCCA!O53,TDOMCA!O53,ROYCCA!O53)</f>
        <v>0</v>
      </c>
      <c r="P51" s="9">
        <f>SUM(SBOSCA!P53,MCBTCA!P53,ICICCA!P53,HKBCCA!P53,CUCXCA!P53,BOFMCA!P53,BOFACA!P53,BNPACA!P53,BNDCCA!P53,BLCMCA!P53,BCANCA!P53,ATBRCA!P53,CCDQCA!P53,CIBCCA!P53,NOSCCA!P53,TDOMCA!P53,ROYCCA!P53)</f>
        <v>6.1750000000000007</v>
      </c>
      <c r="Q51" s="6">
        <f>SUM(SBOSCA!Q53,MCBTCA!Q53,ICICCA!Q53,HKBCCA!Q53,CUCXCA!Q53,BOFMCA!Q53,BOFACA!Q53,BNPACA!Q53,BNDCCA!Q53,BLCMCA!Q53,BCANCA!Q53,ATBRCA!Q53,CCDQCA!Q53,CIBCCA!Q53,NOSCCA!Q53,TDOMCA!Q53,ROYCCA!Q53)</f>
        <v>0</v>
      </c>
    </row>
    <row r="52" spans="1:17" ht="15.5" thickTop="1" thickBot="1" x14ac:dyDescent="0.4">
      <c r="A52" s="7" t="str">
        <f>SBOSCA!A54</f>
        <v>2024Q3</v>
      </c>
      <c r="B52" s="6">
        <f>SUM(SBOSCA!B54,MCBTCA!B54,ICICCA!B54,HKBCCA!B54,CUCXCA!B54,BOFMCA!B54,BOFACA!B54,BNPACA!B54,BNDCCA!B54,BLCMCA!B54,BCANCA!B54,ATBRCA!B54,CCDQCA!B54,CIBCCA!B54,NOSCCA!B54,TDOMCA!B54,ROYCCA!B54)</f>
        <v>0</v>
      </c>
      <c r="C52" s="9">
        <f>SUM(SBOSCA!C54,MCBTCA!C54,ICICCA!C54,HKBCCA!C54,CUCXCA!C54,BOFMCA!C54,BOFACA!C54,BNPACA!C54,BNDCCA!C54,BLCMCA!C54,BCANCA!C54,ATBRCA!C54,CCDQCA!C54,CIBCCA!C54,NOSCCA!C54,TDOMCA!C54,ROYCCA!C54)</f>
        <v>4632.1200000000008</v>
      </c>
      <c r="D52" s="6">
        <f>SUM(SBOSCA!D54,MCBTCA!D54,ICICCA!D54,HKBCCA!D54,CUCXCA!D54,BOFMCA!D54,BOFACA!D54,BNPACA!D54,BNDCCA!D54,BLCMCA!D54,BCANCA!D54,ATBRCA!D54,CCDQCA!D54,CIBCCA!D54,NOSCCA!D54,TDOMCA!D54,ROYCCA!D54)</f>
        <v>0</v>
      </c>
      <c r="E52" s="6">
        <f>SUM(SBOSCA!E54,MCBTCA!E54,ICICCA!E54,HKBCCA!E54,CUCXCA!E54,BOFMCA!E54,BOFACA!E54,BNPACA!E54,BNDCCA!E54,BLCMCA!E54,BCANCA!E54,ATBRCA!E54,CCDQCA!E54,CIBCCA!E54,NOSCCA!E54,TDOMCA!E54,ROYCCA!E54)</f>
        <v>0</v>
      </c>
      <c r="F52" s="9">
        <f>SUM(SBOSCA!F54,MCBTCA!F54,ICICCA!F54,HKBCCA!F54,CUCXCA!F54,BOFMCA!F54,BOFACA!F54,BNPACA!F54,BNDCCA!F54,BLCMCA!F54,BCANCA!F54,ATBRCA!F54,CCDQCA!F54,CIBCCA!F54,NOSCCA!F54,TDOMCA!F54,ROYCCA!F54)</f>
        <v>6.327</v>
      </c>
      <c r="G52" s="6">
        <f>SUM(SBOSCA!G54,MCBTCA!G54,ICICCA!G54,HKBCCA!G54,CUCXCA!G54,BOFMCA!G54,BOFACA!G54,BNPACA!G54,BNDCCA!G54,BLCMCA!G54,BCANCA!G54,ATBRCA!G54,CCDQCA!G54,CIBCCA!G54,NOSCCA!G54,TDOMCA!G54,ROYCCA!G54)</f>
        <v>0</v>
      </c>
      <c r="K52" s="7" t="str">
        <f>SBOSCA!K54</f>
        <v>2024Q3</v>
      </c>
      <c r="L52" s="6">
        <f>SUM(SBOSCA!L54,MCBTCA!L54,ICICCA!L54,HKBCCA!L54,CUCXCA!L54,BOFMCA!L54,BOFACA!L54,BNPACA!L54,BNDCCA!L54,BLCMCA!L54,BCANCA!L54,ATBRCA!L54,CCDQCA!L54,CIBCCA!L54,NOSCCA!L54,TDOMCA!L54,ROYCCA!L54)</f>
        <v>0</v>
      </c>
      <c r="M52" s="9">
        <f>SUM(SBOSCA!M54,MCBTCA!M54,ICICCA!M54,HKBCCA!M54,CUCXCA!M54,BOFMCA!M54,BOFACA!M54,BNPACA!M54,BNDCCA!M54,BLCMCA!M54,BCANCA!M54,ATBRCA!M54,CCDQCA!M54,CIBCCA!M54,NOSCCA!M54,TDOMCA!M54,ROYCCA!M54)</f>
        <v>4532.5990000000002</v>
      </c>
      <c r="N52" s="6">
        <f>SUM(SBOSCA!N54,MCBTCA!N54,ICICCA!N54,HKBCCA!N54,CUCXCA!N54,BOFMCA!N54,BOFACA!N54,BNPACA!N54,BNDCCA!N54,BLCMCA!N54,BCANCA!N54,ATBRCA!N54,CCDQCA!N54,CIBCCA!N54,NOSCCA!N54,TDOMCA!N54,ROYCCA!N54)</f>
        <v>0</v>
      </c>
      <c r="O52" s="6">
        <f>SUM(SBOSCA!O54,MCBTCA!O54,ICICCA!O54,HKBCCA!O54,CUCXCA!O54,BOFMCA!O54,BOFACA!O54,BNPACA!O54,BNDCCA!O54,BLCMCA!O54,BCANCA!O54,ATBRCA!O54,CCDQCA!O54,CIBCCA!O54,NOSCCA!O54,TDOMCA!O54,ROYCCA!O54)</f>
        <v>0</v>
      </c>
      <c r="P52" s="9">
        <f>SUM(SBOSCA!P54,MCBTCA!P54,ICICCA!P54,HKBCCA!P54,CUCXCA!P54,BOFMCA!P54,BOFACA!P54,BNPACA!P54,BNDCCA!P54,BLCMCA!P54,BCANCA!P54,ATBRCA!P54,CCDQCA!P54,CIBCCA!P54,NOSCCA!P54,TDOMCA!P54,ROYCCA!P54)</f>
        <v>6.1779999999999999</v>
      </c>
      <c r="Q52" s="6">
        <f>SUM(SBOSCA!Q54,MCBTCA!Q54,ICICCA!Q54,HKBCCA!Q54,CUCXCA!Q54,BOFMCA!Q54,BOFACA!Q54,BNPACA!Q54,BNDCCA!Q54,BLCMCA!Q54,BCANCA!Q54,ATBRCA!Q54,CCDQCA!Q54,CIBCCA!Q54,NOSCCA!Q54,TDOMCA!Q54,ROYCCA!Q54)</f>
        <v>0</v>
      </c>
    </row>
    <row r="53" spans="1:17" ht="15.5" thickTop="1" thickBot="1" x14ac:dyDescent="0.4">
      <c r="A53" s="7" t="str">
        <f>SBOSCA!A55</f>
        <v>2024Q4</v>
      </c>
      <c r="B53" s="6">
        <f>SUM(SBOSCA!B55,MCBTCA!B55,ICICCA!B55,HKBCCA!B55,CUCXCA!B55,BOFMCA!B55,BOFACA!B55,BNPACA!B55,BNDCCA!B55,BLCMCA!B55,BCANCA!B55,ATBRCA!B55,CCDQCA!B55,CIBCCA!B55,NOSCCA!B55,TDOMCA!B55,ROYCCA!B55)</f>
        <v>0</v>
      </c>
      <c r="C53" s="9">
        <f>SUM(SBOSCA!C55,MCBTCA!C55,ICICCA!C55,HKBCCA!C55,CUCXCA!C55,BOFMCA!C55,BOFACA!C55,BNPACA!C55,BNDCCA!C55,BLCMCA!C55,BCANCA!C55,ATBRCA!C55,CCDQCA!C55,CIBCCA!C55,NOSCCA!C55,TDOMCA!C55,ROYCCA!C55)</f>
        <v>4692.5969999999998</v>
      </c>
      <c r="D53" s="6">
        <f>SUM(SBOSCA!D55,MCBTCA!D55,ICICCA!D55,HKBCCA!D55,CUCXCA!D55,BOFMCA!D55,BOFACA!D55,BNPACA!D55,BNDCCA!D55,BLCMCA!D55,BCANCA!D55,ATBRCA!D55,CCDQCA!D55,CIBCCA!D55,NOSCCA!D55,TDOMCA!D55,ROYCCA!D55)</f>
        <v>0</v>
      </c>
      <c r="E53" s="6">
        <f>SUM(SBOSCA!E55,MCBTCA!E55,ICICCA!E55,HKBCCA!E55,CUCXCA!E55,BOFMCA!E55,BOFACA!E55,BNPACA!E55,BNDCCA!E55,BLCMCA!E55,BCANCA!E55,ATBRCA!E55,CCDQCA!E55,CIBCCA!E55,NOSCCA!E55,TDOMCA!E55,ROYCCA!E55)</f>
        <v>0</v>
      </c>
      <c r="F53" s="9">
        <f>SUM(SBOSCA!F55,MCBTCA!F55,ICICCA!F55,HKBCCA!F55,CUCXCA!F55,BOFMCA!F55,BOFACA!F55,BNPACA!F55,BNDCCA!F55,BLCMCA!F55,BCANCA!F55,ATBRCA!F55,CCDQCA!F55,CIBCCA!F55,NOSCCA!F55,TDOMCA!F55,ROYCCA!F55)</f>
        <v>6.3769999999999998</v>
      </c>
      <c r="G53" s="6">
        <f>SUM(SBOSCA!G55,MCBTCA!G55,ICICCA!G55,HKBCCA!G55,CUCXCA!G55,BOFMCA!G55,BOFACA!G55,BNPACA!G55,BNDCCA!G55,BLCMCA!G55,BCANCA!G55,ATBRCA!G55,CCDQCA!G55,CIBCCA!G55,NOSCCA!G55,TDOMCA!G55,ROYCCA!G55)</f>
        <v>0</v>
      </c>
      <c r="K53" s="7" t="str">
        <f>SBOSCA!K55</f>
        <v>2024Q4</v>
      </c>
      <c r="L53" s="6">
        <f>SUM(SBOSCA!L55,MCBTCA!L55,ICICCA!L55,HKBCCA!L55,CUCXCA!L55,BOFMCA!L55,BOFACA!L55,BNPACA!L55,BNDCCA!L55,BLCMCA!L55,BCANCA!L55,ATBRCA!L55,CCDQCA!L55,CIBCCA!L55,NOSCCA!L55,TDOMCA!L55,ROYCCA!L55)</f>
        <v>0</v>
      </c>
      <c r="M53" s="9">
        <f>SUM(SBOSCA!M55,MCBTCA!M55,ICICCA!M55,HKBCCA!M55,CUCXCA!M55,BOFMCA!M55,BOFACA!M55,BNPACA!M55,BNDCCA!M55,BLCMCA!M55,BCANCA!M55,ATBRCA!M55,CCDQCA!M55,CIBCCA!M55,NOSCCA!M55,TDOMCA!M55,ROYCCA!M55)</f>
        <v>4592.0109999999995</v>
      </c>
      <c r="N53" s="6">
        <f>SUM(SBOSCA!N55,MCBTCA!N55,ICICCA!N55,HKBCCA!N55,CUCXCA!N55,BOFMCA!N55,BOFACA!N55,BNPACA!N55,BNDCCA!N55,BLCMCA!N55,BCANCA!N55,ATBRCA!N55,CCDQCA!N55,CIBCCA!N55,NOSCCA!N55,TDOMCA!N55,ROYCCA!N55)</f>
        <v>0</v>
      </c>
      <c r="O53" s="6">
        <f>SUM(SBOSCA!O55,MCBTCA!O55,ICICCA!O55,HKBCCA!O55,CUCXCA!O55,BOFMCA!O55,BOFACA!O55,BNPACA!O55,BNDCCA!O55,BLCMCA!O55,BCANCA!O55,ATBRCA!O55,CCDQCA!O55,CIBCCA!O55,NOSCCA!O55,TDOMCA!O55,ROYCCA!O55)</f>
        <v>0</v>
      </c>
      <c r="P53" s="9">
        <f>SUM(SBOSCA!P55,MCBTCA!P55,ICICCA!P55,HKBCCA!P55,CUCXCA!P55,BOFMCA!P55,BOFACA!P55,BNPACA!P55,BNDCCA!P55,BLCMCA!P55,BCANCA!P55,ATBRCA!P55,CCDQCA!P55,CIBCCA!P55,NOSCCA!P55,TDOMCA!P55,ROYCCA!P55)</f>
        <v>6.2160000000000002</v>
      </c>
      <c r="Q53" s="6">
        <f>SUM(SBOSCA!Q55,MCBTCA!Q55,ICICCA!Q55,HKBCCA!Q55,CUCXCA!Q55,BOFMCA!Q55,BOFACA!Q55,BNPACA!Q55,BNDCCA!Q55,BLCMCA!Q55,BCANCA!Q55,ATBRCA!Q55,CCDQCA!Q55,CIBCCA!Q55,NOSCCA!Q55,TDOMCA!Q55,ROYCCA!Q55)</f>
        <v>0</v>
      </c>
    </row>
    <row r="54" spans="1:17" ht="15.5" thickTop="1" thickBot="1" x14ac:dyDescent="0.4">
      <c r="A54" s="7" t="str">
        <f>SBOSCA!A56</f>
        <v>2025Q1</v>
      </c>
      <c r="B54" s="6">
        <f>SUM(SBOSCA!B56,MCBTCA!B56,ICICCA!B56,HKBCCA!B56,CUCXCA!B56,BOFMCA!B56,BOFACA!B56,BNPACA!B56,BNDCCA!B56,BLCMCA!B56,BCANCA!B56,ATBRCA!B56,CCDQCA!B56,CIBCCA!B56,NOSCCA!B56,TDOMCA!B56,ROYCCA!B56)</f>
        <v>0</v>
      </c>
      <c r="C54" s="9">
        <f>SUM(SBOSCA!C56,MCBTCA!C56,ICICCA!C56,HKBCCA!C56,CUCXCA!C56,BOFMCA!C56,BOFACA!C56,BNPACA!C56,BNDCCA!C56,BLCMCA!C56,BCANCA!C56,ATBRCA!C56,CCDQCA!C56,CIBCCA!C56,NOSCCA!C56,TDOMCA!C56,ROYCCA!C56)</f>
        <v>4482.1559999999999</v>
      </c>
      <c r="D54" s="6">
        <f>SUM(SBOSCA!D56,MCBTCA!D56,ICICCA!D56,HKBCCA!D56,CUCXCA!D56,BOFMCA!D56,BOFACA!D56,BNPACA!D56,BNDCCA!D56,BLCMCA!D56,BCANCA!D56,ATBRCA!D56,CCDQCA!D56,CIBCCA!D56,NOSCCA!D56,TDOMCA!D56,ROYCCA!D56)</f>
        <v>0</v>
      </c>
      <c r="E54" s="6">
        <f>SUM(SBOSCA!E56,MCBTCA!E56,ICICCA!E56,HKBCCA!E56,CUCXCA!E56,BOFMCA!E56,BOFACA!E56,BNPACA!E56,BNDCCA!E56,BLCMCA!E56,BCANCA!E56,ATBRCA!E56,CCDQCA!E56,CIBCCA!E56,NOSCCA!E56,TDOMCA!E56,ROYCCA!E56)</f>
        <v>0</v>
      </c>
      <c r="F54" s="9">
        <f>SUM(SBOSCA!F56,MCBTCA!F56,ICICCA!F56,HKBCCA!F56,CUCXCA!F56,BOFMCA!F56,BOFACA!F56,BNPACA!F56,BNDCCA!F56,BLCMCA!F56,BCANCA!F56,ATBRCA!F56,CCDQCA!F56,CIBCCA!F56,NOSCCA!F56,TDOMCA!F56,ROYCCA!F56)</f>
        <v>6.3279999999999994</v>
      </c>
      <c r="G54" s="6">
        <f>SUM(SBOSCA!G56,MCBTCA!G56,ICICCA!G56,HKBCCA!G56,CUCXCA!G56,BOFMCA!G56,BOFACA!G56,BNPACA!G56,BNDCCA!G56,BLCMCA!G56,BCANCA!G56,ATBRCA!G56,CCDQCA!G56,CIBCCA!G56,NOSCCA!G56,TDOMCA!G56,ROYCCA!G56)</f>
        <v>0</v>
      </c>
      <c r="K54" s="7" t="str">
        <f>SBOSCA!K56</f>
        <v>2025Q1</v>
      </c>
      <c r="L54" s="6">
        <f>SUM(SBOSCA!L56,MCBTCA!L56,ICICCA!L56,HKBCCA!L56,CUCXCA!L56,BOFMCA!L56,BOFACA!L56,BNPACA!L56,BNDCCA!L56,BLCMCA!L56,BCANCA!L56,ATBRCA!L56,CCDQCA!L56,CIBCCA!L56,NOSCCA!L56,TDOMCA!L56,ROYCCA!L56)</f>
        <v>0</v>
      </c>
      <c r="M54" s="9">
        <f>SUM(SBOSCA!M56,MCBTCA!M56,ICICCA!M56,HKBCCA!M56,CUCXCA!M56,BOFMCA!M56,BOFACA!M56,BNPACA!M56,BNDCCA!M56,BLCMCA!M56,BCANCA!M56,ATBRCA!M56,CCDQCA!M56,CIBCCA!M56,NOSCCA!M56,TDOMCA!M56,ROYCCA!M56)</f>
        <v>4380.6049999999996</v>
      </c>
      <c r="N54" s="6">
        <f>SUM(SBOSCA!N56,MCBTCA!N56,ICICCA!N56,HKBCCA!N56,CUCXCA!N56,BOFMCA!N56,BOFACA!N56,BNPACA!N56,BNDCCA!N56,BLCMCA!N56,BCANCA!N56,ATBRCA!N56,CCDQCA!N56,CIBCCA!N56,NOSCCA!N56,TDOMCA!N56,ROYCCA!N56)</f>
        <v>0</v>
      </c>
      <c r="O54" s="6">
        <f>SUM(SBOSCA!O56,MCBTCA!O56,ICICCA!O56,HKBCCA!O56,CUCXCA!O56,BOFMCA!O56,BOFACA!O56,BNPACA!O56,BNDCCA!O56,BLCMCA!O56,BCANCA!O56,ATBRCA!O56,CCDQCA!O56,CIBCCA!O56,NOSCCA!O56,TDOMCA!O56,ROYCCA!O56)</f>
        <v>0</v>
      </c>
      <c r="P54" s="9">
        <f>SUM(SBOSCA!P56,MCBTCA!P56,ICICCA!P56,HKBCCA!P56,CUCXCA!P56,BOFMCA!P56,BOFACA!P56,BNPACA!P56,BNDCCA!P56,BLCMCA!P56,BCANCA!P56,ATBRCA!P56,CCDQCA!P56,CIBCCA!P56,NOSCCA!P56,TDOMCA!P56,ROYCCA!P56)</f>
        <v>6.1630000000000003</v>
      </c>
      <c r="Q54" s="6">
        <f>SUM(SBOSCA!Q56,MCBTCA!Q56,ICICCA!Q56,HKBCCA!Q56,CUCXCA!Q56,BOFMCA!Q56,BOFACA!Q56,BNPACA!Q56,BNDCCA!Q56,BLCMCA!Q56,BCANCA!Q56,ATBRCA!Q56,CCDQCA!Q56,CIBCCA!Q56,NOSCCA!Q56,TDOMCA!Q56,ROYCCA!Q56)</f>
        <v>0</v>
      </c>
    </row>
    <row r="55" spans="1:17" ht="15.5" thickTop="1" thickBot="1" x14ac:dyDescent="0.4">
      <c r="A55" s="7" t="str">
        <f>SBOSCA!A57</f>
        <v>2025Q2</v>
      </c>
      <c r="B55" s="6">
        <f>SUM(SBOSCA!B57,MCBTCA!B57,ICICCA!B57,HKBCCA!B57,CUCXCA!B57,BOFMCA!B57,BOFACA!B57,BNPACA!B57,BNDCCA!B57,BLCMCA!B57,BCANCA!B57,ATBRCA!B57,CCDQCA!B57,CIBCCA!B57,NOSCCA!B57,TDOMCA!B57,ROYCCA!B57)</f>
        <v>0</v>
      </c>
      <c r="C55" s="9">
        <f>SUM(SBOSCA!C57,MCBTCA!C57,ICICCA!C57,HKBCCA!C57,CUCXCA!C57,BOFMCA!C57,BOFACA!C57,BNPACA!C57,BNDCCA!C57,BLCMCA!C57,BCANCA!C57,ATBRCA!C57,CCDQCA!C57,CIBCCA!C57,NOSCCA!C57,TDOMCA!C57,ROYCCA!C57)</f>
        <v>4740.3029999999999</v>
      </c>
      <c r="D55" s="6">
        <f>SUM(SBOSCA!D57,MCBTCA!D57,ICICCA!D57,HKBCCA!D57,CUCXCA!D57,BOFMCA!D57,BOFACA!D57,BNPACA!D57,BNDCCA!D57,BLCMCA!D57,BCANCA!D57,ATBRCA!D57,CCDQCA!D57,CIBCCA!D57,NOSCCA!D57,TDOMCA!D57,ROYCCA!D57)</f>
        <v>0</v>
      </c>
      <c r="E55" s="6">
        <f>SUM(SBOSCA!E57,MCBTCA!E57,ICICCA!E57,HKBCCA!E57,CUCXCA!E57,BOFMCA!E57,BOFACA!E57,BNPACA!E57,BNDCCA!E57,BLCMCA!E57,BCANCA!E57,ATBRCA!E57,CCDQCA!E57,CIBCCA!E57,NOSCCA!E57,TDOMCA!E57,ROYCCA!E57)</f>
        <v>0</v>
      </c>
      <c r="F55" s="9">
        <f>SUM(SBOSCA!F57,MCBTCA!F57,ICICCA!F57,HKBCCA!F57,CUCXCA!F57,BOFMCA!F57,BOFACA!F57,BNPACA!F57,BNDCCA!F57,BLCMCA!F57,BCANCA!F57,ATBRCA!F57,CCDQCA!F57,CIBCCA!F57,NOSCCA!F57,TDOMCA!F57,ROYCCA!F57)</f>
        <v>6.5020000000000007</v>
      </c>
      <c r="G55" s="6">
        <f>SUM(SBOSCA!G57,MCBTCA!G57,ICICCA!G57,HKBCCA!G57,CUCXCA!G57,BOFMCA!G57,BOFACA!G57,BNPACA!G57,BNDCCA!G57,BLCMCA!G57,BCANCA!G57,ATBRCA!G57,CCDQCA!G57,CIBCCA!G57,NOSCCA!G57,TDOMCA!G57,ROYCCA!G57)</f>
        <v>0</v>
      </c>
      <c r="K55" s="7" t="str">
        <f>SBOSCA!K57</f>
        <v>2025Q2</v>
      </c>
      <c r="L55" s="6">
        <f>SUM(SBOSCA!L57,MCBTCA!L57,ICICCA!L57,HKBCCA!L57,CUCXCA!L57,BOFMCA!L57,BOFACA!L57,BNPACA!L57,BNDCCA!L57,BLCMCA!L57,BCANCA!L57,ATBRCA!L57,CCDQCA!L57,CIBCCA!L57,NOSCCA!L57,TDOMCA!L57,ROYCCA!L57)</f>
        <v>0</v>
      </c>
      <c r="M55" s="9">
        <f>SUM(SBOSCA!M57,MCBTCA!M57,ICICCA!M57,HKBCCA!M57,CUCXCA!M57,BOFMCA!M57,BOFACA!M57,BNPACA!M57,BNDCCA!M57,BLCMCA!M57,BCANCA!M57,ATBRCA!M57,CCDQCA!M57,CIBCCA!M57,NOSCCA!M57,TDOMCA!M57,ROYCCA!M57)</f>
        <v>4637.8739999999998</v>
      </c>
      <c r="N55" s="6">
        <f>SUM(SBOSCA!N57,MCBTCA!N57,ICICCA!N57,HKBCCA!N57,CUCXCA!N57,BOFMCA!N57,BOFACA!N57,BNPACA!N57,BNDCCA!N57,BLCMCA!N57,BCANCA!N57,ATBRCA!N57,CCDQCA!N57,CIBCCA!N57,NOSCCA!N57,TDOMCA!N57,ROYCCA!N57)</f>
        <v>0</v>
      </c>
      <c r="O55" s="6">
        <f>SUM(SBOSCA!O57,MCBTCA!O57,ICICCA!O57,HKBCCA!O57,CUCXCA!O57,BOFMCA!O57,BOFACA!O57,BNPACA!O57,BNDCCA!O57,BLCMCA!O57,BCANCA!O57,ATBRCA!O57,CCDQCA!O57,CIBCCA!O57,NOSCCA!O57,TDOMCA!O57,ROYCCA!O57)</f>
        <v>0</v>
      </c>
      <c r="P55" s="9">
        <f>SUM(SBOSCA!P57,MCBTCA!P57,ICICCA!P57,HKBCCA!P57,CUCXCA!P57,BOFMCA!P57,BOFACA!P57,BNPACA!P57,BNDCCA!P57,BLCMCA!P57,BCANCA!P57,ATBRCA!P57,CCDQCA!P57,CIBCCA!P57,NOSCCA!P57,TDOMCA!P57,ROYCCA!P57)</f>
        <v>6.3319999999999999</v>
      </c>
      <c r="Q55" s="6">
        <f>SUM(SBOSCA!Q57,MCBTCA!Q57,ICICCA!Q57,HKBCCA!Q57,CUCXCA!Q57,BOFMCA!Q57,BOFACA!Q57,BNPACA!Q57,BNDCCA!Q57,BLCMCA!Q57,BCANCA!Q57,ATBRCA!Q57,CCDQCA!Q57,CIBCCA!Q57,NOSCCA!Q57,TDOMCA!Q57,ROYCCA!Q57)</f>
        <v>0</v>
      </c>
    </row>
    <row r="56" spans="1:17" ht="15.5" thickTop="1" thickBot="1" x14ac:dyDescent="0.4">
      <c r="A56" s="7" t="str">
        <f>SBOSCA!A58</f>
        <v>2025Q3</v>
      </c>
      <c r="B56" s="6">
        <f>SUM(SBOSCA!B58,MCBTCA!B58,ICICCA!B58,HKBCCA!B58,CUCXCA!B58,BOFMCA!B58,BOFACA!B58,BNPACA!B58,BNDCCA!B58,BLCMCA!B58,BCANCA!B58,ATBRCA!B58,CCDQCA!B58,CIBCCA!B58,NOSCCA!B58,TDOMCA!B58,ROYCCA!B58)</f>
        <v>0</v>
      </c>
      <c r="C56" s="9">
        <f>SUM(SBOSCA!C58,MCBTCA!C58,ICICCA!C58,HKBCCA!C58,CUCXCA!C58,BOFMCA!C58,BOFACA!C58,BNPACA!C58,BNDCCA!C58,BLCMCA!C58,BCANCA!C58,ATBRCA!C58,CCDQCA!C58,CIBCCA!C58,NOSCCA!C58,TDOMCA!C58,ROYCCA!C58)</f>
        <v>4730.6080000000002</v>
      </c>
      <c r="D56" s="6">
        <f>SUM(SBOSCA!D58,MCBTCA!D58,ICICCA!D58,HKBCCA!D58,CUCXCA!D58,BOFMCA!D58,BOFACA!D58,BNPACA!D58,BNDCCA!D58,BLCMCA!D58,BCANCA!D58,ATBRCA!D58,CCDQCA!D58,CIBCCA!D58,NOSCCA!D58,TDOMCA!D58,ROYCCA!D58)</f>
        <v>0</v>
      </c>
      <c r="E56" s="6">
        <f>SUM(SBOSCA!E58,MCBTCA!E58,ICICCA!E58,HKBCCA!E58,CUCXCA!E58,BOFMCA!E58,BOFACA!E58,BNPACA!E58,BNDCCA!E58,BLCMCA!E58,BCANCA!E58,ATBRCA!E58,CCDQCA!E58,CIBCCA!E58,NOSCCA!E58,TDOMCA!E58,ROYCCA!E58)</f>
        <v>0</v>
      </c>
      <c r="F56" s="9">
        <f>SUM(SBOSCA!F58,MCBTCA!F58,ICICCA!F58,HKBCCA!F58,CUCXCA!F58,BOFMCA!F58,BOFACA!F58,BNPACA!F58,BNDCCA!F58,BLCMCA!F58,BCANCA!F58,ATBRCA!F58,CCDQCA!F58,CIBCCA!F58,NOSCCA!F58,TDOMCA!F58,ROYCCA!F58)</f>
        <v>6.5110000000000001</v>
      </c>
      <c r="G56" s="6">
        <f>SUM(SBOSCA!G58,MCBTCA!G58,ICICCA!G58,HKBCCA!G58,CUCXCA!G58,BOFMCA!G58,BOFACA!G58,BNPACA!G58,BNDCCA!G58,BLCMCA!G58,BCANCA!G58,ATBRCA!G58,CCDQCA!G58,CIBCCA!G58,NOSCCA!G58,TDOMCA!G58,ROYCCA!G58)</f>
        <v>0</v>
      </c>
      <c r="K56" s="7" t="str">
        <f>SBOSCA!K58</f>
        <v>2025Q3</v>
      </c>
      <c r="L56" s="6">
        <f>SUM(SBOSCA!L58,MCBTCA!L58,ICICCA!L58,HKBCCA!L58,CUCXCA!L58,BOFMCA!L58,BOFACA!L58,BNPACA!L58,BNDCCA!L58,BLCMCA!L58,BCANCA!L58,ATBRCA!L58,CCDQCA!L58,CIBCCA!L58,NOSCCA!L58,TDOMCA!L58,ROYCCA!L58)</f>
        <v>0</v>
      </c>
      <c r="M56" s="9">
        <f>SUM(SBOSCA!M58,MCBTCA!M58,ICICCA!M58,HKBCCA!M58,CUCXCA!M58,BOFMCA!M58,BOFACA!M58,BNPACA!M58,BNDCCA!M58,BLCMCA!M58,BCANCA!M58,ATBRCA!M58,CCDQCA!M58,CIBCCA!M58,NOSCCA!M58,TDOMCA!M58,ROYCCA!M58)</f>
        <v>4627.375</v>
      </c>
      <c r="N56" s="6">
        <f>SUM(SBOSCA!N58,MCBTCA!N58,ICICCA!N58,HKBCCA!N58,CUCXCA!N58,BOFMCA!N58,BOFACA!N58,BNPACA!N58,BNDCCA!N58,BLCMCA!N58,BCANCA!N58,ATBRCA!N58,CCDQCA!N58,CIBCCA!N58,NOSCCA!N58,TDOMCA!N58,ROYCCA!N58)</f>
        <v>0</v>
      </c>
      <c r="O56" s="6">
        <f>SUM(SBOSCA!O58,MCBTCA!O58,ICICCA!O58,HKBCCA!O58,CUCXCA!O58,BOFMCA!O58,BOFACA!O58,BNPACA!O58,BNDCCA!O58,BLCMCA!O58,BCANCA!O58,ATBRCA!O58,CCDQCA!O58,CIBCCA!O58,NOSCCA!O58,TDOMCA!O58,ROYCCA!O58)</f>
        <v>0</v>
      </c>
      <c r="P56" s="9">
        <f>SUM(SBOSCA!P58,MCBTCA!P58,ICICCA!P58,HKBCCA!P58,CUCXCA!P58,BOFMCA!P58,BOFACA!P58,BNPACA!P58,BNDCCA!P58,BLCMCA!P58,BCANCA!P58,ATBRCA!P58,CCDQCA!P58,CIBCCA!P58,NOSCCA!P58,TDOMCA!P58,ROYCCA!P58)</f>
        <v>6.3339999999999996</v>
      </c>
      <c r="Q56" s="6">
        <f>SUM(SBOSCA!Q58,MCBTCA!Q58,ICICCA!Q58,HKBCCA!Q58,CUCXCA!Q58,BOFMCA!Q58,BOFACA!Q58,BNPACA!Q58,BNDCCA!Q58,BLCMCA!Q58,BCANCA!Q58,ATBRCA!Q58,CCDQCA!Q58,CIBCCA!Q58,NOSCCA!Q58,TDOMCA!Q58,ROYCCA!Q58)</f>
        <v>0</v>
      </c>
    </row>
    <row r="57" spans="1:17" ht="15.5" thickTop="1" thickBot="1" x14ac:dyDescent="0.4">
      <c r="A57" s="7" t="str">
        <f>SBOSCA!A59</f>
        <v>2025Q4</v>
      </c>
      <c r="B57" s="6">
        <f>SUM(SBOSCA!B59,MCBTCA!B59,ICICCA!B59,HKBCCA!B59,CUCXCA!B59,BOFMCA!B59,BOFACA!B59,BNPACA!B59,BNDCCA!B59,BLCMCA!B59,BCANCA!B59,ATBRCA!B59,CCDQCA!B59,CIBCCA!B59,NOSCCA!B59,TDOMCA!B59,ROYCCA!B59)</f>
        <v>0</v>
      </c>
      <c r="C57" s="9">
        <f>SUM(SBOSCA!C59,MCBTCA!C59,ICICCA!C59,HKBCCA!C59,CUCXCA!C59,BOFMCA!C59,BOFACA!C59,BNPACA!C59,BNDCCA!C59,BLCMCA!C59,BCANCA!C59,ATBRCA!C59,CCDQCA!C59,CIBCCA!C59,NOSCCA!C59,TDOMCA!C59,ROYCCA!C59)</f>
        <v>4791.3689999999997</v>
      </c>
      <c r="D57" s="6">
        <f>SUM(SBOSCA!D59,MCBTCA!D59,ICICCA!D59,HKBCCA!D59,CUCXCA!D59,BOFMCA!D59,BOFACA!D59,BNPACA!D59,BNDCCA!D59,BLCMCA!D59,BCANCA!D59,ATBRCA!D59,CCDQCA!D59,CIBCCA!D59,NOSCCA!D59,TDOMCA!D59,ROYCCA!D59)</f>
        <v>0</v>
      </c>
      <c r="E57" s="6">
        <f>SUM(SBOSCA!E59,MCBTCA!E59,ICICCA!E59,HKBCCA!E59,CUCXCA!E59,BOFMCA!E59,BOFACA!E59,BNPACA!E59,BNDCCA!E59,BLCMCA!E59,BCANCA!E59,ATBRCA!E59,CCDQCA!E59,CIBCCA!E59,NOSCCA!E59,TDOMCA!E59,ROYCCA!E59)</f>
        <v>0</v>
      </c>
      <c r="F57" s="9">
        <f>SUM(SBOSCA!F59,MCBTCA!F59,ICICCA!F59,HKBCCA!F59,CUCXCA!F59,BOFMCA!F59,BOFACA!F59,BNPACA!F59,BNDCCA!F59,BLCMCA!F59,BCANCA!F59,ATBRCA!F59,CCDQCA!F59,CIBCCA!F59,NOSCCA!F59,TDOMCA!F59,ROYCCA!F59)</f>
        <v>6.5609999999999999</v>
      </c>
      <c r="G57" s="6">
        <f>SUM(SBOSCA!G59,MCBTCA!G59,ICICCA!G59,HKBCCA!G59,CUCXCA!G59,BOFMCA!G59,BOFACA!G59,BNPACA!G59,BNDCCA!G59,BLCMCA!G59,BCANCA!G59,ATBRCA!G59,CCDQCA!G59,CIBCCA!G59,NOSCCA!G59,TDOMCA!G59,ROYCCA!G59)</f>
        <v>0</v>
      </c>
      <c r="K57" s="7" t="str">
        <f>SBOSCA!K59</f>
        <v>2025Q4</v>
      </c>
      <c r="L57" s="6">
        <f>SUM(SBOSCA!L59,MCBTCA!L59,ICICCA!L59,HKBCCA!L59,CUCXCA!L59,BOFMCA!L59,BOFACA!L59,BNPACA!L59,BNDCCA!L59,BLCMCA!L59,BCANCA!L59,ATBRCA!L59,CCDQCA!L59,CIBCCA!L59,NOSCCA!L59,TDOMCA!L59,ROYCCA!L59)</f>
        <v>0</v>
      </c>
      <c r="M57" s="9">
        <f>SUM(SBOSCA!M59,MCBTCA!M59,ICICCA!M59,HKBCCA!M59,CUCXCA!M59,BOFMCA!M59,BOFACA!M59,BNPACA!M59,BNDCCA!M59,BLCMCA!M59,BCANCA!M59,ATBRCA!M59,CCDQCA!M59,CIBCCA!M59,NOSCCA!M59,TDOMCA!M59,ROYCCA!M59)</f>
        <v>4687.4010000000007</v>
      </c>
      <c r="N57" s="6">
        <f>SUM(SBOSCA!N59,MCBTCA!N59,ICICCA!N59,HKBCCA!N59,CUCXCA!N59,BOFMCA!N59,BOFACA!N59,BNPACA!N59,BNDCCA!N59,BLCMCA!N59,BCANCA!N59,ATBRCA!N59,CCDQCA!N59,CIBCCA!N59,NOSCCA!N59,TDOMCA!N59,ROYCCA!N59)</f>
        <v>0</v>
      </c>
      <c r="O57" s="6">
        <f>SUM(SBOSCA!O59,MCBTCA!O59,ICICCA!O59,HKBCCA!O59,CUCXCA!O59,BOFMCA!O59,BOFACA!O59,BNPACA!O59,BNDCCA!O59,BLCMCA!O59,BCANCA!O59,ATBRCA!O59,CCDQCA!O59,CIBCCA!O59,NOSCCA!O59,TDOMCA!O59,ROYCCA!O59)</f>
        <v>0</v>
      </c>
      <c r="P57" s="9">
        <f>SUM(SBOSCA!P59,MCBTCA!P59,ICICCA!P59,HKBCCA!P59,CUCXCA!P59,BOFMCA!P59,BOFACA!P59,BNPACA!P59,BNDCCA!P59,BLCMCA!P59,BCANCA!P59,ATBRCA!P59,CCDQCA!P59,CIBCCA!P59,NOSCCA!P59,TDOMCA!P59,ROYCCA!P59)</f>
        <v>6.3779999999999992</v>
      </c>
      <c r="Q57" s="6">
        <f>SUM(SBOSCA!Q59,MCBTCA!Q59,ICICCA!Q59,HKBCCA!Q59,CUCXCA!Q59,BOFMCA!Q59,BOFACA!Q59,BNPACA!Q59,BNDCCA!Q59,BLCMCA!Q59,BCANCA!Q59,ATBRCA!Q59,CCDQCA!Q59,CIBCCA!Q59,NOSCCA!Q59,TDOMCA!Q59,ROYCCA!Q59)</f>
        <v>0</v>
      </c>
    </row>
    <row r="58" spans="1:17" ht="15.5" thickTop="1" thickBot="1" x14ac:dyDescent="0.4">
      <c r="A58" s="7" t="str">
        <f>SBOSCA!A60</f>
        <v>2026Q1</v>
      </c>
      <c r="B58" s="6">
        <f>SUM(SBOSCA!B60,MCBTCA!B60,ICICCA!B60,HKBCCA!B60,CUCXCA!B60,BOFMCA!B60,BOFACA!B60,BNPACA!B60,BNDCCA!B60,BLCMCA!B60,BCANCA!B60,ATBRCA!B60,CCDQCA!B60,CIBCCA!B60,NOSCCA!B60,TDOMCA!B60,ROYCCA!B60)</f>
        <v>0</v>
      </c>
      <c r="C58" s="9">
        <f>SUM(SBOSCA!C60,MCBTCA!C60,ICICCA!C60,HKBCCA!C60,CUCXCA!C60,BOFMCA!C60,BOFACA!C60,BNPACA!C60,BNDCCA!C60,BLCMCA!C60,BCANCA!C60,ATBRCA!C60,CCDQCA!C60,CIBCCA!C60,NOSCCA!C60,TDOMCA!C60,ROYCCA!C60)</f>
        <v>4581.1929999999993</v>
      </c>
      <c r="D58" s="6">
        <f>SUM(SBOSCA!D60,MCBTCA!D60,ICICCA!D60,HKBCCA!D60,CUCXCA!D60,BOFMCA!D60,BOFACA!D60,BNPACA!D60,BNDCCA!D60,BLCMCA!D60,BCANCA!D60,ATBRCA!D60,CCDQCA!D60,CIBCCA!D60,NOSCCA!D60,TDOMCA!D60,ROYCCA!D60)</f>
        <v>0</v>
      </c>
      <c r="E58" s="6">
        <f>SUM(SBOSCA!E60,MCBTCA!E60,ICICCA!E60,HKBCCA!E60,CUCXCA!E60,BOFMCA!E60,BOFACA!E60,BNPACA!E60,BNDCCA!E60,BLCMCA!E60,BCANCA!E60,ATBRCA!E60,CCDQCA!E60,CIBCCA!E60,NOSCCA!E60,TDOMCA!E60,ROYCCA!E60)</f>
        <v>0</v>
      </c>
      <c r="F58" s="9">
        <f>SUM(SBOSCA!F60,MCBTCA!F60,ICICCA!F60,HKBCCA!F60,CUCXCA!F60,BOFMCA!F60,BOFACA!F60,BNPACA!F60,BNDCCA!F60,BLCMCA!F60,BCANCA!F60,ATBRCA!F60,CCDQCA!F60,CIBCCA!F60,NOSCCA!F60,TDOMCA!F60,ROYCCA!F60)</f>
        <v>6.5140000000000002</v>
      </c>
      <c r="G58" s="6">
        <f>SUM(SBOSCA!G60,MCBTCA!G60,ICICCA!G60,HKBCCA!G60,CUCXCA!G60,BOFMCA!G60,BOFACA!G60,BNPACA!G60,BNDCCA!G60,BLCMCA!G60,BCANCA!G60,ATBRCA!G60,CCDQCA!G60,CIBCCA!G60,NOSCCA!G60,TDOMCA!G60,ROYCCA!G60)</f>
        <v>0</v>
      </c>
      <c r="K58" s="7" t="str">
        <f>SBOSCA!K60</f>
        <v>2026Q1</v>
      </c>
      <c r="L58" s="6">
        <f>SUM(SBOSCA!L60,MCBTCA!L60,ICICCA!L60,HKBCCA!L60,CUCXCA!L60,BOFMCA!L60,BOFACA!L60,BNPACA!L60,BNDCCA!L60,BLCMCA!L60,BCANCA!L60,ATBRCA!L60,CCDQCA!L60,CIBCCA!L60,NOSCCA!L60,TDOMCA!L60,ROYCCA!L60)</f>
        <v>0</v>
      </c>
      <c r="M58" s="9">
        <f>SUM(SBOSCA!M60,MCBTCA!M60,ICICCA!M60,HKBCCA!M60,CUCXCA!M60,BOFMCA!M60,BOFACA!M60,BNPACA!M60,BNDCCA!M60,BLCMCA!M60,BCANCA!M60,ATBRCA!M60,CCDQCA!M60,CIBCCA!M60,NOSCCA!M60,TDOMCA!M60,ROYCCA!M60)</f>
        <v>4476.5460000000003</v>
      </c>
      <c r="N58" s="6">
        <f>SUM(SBOSCA!N60,MCBTCA!N60,ICICCA!N60,HKBCCA!N60,CUCXCA!N60,BOFMCA!N60,BOFACA!N60,BNPACA!N60,BNDCCA!N60,BLCMCA!N60,BCANCA!N60,ATBRCA!N60,CCDQCA!N60,CIBCCA!N60,NOSCCA!N60,TDOMCA!N60,ROYCCA!N60)</f>
        <v>0</v>
      </c>
      <c r="O58" s="6">
        <f>SUM(SBOSCA!O60,MCBTCA!O60,ICICCA!O60,HKBCCA!O60,CUCXCA!O60,BOFMCA!O60,BOFACA!O60,BNPACA!O60,BNDCCA!O60,BLCMCA!O60,BCANCA!O60,ATBRCA!O60,CCDQCA!O60,CIBCCA!O60,NOSCCA!O60,TDOMCA!O60,ROYCCA!O60)</f>
        <v>0</v>
      </c>
      <c r="P58" s="9">
        <f>SUM(SBOSCA!P60,MCBTCA!P60,ICICCA!P60,HKBCCA!P60,CUCXCA!P60,BOFMCA!P60,BOFACA!P60,BNPACA!P60,BNDCCA!P60,BLCMCA!P60,BCANCA!P60,ATBRCA!P60,CCDQCA!P60,CIBCCA!P60,NOSCCA!P60,TDOMCA!P60,ROYCCA!P60)</f>
        <v>6.3289999999999988</v>
      </c>
      <c r="Q58" s="6">
        <f>SUM(SBOSCA!Q60,MCBTCA!Q60,ICICCA!Q60,HKBCCA!Q60,CUCXCA!Q60,BOFMCA!Q60,BOFACA!Q60,BNPACA!Q60,BNDCCA!Q60,BLCMCA!Q60,BCANCA!Q60,ATBRCA!Q60,CCDQCA!Q60,CIBCCA!Q60,NOSCCA!Q60,TDOMCA!Q60,ROYCCA!Q60)</f>
        <v>0</v>
      </c>
    </row>
    <row r="59" spans="1:17" ht="15.5" thickTop="1" thickBot="1" x14ac:dyDescent="0.4">
      <c r="A59" s="7" t="str">
        <f>SBOSCA!A61</f>
        <v>2026Q2</v>
      </c>
      <c r="B59" s="6">
        <f>SUM(SBOSCA!B61,MCBTCA!B61,ICICCA!B61,HKBCCA!B61,CUCXCA!B61,BOFMCA!B61,BOFACA!B61,BNPACA!B61,BNDCCA!B61,BLCMCA!B61,BCANCA!B61,ATBRCA!B61,CCDQCA!B61,CIBCCA!B61,NOSCCA!B61,TDOMCA!B61,ROYCCA!B61)</f>
        <v>0</v>
      </c>
      <c r="C59" s="9">
        <f>SUM(SBOSCA!C61,MCBTCA!C61,ICICCA!C61,HKBCCA!C61,CUCXCA!C61,BOFMCA!C61,BOFACA!C61,BNPACA!C61,BNDCCA!C61,BLCMCA!C61,BCANCA!C61,ATBRCA!C61,CCDQCA!C61,CIBCCA!C61,NOSCCA!C61,TDOMCA!C61,ROYCCA!C61)</f>
        <v>4839.6009999999997</v>
      </c>
      <c r="D59" s="6">
        <f>SUM(SBOSCA!D61,MCBTCA!D61,ICICCA!D61,HKBCCA!D61,CUCXCA!D61,BOFMCA!D61,BOFACA!D61,BNPACA!D61,BNDCCA!D61,BLCMCA!D61,BCANCA!D61,ATBRCA!D61,CCDQCA!D61,CIBCCA!D61,NOSCCA!D61,TDOMCA!D61,ROYCCA!D61)</f>
        <v>0</v>
      </c>
      <c r="E59" s="6">
        <f>SUM(SBOSCA!E61,MCBTCA!E61,ICICCA!E61,HKBCCA!E61,CUCXCA!E61,BOFMCA!E61,BOFACA!E61,BNPACA!E61,BNDCCA!E61,BLCMCA!E61,BCANCA!E61,ATBRCA!E61,CCDQCA!E61,CIBCCA!E61,NOSCCA!E61,TDOMCA!E61,ROYCCA!E61)</f>
        <v>0</v>
      </c>
      <c r="F59" s="9">
        <f>SUM(SBOSCA!F61,MCBTCA!F61,ICICCA!F61,HKBCCA!F61,CUCXCA!F61,BOFMCA!F61,BOFACA!F61,BNPACA!F61,BNDCCA!F61,BLCMCA!F61,BCANCA!F61,ATBRCA!F61,CCDQCA!F61,CIBCCA!F61,NOSCCA!F61,TDOMCA!F61,ROYCCA!F61)</f>
        <v>6.6920000000000002</v>
      </c>
      <c r="G59" s="6">
        <f>SUM(SBOSCA!G61,MCBTCA!G61,ICICCA!G61,HKBCCA!G61,CUCXCA!G61,BOFMCA!G61,BOFACA!G61,BNPACA!G61,BNDCCA!G61,BLCMCA!G61,BCANCA!G61,ATBRCA!G61,CCDQCA!G61,CIBCCA!G61,NOSCCA!G61,TDOMCA!G61,ROYCCA!G61)</f>
        <v>0</v>
      </c>
      <c r="K59" s="7" t="str">
        <f>SBOSCA!K61</f>
        <v>2026Q2</v>
      </c>
      <c r="L59" s="6">
        <f>SUM(SBOSCA!L61,MCBTCA!L61,ICICCA!L61,HKBCCA!L61,CUCXCA!L61,BOFMCA!L61,BOFACA!L61,BNPACA!L61,BNDCCA!L61,BLCMCA!L61,BCANCA!L61,ATBRCA!L61,CCDQCA!L61,CIBCCA!L61,NOSCCA!L61,TDOMCA!L61,ROYCCA!L61)</f>
        <v>0</v>
      </c>
      <c r="M59" s="9">
        <f>SUM(SBOSCA!M61,MCBTCA!M61,ICICCA!M61,HKBCCA!M61,CUCXCA!M61,BOFMCA!M61,BOFACA!M61,BNPACA!M61,BNDCCA!M61,BLCMCA!M61,BCANCA!M61,ATBRCA!M61,CCDQCA!M61,CIBCCA!M61,NOSCCA!M61,TDOMCA!M61,ROYCCA!M61)</f>
        <v>4734.3249999999998</v>
      </c>
      <c r="N59" s="6">
        <f>SUM(SBOSCA!N61,MCBTCA!N61,ICICCA!N61,HKBCCA!N61,CUCXCA!N61,BOFMCA!N61,BOFACA!N61,BNPACA!N61,BNDCCA!N61,BLCMCA!N61,BCANCA!N61,ATBRCA!N61,CCDQCA!N61,CIBCCA!N61,NOSCCA!N61,TDOMCA!N61,ROYCCA!N61)</f>
        <v>0</v>
      </c>
      <c r="O59" s="6">
        <f>SUM(SBOSCA!O61,MCBTCA!O61,ICICCA!O61,HKBCCA!O61,CUCXCA!O61,BOFMCA!O61,BOFACA!O61,BNPACA!O61,BNDCCA!O61,BLCMCA!O61,BCANCA!O61,ATBRCA!O61,CCDQCA!O61,CIBCCA!O61,NOSCCA!O61,TDOMCA!O61,ROYCCA!O61)</f>
        <v>0</v>
      </c>
      <c r="P59" s="9">
        <f>SUM(SBOSCA!P61,MCBTCA!P61,ICICCA!P61,HKBCCA!P61,CUCXCA!P61,BOFMCA!P61,BOFACA!P61,BNPACA!P61,BNDCCA!P61,BLCMCA!P61,BCANCA!P61,ATBRCA!P61,CCDQCA!P61,CIBCCA!P61,NOSCCA!P61,TDOMCA!P61,ROYCCA!P61)</f>
        <v>6.4979999999999993</v>
      </c>
      <c r="Q59" s="6">
        <f>SUM(SBOSCA!Q61,MCBTCA!Q61,ICICCA!Q61,HKBCCA!Q61,CUCXCA!Q61,BOFMCA!Q61,BOFACA!Q61,BNPACA!Q61,BNDCCA!Q61,BLCMCA!Q61,BCANCA!Q61,ATBRCA!Q61,CCDQCA!Q61,CIBCCA!Q61,NOSCCA!Q61,TDOMCA!Q61,ROYCCA!Q61)</f>
        <v>0</v>
      </c>
    </row>
    <row r="60" spans="1:17" ht="15.5" thickTop="1" thickBot="1" x14ac:dyDescent="0.4">
      <c r="A60" s="7" t="str">
        <f>SBOSCA!A62</f>
        <v>2026Q3</v>
      </c>
      <c r="B60" s="6">
        <f>SUM(SBOSCA!B62,MCBTCA!B62,ICICCA!B62,HKBCCA!B62,CUCXCA!B62,BOFMCA!B62,BOFACA!B62,BNPACA!B62,BNDCCA!B62,BLCMCA!B62,BCANCA!B62,ATBRCA!B62,CCDQCA!B62,CIBCCA!B62,NOSCCA!B62,TDOMCA!B62,ROYCCA!B62)</f>
        <v>0</v>
      </c>
      <c r="C60" s="9">
        <f>SUM(SBOSCA!C62,MCBTCA!C62,ICICCA!C62,HKBCCA!C62,CUCXCA!C62,BOFMCA!C62,BOFACA!C62,BNPACA!C62,BNDCCA!C62,BLCMCA!C62,BCANCA!C62,ATBRCA!C62,CCDQCA!C62,CIBCCA!C62,NOSCCA!C62,TDOMCA!C62,ROYCCA!C62)</f>
        <v>4830.1589999999997</v>
      </c>
      <c r="D60" s="6">
        <f>SUM(SBOSCA!D62,MCBTCA!D62,ICICCA!D62,HKBCCA!D62,CUCXCA!D62,BOFMCA!D62,BOFACA!D62,BNPACA!D62,BNDCCA!D62,BLCMCA!D62,BCANCA!D62,ATBRCA!D62,CCDQCA!D62,CIBCCA!D62,NOSCCA!D62,TDOMCA!D62,ROYCCA!D62)</f>
        <v>0</v>
      </c>
      <c r="E60" s="6">
        <f>SUM(SBOSCA!E62,MCBTCA!E62,ICICCA!E62,HKBCCA!E62,CUCXCA!E62,BOFMCA!E62,BOFACA!E62,BNPACA!E62,BNDCCA!E62,BLCMCA!E62,BCANCA!E62,ATBRCA!E62,CCDQCA!E62,CIBCCA!E62,NOSCCA!E62,TDOMCA!E62,ROYCCA!E62)</f>
        <v>0</v>
      </c>
      <c r="F60" s="9">
        <f>SUM(SBOSCA!F62,MCBTCA!F62,ICICCA!F62,HKBCCA!F62,CUCXCA!F62,BOFMCA!F62,BOFACA!F62,BNPACA!F62,BNDCCA!F62,BLCMCA!F62,BCANCA!F62,ATBRCA!F62,CCDQCA!F62,CIBCCA!F62,NOSCCA!F62,TDOMCA!F62,ROYCCA!F62)</f>
        <v>6.6969999999999992</v>
      </c>
      <c r="G60" s="6">
        <f>SUM(SBOSCA!G62,MCBTCA!G62,ICICCA!G62,HKBCCA!G62,CUCXCA!G62,BOFMCA!G62,BOFACA!G62,BNPACA!G62,BNDCCA!G62,BLCMCA!G62,BCANCA!G62,ATBRCA!G62,CCDQCA!G62,CIBCCA!G62,NOSCCA!G62,TDOMCA!G62,ROYCCA!G62)</f>
        <v>0</v>
      </c>
      <c r="K60" s="7" t="str">
        <f>SBOSCA!K62</f>
        <v>2026Q3</v>
      </c>
      <c r="L60" s="6">
        <f>SUM(SBOSCA!L62,MCBTCA!L62,ICICCA!L62,HKBCCA!L62,CUCXCA!L62,BOFMCA!L62,BOFACA!L62,BNPACA!L62,BNDCCA!L62,BLCMCA!L62,BCANCA!L62,ATBRCA!L62,CCDQCA!L62,CIBCCA!L62,NOSCCA!L62,TDOMCA!L62,ROYCCA!L62)</f>
        <v>0</v>
      </c>
      <c r="M60" s="9">
        <f>SUM(SBOSCA!M62,MCBTCA!M62,ICICCA!M62,HKBCCA!M62,CUCXCA!M62,BOFMCA!M62,BOFACA!M62,BNPACA!M62,BNDCCA!M62,BLCMCA!M62,BCANCA!M62,ATBRCA!M62,CCDQCA!M62,CIBCCA!M62,NOSCCA!M62,TDOMCA!M62,ROYCCA!M62)</f>
        <v>4724.3</v>
      </c>
      <c r="N60" s="6">
        <f>SUM(SBOSCA!N62,MCBTCA!N62,ICICCA!N62,HKBCCA!N62,CUCXCA!N62,BOFMCA!N62,BOFACA!N62,BNPACA!N62,BNDCCA!N62,BLCMCA!N62,BCANCA!N62,ATBRCA!N62,CCDQCA!N62,CIBCCA!N62,NOSCCA!N62,TDOMCA!N62,ROYCCA!N62)</f>
        <v>0</v>
      </c>
      <c r="O60" s="6">
        <f>SUM(SBOSCA!O62,MCBTCA!O62,ICICCA!O62,HKBCCA!O62,CUCXCA!O62,BOFMCA!O62,BOFACA!O62,BNPACA!O62,BNDCCA!O62,BLCMCA!O62,BCANCA!O62,ATBRCA!O62,CCDQCA!O62,CIBCCA!O62,NOSCCA!O62,TDOMCA!O62,ROYCCA!O62)</f>
        <v>0</v>
      </c>
      <c r="P60" s="9">
        <f>SUM(SBOSCA!P62,MCBTCA!P62,ICICCA!P62,HKBCCA!P62,CUCXCA!P62,BOFMCA!P62,BOFACA!P62,BNPACA!P62,BNDCCA!P62,BLCMCA!P62,BCANCA!P62,ATBRCA!P62,CCDQCA!P62,CIBCCA!P62,NOSCCA!P62,TDOMCA!P62,ROYCCA!P62)</f>
        <v>6.4969999999999999</v>
      </c>
      <c r="Q60" s="6">
        <f>SUM(SBOSCA!Q62,MCBTCA!Q62,ICICCA!Q62,HKBCCA!Q62,CUCXCA!Q62,BOFMCA!Q62,BOFACA!Q62,BNPACA!Q62,BNDCCA!Q62,BLCMCA!Q62,BCANCA!Q62,ATBRCA!Q62,CCDQCA!Q62,CIBCCA!Q62,NOSCCA!Q62,TDOMCA!Q62,ROYCCA!Q62)</f>
        <v>0</v>
      </c>
    </row>
    <row r="61" spans="1:17" ht="15.5" thickTop="1" thickBot="1" x14ac:dyDescent="0.4">
      <c r="A61" s="7" t="str">
        <f>SBOSCA!A63</f>
        <v>2026Q4</v>
      </c>
      <c r="B61" s="6">
        <f>SUM(SBOSCA!B63,MCBTCA!B63,ICICCA!B63,HKBCCA!B63,CUCXCA!B63,BOFMCA!B63,BOFACA!B63,BNPACA!B63,BNDCCA!B63,BLCMCA!B63,BCANCA!B63,ATBRCA!B63,CCDQCA!B63,CIBCCA!B63,NOSCCA!B63,TDOMCA!B63,ROYCCA!B63)</f>
        <v>0</v>
      </c>
      <c r="C61" s="9">
        <f>SUM(SBOSCA!C63,MCBTCA!C63,ICICCA!C63,HKBCCA!C63,CUCXCA!C63,BOFMCA!C63,BOFACA!C63,BNPACA!C63,BNDCCA!C63,BLCMCA!C63,BCANCA!C63,ATBRCA!C63,CCDQCA!C63,CIBCCA!C63,NOSCCA!C63,TDOMCA!C63,ROYCCA!C63)</f>
        <v>4891.1640000000007</v>
      </c>
      <c r="D61" s="6">
        <f>SUM(SBOSCA!D63,MCBTCA!D63,ICICCA!D63,HKBCCA!D63,CUCXCA!D63,BOFMCA!D63,BOFACA!D63,BNPACA!D63,BNDCCA!D63,BLCMCA!D63,BCANCA!D63,ATBRCA!D63,CCDQCA!D63,CIBCCA!D63,NOSCCA!D63,TDOMCA!D63,ROYCCA!D63)</f>
        <v>0</v>
      </c>
      <c r="E61" s="6">
        <f>SUM(SBOSCA!E63,MCBTCA!E63,ICICCA!E63,HKBCCA!E63,CUCXCA!E63,BOFMCA!E63,BOFACA!E63,BNPACA!E63,BNDCCA!E63,BLCMCA!E63,BCANCA!E63,ATBRCA!E63,CCDQCA!E63,CIBCCA!E63,NOSCCA!E63,TDOMCA!E63,ROYCCA!E63)</f>
        <v>0</v>
      </c>
      <c r="F61" s="9">
        <f>SUM(SBOSCA!F63,MCBTCA!F63,ICICCA!F63,HKBCCA!F63,CUCXCA!F63,BOFMCA!F63,BOFACA!F63,BNPACA!F63,BNDCCA!F63,BLCMCA!F63,BCANCA!F63,ATBRCA!F63,CCDQCA!F63,CIBCCA!F63,NOSCCA!F63,TDOMCA!F63,ROYCCA!F63)</f>
        <v>6.7460000000000004</v>
      </c>
      <c r="G61" s="6">
        <f>SUM(SBOSCA!G63,MCBTCA!G63,ICICCA!G63,HKBCCA!G63,CUCXCA!G63,BOFMCA!G63,BOFACA!G63,BNPACA!G63,BNDCCA!G63,BLCMCA!G63,BCANCA!G63,ATBRCA!G63,CCDQCA!G63,CIBCCA!G63,NOSCCA!G63,TDOMCA!G63,ROYCCA!G63)</f>
        <v>0</v>
      </c>
      <c r="K61" s="7" t="str">
        <f>SBOSCA!K63</f>
        <v>2026Q4</v>
      </c>
      <c r="L61" s="6">
        <f>SUM(SBOSCA!L63,MCBTCA!L63,ICICCA!L63,HKBCCA!L63,CUCXCA!L63,BOFMCA!L63,BOFACA!L63,BNPACA!L63,BNDCCA!L63,BLCMCA!L63,BCANCA!L63,ATBRCA!L63,CCDQCA!L63,CIBCCA!L63,NOSCCA!L63,TDOMCA!L63,ROYCCA!L63)</f>
        <v>0</v>
      </c>
      <c r="M61" s="9">
        <f>SUM(SBOSCA!M63,MCBTCA!M63,ICICCA!M63,HKBCCA!M63,CUCXCA!M63,BOFMCA!M63,BOFACA!M63,BNPACA!M63,BNDCCA!M63,BLCMCA!M63,BCANCA!M63,ATBRCA!M63,CCDQCA!M63,CIBCCA!M63,NOSCCA!M63,TDOMCA!M63,ROYCCA!M63)</f>
        <v>4784.7660000000005</v>
      </c>
      <c r="N61" s="6">
        <f>SUM(SBOSCA!N63,MCBTCA!N63,ICICCA!N63,HKBCCA!N63,CUCXCA!N63,BOFMCA!N63,BOFACA!N63,BNPACA!N63,BNDCCA!N63,BLCMCA!N63,BCANCA!N63,ATBRCA!N63,CCDQCA!N63,CIBCCA!N63,NOSCCA!N63,TDOMCA!N63,ROYCCA!N63)</f>
        <v>0</v>
      </c>
      <c r="O61" s="6">
        <f>SUM(SBOSCA!O63,MCBTCA!O63,ICICCA!O63,HKBCCA!O63,CUCXCA!O63,BOFMCA!O63,BOFACA!O63,BNPACA!O63,BNDCCA!O63,BLCMCA!O63,BCANCA!O63,ATBRCA!O63,CCDQCA!O63,CIBCCA!O63,NOSCCA!O63,TDOMCA!O63,ROYCCA!O63)</f>
        <v>0</v>
      </c>
      <c r="P61" s="9">
        <f>SUM(SBOSCA!P63,MCBTCA!P63,ICICCA!P63,HKBCCA!P63,CUCXCA!P63,BOFMCA!P63,BOFACA!P63,BNPACA!P63,BNDCCA!P63,BLCMCA!P63,BCANCA!P63,ATBRCA!P63,CCDQCA!P63,CIBCCA!P63,NOSCCA!P63,TDOMCA!P63,ROYCCA!P63)</f>
        <v>6.5430000000000001</v>
      </c>
      <c r="Q61" s="6">
        <f>SUM(SBOSCA!Q63,MCBTCA!Q63,ICICCA!Q63,HKBCCA!Q63,CUCXCA!Q63,BOFMCA!Q63,BOFACA!Q63,BNPACA!Q63,BNDCCA!Q63,BLCMCA!Q63,BCANCA!Q63,ATBRCA!Q63,CCDQCA!Q63,CIBCCA!Q63,NOSCCA!Q63,TDOMCA!Q63,ROYCCA!Q63)</f>
        <v>0</v>
      </c>
    </row>
    <row r="62" spans="1:17" ht="15.5" thickTop="1" thickBot="1" x14ac:dyDescent="0.4">
      <c r="A62" s="7" t="str">
        <f>SBOSCA!A64</f>
        <v>2027Q1</v>
      </c>
      <c r="B62" s="6">
        <f>SUM(SBOSCA!B64,MCBTCA!B64,ICICCA!B64,HKBCCA!B64,CUCXCA!B64,BOFMCA!B64,BOFACA!B64,BNPACA!B64,BNDCCA!B64,BLCMCA!B64,BCANCA!B64,ATBRCA!B64,CCDQCA!B64,CIBCCA!B64,NOSCCA!B64,TDOMCA!B64,ROYCCA!B64)</f>
        <v>0</v>
      </c>
      <c r="C62" s="9">
        <f>SUM(SBOSCA!C64,MCBTCA!C64,ICICCA!C64,HKBCCA!C64,CUCXCA!C64,BOFMCA!C64,BOFACA!C64,BNPACA!C64,BNDCCA!C64,BLCMCA!C64,BCANCA!C64,ATBRCA!C64,CCDQCA!C64,CIBCCA!C64,NOSCCA!C64,TDOMCA!C64,ROYCCA!C64)</f>
        <v>4681.2300000000005</v>
      </c>
      <c r="D62" s="6">
        <f>SUM(SBOSCA!D64,MCBTCA!D64,ICICCA!D64,HKBCCA!D64,CUCXCA!D64,BOFMCA!D64,BOFACA!D64,BNPACA!D64,BNDCCA!D64,BLCMCA!D64,BCANCA!D64,ATBRCA!D64,CCDQCA!D64,CIBCCA!D64,NOSCCA!D64,TDOMCA!D64,ROYCCA!D64)</f>
        <v>0</v>
      </c>
      <c r="E62" s="6">
        <f>SUM(SBOSCA!E64,MCBTCA!E64,ICICCA!E64,HKBCCA!E64,CUCXCA!E64,BOFMCA!E64,BOFACA!E64,BNPACA!E64,BNDCCA!E64,BLCMCA!E64,BCANCA!E64,ATBRCA!E64,CCDQCA!E64,CIBCCA!E64,NOSCCA!E64,TDOMCA!E64,ROYCCA!E64)</f>
        <v>0</v>
      </c>
      <c r="F62" s="9">
        <f>SUM(SBOSCA!F64,MCBTCA!F64,ICICCA!F64,HKBCCA!F64,CUCXCA!F64,BOFMCA!F64,BOFACA!F64,BNPACA!F64,BNDCCA!F64,BLCMCA!F64,BCANCA!F64,ATBRCA!F64,CCDQCA!F64,CIBCCA!F64,NOSCCA!F64,TDOMCA!F64,ROYCCA!F64)</f>
        <v>6.6959999999999997</v>
      </c>
      <c r="G62" s="6">
        <f>SUM(SBOSCA!G64,MCBTCA!G64,ICICCA!G64,HKBCCA!G64,CUCXCA!G64,BOFMCA!G64,BOFACA!G64,BNPACA!G64,BNDCCA!G64,BLCMCA!G64,BCANCA!G64,ATBRCA!G64,CCDQCA!G64,CIBCCA!G64,NOSCCA!G64,TDOMCA!G64,ROYCCA!G64)</f>
        <v>0</v>
      </c>
      <c r="K62" s="7" t="str">
        <f>SBOSCA!K64</f>
        <v>2027Q1</v>
      </c>
      <c r="L62" s="6">
        <f>SUM(SBOSCA!L64,MCBTCA!L64,ICICCA!L64,HKBCCA!L64,CUCXCA!L64,BOFMCA!L64,BOFACA!L64,BNPACA!L64,BNDCCA!L64,BLCMCA!L64,BCANCA!L64,ATBRCA!L64,CCDQCA!L64,CIBCCA!L64,NOSCCA!L64,TDOMCA!L64,ROYCCA!L64)</f>
        <v>0</v>
      </c>
      <c r="M62" s="9">
        <f>SUM(SBOSCA!M64,MCBTCA!M64,ICICCA!M64,HKBCCA!M64,CUCXCA!M64,BOFMCA!M64,BOFACA!M64,BNPACA!M64,BNDCCA!M64,BLCMCA!M64,BCANCA!M64,ATBRCA!M64,CCDQCA!M64,CIBCCA!M64,NOSCCA!M64,TDOMCA!M64,ROYCCA!M64)</f>
        <v>4574.3310000000001</v>
      </c>
      <c r="N62" s="6">
        <f>SUM(SBOSCA!N64,MCBTCA!N64,ICICCA!N64,HKBCCA!N64,CUCXCA!N64,BOFMCA!N64,BOFACA!N64,BNPACA!N64,BNDCCA!N64,BLCMCA!N64,BCANCA!N64,ATBRCA!N64,CCDQCA!N64,CIBCCA!N64,NOSCCA!N64,TDOMCA!N64,ROYCCA!N64)</f>
        <v>0</v>
      </c>
      <c r="O62" s="6">
        <f>SUM(SBOSCA!O64,MCBTCA!O64,ICICCA!O64,HKBCCA!O64,CUCXCA!O64,BOFMCA!O64,BOFACA!O64,BNPACA!O64,BNDCCA!O64,BLCMCA!O64,BCANCA!O64,ATBRCA!O64,CCDQCA!O64,CIBCCA!O64,NOSCCA!O64,TDOMCA!O64,ROYCCA!O64)</f>
        <v>0</v>
      </c>
      <c r="P62" s="9">
        <f>SUM(SBOSCA!P64,MCBTCA!P64,ICICCA!P64,HKBCCA!P64,CUCXCA!P64,BOFMCA!P64,BOFACA!P64,BNPACA!P64,BNDCCA!P64,BLCMCA!P64,BCANCA!P64,ATBRCA!P64,CCDQCA!P64,CIBCCA!P64,NOSCCA!P64,TDOMCA!P64,ROYCCA!P64)</f>
        <v>6.4890000000000008</v>
      </c>
      <c r="Q62" s="6">
        <f>SUM(SBOSCA!Q64,MCBTCA!Q64,ICICCA!Q64,HKBCCA!Q64,CUCXCA!Q64,BOFMCA!Q64,BOFACA!Q64,BNPACA!Q64,BNDCCA!Q64,BLCMCA!Q64,BCANCA!Q64,ATBRCA!Q64,CCDQCA!Q64,CIBCCA!Q64,NOSCCA!Q64,TDOMCA!Q64,ROYCCA!Q64)</f>
        <v>0</v>
      </c>
    </row>
    <row r="63" spans="1:17" ht="15.5" thickTop="1" thickBot="1" x14ac:dyDescent="0.4">
      <c r="A63" s="7" t="str">
        <f>SBOSCA!A65</f>
        <v>2027Q2</v>
      </c>
      <c r="B63" s="6">
        <f>SUM(SBOSCA!B65,MCBTCA!B65,ICICCA!B65,HKBCCA!B65,CUCXCA!B65,BOFMCA!B65,BOFACA!B65,BNPACA!B65,BNDCCA!B65,BLCMCA!B65,BCANCA!B65,ATBRCA!B65,CCDQCA!B65,CIBCCA!B65,NOSCCA!B65,TDOMCA!B65,ROYCCA!B65)</f>
        <v>0</v>
      </c>
      <c r="C63" s="9">
        <f>SUM(SBOSCA!C65,MCBTCA!C65,ICICCA!C65,HKBCCA!C65,CUCXCA!C65,BOFMCA!C65,BOFACA!C65,BNPACA!C65,BNDCCA!C65,BLCMCA!C65,BCANCA!C65,ATBRCA!C65,CCDQCA!C65,CIBCCA!C65,NOSCCA!C65,TDOMCA!C65,ROYCCA!C65)</f>
        <v>4939.8670000000002</v>
      </c>
      <c r="D63" s="6">
        <f>SUM(SBOSCA!D65,MCBTCA!D65,ICICCA!D65,HKBCCA!D65,CUCXCA!D65,BOFMCA!D65,BOFACA!D65,BNPACA!D65,BNDCCA!D65,BLCMCA!D65,BCANCA!D65,ATBRCA!D65,CCDQCA!D65,CIBCCA!D65,NOSCCA!D65,TDOMCA!D65,ROYCCA!D65)</f>
        <v>0</v>
      </c>
      <c r="E63" s="6">
        <f>SUM(SBOSCA!E65,MCBTCA!E65,ICICCA!E65,HKBCCA!E65,CUCXCA!E65,BOFMCA!E65,BOFACA!E65,BNPACA!E65,BNDCCA!E65,BLCMCA!E65,BCANCA!E65,ATBRCA!E65,CCDQCA!E65,CIBCCA!E65,NOSCCA!E65,TDOMCA!E65,ROYCCA!E65)</f>
        <v>0</v>
      </c>
      <c r="F63" s="9">
        <f>SUM(SBOSCA!F65,MCBTCA!F65,ICICCA!F65,HKBCCA!F65,CUCXCA!F65,BOFMCA!F65,BOFACA!F65,BNPACA!F65,BNDCCA!F65,BLCMCA!F65,BCANCA!F65,ATBRCA!F65,CCDQCA!F65,CIBCCA!F65,NOSCCA!F65,TDOMCA!F65,ROYCCA!F65)</f>
        <v>6.8709999999999996</v>
      </c>
      <c r="G63" s="6">
        <f>SUM(SBOSCA!G65,MCBTCA!G65,ICICCA!G65,HKBCCA!G65,CUCXCA!G65,BOFMCA!G65,BOFACA!G65,BNPACA!G65,BNDCCA!G65,BLCMCA!G65,BCANCA!G65,ATBRCA!G65,CCDQCA!G65,CIBCCA!G65,NOSCCA!G65,TDOMCA!G65,ROYCCA!G65)</f>
        <v>0</v>
      </c>
      <c r="K63" s="7" t="str">
        <f>SBOSCA!K65</f>
        <v>2027Q2</v>
      </c>
      <c r="L63" s="6">
        <f>SUM(SBOSCA!L65,MCBTCA!L65,ICICCA!L65,HKBCCA!L65,CUCXCA!L65,BOFMCA!L65,BOFACA!L65,BNPACA!L65,BNDCCA!L65,BLCMCA!L65,BCANCA!L65,ATBRCA!L65,CCDQCA!L65,CIBCCA!L65,NOSCCA!L65,TDOMCA!L65,ROYCCA!L65)</f>
        <v>0</v>
      </c>
      <c r="M63" s="9">
        <f>SUM(SBOSCA!M65,MCBTCA!M65,ICICCA!M65,HKBCCA!M65,CUCXCA!M65,BOFMCA!M65,BOFACA!M65,BNPACA!M65,BNDCCA!M65,BLCMCA!M65,BCANCA!M65,ATBRCA!M65,CCDQCA!M65,CIBCCA!M65,NOSCCA!M65,TDOMCA!M65,ROYCCA!M65)</f>
        <v>4832.4969999999994</v>
      </c>
      <c r="N63" s="6">
        <f>SUM(SBOSCA!N65,MCBTCA!N65,ICICCA!N65,HKBCCA!N65,CUCXCA!N65,BOFMCA!N65,BOFACA!N65,BNPACA!N65,BNDCCA!N65,BLCMCA!N65,BCANCA!N65,ATBRCA!N65,CCDQCA!N65,CIBCCA!N65,NOSCCA!N65,TDOMCA!N65,ROYCCA!N65)</f>
        <v>0</v>
      </c>
      <c r="O63" s="6">
        <f>SUM(SBOSCA!O65,MCBTCA!O65,ICICCA!O65,HKBCCA!O65,CUCXCA!O65,BOFMCA!O65,BOFACA!O65,BNPACA!O65,BNDCCA!O65,BLCMCA!O65,BCANCA!O65,ATBRCA!O65,CCDQCA!O65,CIBCCA!O65,NOSCCA!O65,TDOMCA!O65,ROYCCA!O65)</f>
        <v>0</v>
      </c>
      <c r="P63" s="9">
        <f>SUM(SBOSCA!P65,MCBTCA!P65,ICICCA!P65,HKBCCA!P65,CUCXCA!P65,BOFMCA!P65,BOFACA!P65,BNPACA!P65,BNDCCA!P65,BLCMCA!P65,BCANCA!P65,ATBRCA!P65,CCDQCA!P65,CIBCCA!P65,NOSCCA!P65,TDOMCA!P65,ROYCCA!P65)</f>
        <v>6.66</v>
      </c>
      <c r="Q63" s="6">
        <f>SUM(SBOSCA!Q65,MCBTCA!Q65,ICICCA!Q65,HKBCCA!Q65,CUCXCA!Q65,BOFMCA!Q65,BOFACA!Q65,BNPACA!Q65,BNDCCA!Q65,BLCMCA!Q65,BCANCA!Q65,ATBRCA!Q65,CCDQCA!Q65,CIBCCA!Q65,NOSCCA!Q65,TDOMCA!Q65,ROYCCA!Q65)</f>
        <v>0</v>
      </c>
    </row>
    <row r="64" spans="1:17" ht="15.5" thickTop="1" thickBot="1" x14ac:dyDescent="0.4">
      <c r="A64" s="7" t="str">
        <f>SBOSCA!A66</f>
        <v>2027Q3</v>
      </c>
      <c r="B64" s="6">
        <f>SUM(SBOSCA!B66,MCBTCA!B66,ICICCA!B66,HKBCCA!B66,CUCXCA!B66,BOFMCA!B66,BOFACA!B66,BNPACA!B66,BNDCCA!B66,BLCMCA!B66,BCANCA!B66,ATBRCA!B66,CCDQCA!B66,CIBCCA!B66,NOSCCA!B66,TDOMCA!B66,ROYCCA!B66)</f>
        <v>0</v>
      </c>
      <c r="C64" s="9">
        <f>SUM(SBOSCA!C66,MCBTCA!C66,ICICCA!C66,HKBCCA!C66,CUCXCA!C66,BOFMCA!C66,BOFACA!C66,BNPACA!C66,BNDCCA!C66,BLCMCA!C66,BCANCA!C66,ATBRCA!C66,CCDQCA!C66,CIBCCA!C66,NOSCCA!C66,TDOMCA!C66,ROYCCA!C66)</f>
        <v>4930.6499999999996</v>
      </c>
      <c r="D64" s="6">
        <f>SUM(SBOSCA!D66,MCBTCA!D66,ICICCA!D66,HKBCCA!D66,CUCXCA!D66,BOFMCA!D66,BOFACA!D66,BNPACA!D66,BNDCCA!D66,BLCMCA!D66,BCANCA!D66,ATBRCA!D66,CCDQCA!D66,CIBCCA!D66,NOSCCA!D66,TDOMCA!D66,ROYCCA!D66)</f>
        <v>0</v>
      </c>
      <c r="E64" s="6">
        <f>SUM(SBOSCA!E66,MCBTCA!E66,ICICCA!E66,HKBCCA!E66,CUCXCA!E66,BOFMCA!E66,BOFACA!E66,BNPACA!E66,BNDCCA!E66,BLCMCA!E66,BCANCA!E66,ATBRCA!E66,CCDQCA!E66,CIBCCA!E66,NOSCCA!E66,TDOMCA!E66,ROYCCA!E66)</f>
        <v>0</v>
      </c>
      <c r="F64" s="9">
        <f>SUM(SBOSCA!F66,MCBTCA!F66,ICICCA!F66,HKBCCA!F66,CUCXCA!F66,BOFMCA!F66,BOFACA!F66,BNPACA!F66,BNDCCA!F66,BLCMCA!F66,BCANCA!F66,ATBRCA!F66,CCDQCA!F66,CIBCCA!F66,NOSCCA!F66,TDOMCA!F66,ROYCCA!F66)</f>
        <v>6.8839999999999995</v>
      </c>
      <c r="G64" s="6">
        <f>SUM(SBOSCA!G66,MCBTCA!G66,ICICCA!G66,HKBCCA!G66,CUCXCA!G66,BOFMCA!G66,BOFACA!G66,BNPACA!G66,BNDCCA!G66,BLCMCA!G66,BCANCA!G66,ATBRCA!G66,CCDQCA!G66,CIBCCA!G66,NOSCCA!G66,TDOMCA!G66,ROYCCA!G66)</f>
        <v>0</v>
      </c>
      <c r="K64" s="7" t="str">
        <f>SBOSCA!K66</f>
        <v>2027Q3</v>
      </c>
      <c r="L64" s="6">
        <f>SUM(SBOSCA!L66,MCBTCA!L66,ICICCA!L66,HKBCCA!L66,CUCXCA!L66,BOFMCA!L66,BOFACA!L66,BNPACA!L66,BNDCCA!L66,BLCMCA!L66,BCANCA!L66,ATBRCA!L66,CCDQCA!L66,CIBCCA!L66,NOSCCA!L66,TDOMCA!L66,ROYCCA!L66)</f>
        <v>0</v>
      </c>
      <c r="M64" s="9">
        <f>SUM(SBOSCA!M66,MCBTCA!M66,ICICCA!M66,HKBCCA!M66,CUCXCA!M66,BOFMCA!M66,BOFACA!M66,BNPACA!M66,BNDCCA!M66,BLCMCA!M66,BCANCA!M66,ATBRCA!M66,CCDQCA!M66,CIBCCA!M66,NOSCCA!M66,TDOMCA!M66,ROYCCA!M66)</f>
        <v>4822.848</v>
      </c>
      <c r="N64" s="6">
        <f>SUM(SBOSCA!N66,MCBTCA!N66,ICICCA!N66,HKBCCA!N66,CUCXCA!N66,BOFMCA!N66,BOFACA!N66,BNPACA!N66,BNDCCA!N66,BLCMCA!N66,BCANCA!N66,ATBRCA!N66,CCDQCA!N66,CIBCCA!N66,NOSCCA!N66,TDOMCA!N66,ROYCCA!N66)</f>
        <v>0</v>
      </c>
      <c r="O64" s="6">
        <f>SUM(SBOSCA!O66,MCBTCA!O66,ICICCA!O66,HKBCCA!O66,CUCXCA!O66,BOFMCA!O66,BOFACA!O66,BNPACA!O66,BNDCCA!O66,BLCMCA!O66,BCANCA!O66,ATBRCA!O66,CCDQCA!O66,CIBCCA!O66,NOSCCA!O66,TDOMCA!O66,ROYCCA!O66)</f>
        <v>0</v>
      </c>
      <c r="P64" s="9">
        <f>SUM(SBOSCA!P66,MCBTCA!P66,ICICCA!P66,HKBCCA!P66,CUCXCA!P66,BOFMCA!P66,BOFACA!P66,BNPACA!P66,BNDCCA!P66,BLCMCA!P66,BCANCA!P66,ATBRCA!P66,CCDQCA!P66,CIBCCA!P66,NOSCCA!P66,TDOMCA!P66,ROYCCA!P66)</f>
        <v>6.6669999999999989</v>
      </c>
      <c r="Q64" s="6">
        <f>SUM(SBOSCA!Q66,MCBTCA!Q66,ICICCA!Q66,HKBCCA!Q66,CUCXCA!Q66,BOFMCA!Q66,BOFACA!Q66,BNPACA!Q66,BNDCCA!Q66,BLCMCA!Q66,BCANCA!Q66,ATBRCA!Q66,CCDQCA!Q66,CIBCCA!Q66,NOSCCA!Q66,TDOMCA!Q66,ROYCCA!Q66)</f>
        <v>0</v>
      </c>
    </row>
    <row r="65" spans="1:17" ht="15.5" thickTop="1" thickBot="1" x14ac:dyDescent="0.4">
      <c r="A65" s="7" t="str">
        <f>SBOSCA!A67</f>
        <v>2027Q4</v>
      </c>
      <c r="B65" s="6">
        <f>SUM(SBOSCA!B67,MCBTCA!B67,ICICCA!B67,HKBCCA!B67,CUCXCA!B67,BOFMCA!B67,BOFACA!B67,BNPACA!B67,BNDCCA!B67,BLCMCA!B67,BCANCA!B67,ATBRCA!B67,CCDQCA!B67,CIBCCA!B67,NOSCCA!B67,TDOMCA!B67,ROYCCA!B67)</f>
        <v>0</v>
      </c>
      <c r="C65" s="9">
        <f>SUM(SBOSCA!C67,MCBTCA!C67,ICICCA!C67,HKBCCA!C67,CUCXCA!C67,BOFMCA!C67,BOFACA!C67,BNPACA!C67,BNDCCA!C67,BLCMCA!C67,BCANCA!C67,ATBRCA!C67,CCDQCA!C67,CIBCCA!C67,NOSCCA!C67,TDOMCA!C67,ROYCCA!C67)</f>
        <v>4991.8710000000001</v>
      </c>
      <c r="D65" s="6">
        <f>SUM(SBOSCA!D67,MCBTCA!D67,ICICCA!D67,HKBCCA!D67,CUCXCA!D67,BOFMCA!D67,BOFACA!D67,BNPACA!D67,BNDCCA!D67,BLCMCA!D67,BCANCA!D67,ATBRCA!D67,CCDQCA!D67,CIBCCA!D67,NOSCCA!D67,TDOMCA!D67,ROYCCA!D67)</f>
        <v>0</v>
      </c>
      <c r="E65" s="6">
        <f>SUM(SBOSCA!E67,MCBTCA!E67,ICICCA!E67,HKBCCA!E67,CUCXCA!E67,BOFMCA!E67,BOFACA!E67,BNPACA!E67,BNDCCA!E67,BLCMCA!E67,BCANCA!E67,ATBRCA!E67,CCDQCA!E67,CIBCCA!E67,NOSCCA!E67,TDOMCA!E67,ROYCCA!E67)</f>
        <v>0</v>
      </c>
      <c r="F65" s="9">
        <f>SUM(SBOSCA!F67,MCBTCA!F67,ICICCA!F67,HKBCCA!F67,CUCXCA!F67,BOFMCA!F67,BOFACA!F67,BNPACA!F67,BNDCCA!F67,BLCMCA!F67,BCANCA!F67,ATBRCA!F67,CCDQCA!F67,CIBCCA!F67,NOSCCA!F67,TDOMCA!F67,ROYCCA!F67)</f>
        <v>6.9339999999999993</v>
      </c>
      <c r="G65" s="6">
        <f>SUM(SBOSCA!G67,MCBTCA!G67,ICICCA!G67,HKBCCA!G67,CUCXCA!G67,BOFMCA!G67,BOFACA!G67,BNPACA!G67,BNDCCA!G67,BLCMCA!G67,BCANCA!G67,ATBRCA!G67,CCDQCA!G67,CIBCCA!G67,NOSCCA!G67,TDOMCA!G67,ROYCCA!G67)</f>
        <v>0</v>
      </c>
      <c r="K65" s="7" t="str">
        <f>SBOSCA!K67</f>
        <v>2027Q4</v>
      </c>
      <c r="L65" s="6">
        <f>SUM(SBOSCA!L67,MCBTCA!L67,ICICCA!L67,HKBCCA!L67,CUCXCA!L67,BOFMCA!L67,BOFACA!L67,BNPACA!L67,BNDCCA!L67,BLCMCA!L67,BCANCA!L67,ATBRCA!L67,CCDQCA!L67,CIBCCA!L67,NOSCCA!L67,TDOMCA!L67,ROYCCA!L67)</f>
        <v>0</v>
      </c>
      <c r="M65" s="9">
        <f>SUM(SBOSCA!M67,MCBTCA!M67,ICICCA!M67,HKBCCA!M67,CUCXCA!M67,BOFMCA!M67,BOFACA!M67,BNPACA!M67,BNDCCA!M67,BLCMCA!M67,BCANCA!M67,ATBRCA!M67,CCDQCA!M67,CIBCCA!M67,NOSCCA!M67,TDOMCA!M67,ROYCCA!M67)</f>
        <v>4883.66</v>
      </c>
      <c r="N65" s="6">
        <f>SUM(SBOSCA!N67,MCBTCA!N67,ICICCA!N67,HKBCCA!N67,CUCXCA!N67,BOFMCA!N67,BOFACA!N67,BNPACA!N67,BNDCCA!N67,BLCMCA!N67,BCANCA!N67,ATBRCA!N67,CCDQCA!N67,CIBCCA!N67,NOSCCA!N67,TDOMCA!N67,ROYCCA!N67)</f>
        <v>0</v>
      </c>
      <c r="O65" s="6">
        <f>SUM(SBOSCA!O67,MCBTCA!O67,ICICCA!O67,HKBCCA!O67,CUCXCA!O67,BOFMCA!O67,BOFACA!O67,BNPACA!O67,BNDCCA!O67,BLCMCA!O67,BCANCA!O67,ATBRCA!O67,CCDQCA!O67,CIBCCA!O67,NOSCCA!O67,TDOMCA!O67,ROYCCA!O67)</f>
        <v>0</v>
      </c>
      <c r="P65" s="9">
        <f>SUM(SBOSCA!P67,MCBTCA!P67,ICICCA!P67,HKBCCA!P67,CUCXCA!P67,BOFMCA!P67,BOFACA!P67,BNPACA!P67,BNDCCA!P67,BLCMCA!P67,BCANCA!P67,ATBRCA!P67,CCDQCA!P67,CIBCCA!P67,NOSCCA!P67,TDOMCA!P67,ROYCCA!P67)</f>
        <v>6.7089999999999987</v>
      </c>
      <c r="Q65" s="6">
        <f>SUM(SBOSCA!Q67,MCBTCA!Q67,ICICCA!Q67,HKBCCA!Q67,CUCXCA!Q67,BOFMCA!Q67,BOFACA!Q67,BNPACA!Q67,BNDCCA!Q67,BLCMCA!Q67,BCANCA!Q67,ATBRCA!Q67,CCDQCA!Q67,CIBCCA!Q67,NOSCCA!Q67,TDOMCA!Q67,ROYCCA!Q67)</f>
        <v>0</v>
      </c>
    </row>
    <row r="66" spans="1:17" ht="15.5" thickTop="1" thickBot="1" x14ac:dyDescent="0.4">
      <c r="A66" s="7" t="str">
        <f>SBOSCA!A68</f>
        <v>2028Q1</v>
      </c>
      <c r="B66" s="6">
        <f>SUM(SBOSCA!B68,MCBTCA!B68,ICICCA!B68,HKBCCA!B68,CUCXCA!B68,BOFMCA!B68,BOFACA!B68,BNPACA!B68,BNDCCA!B68,BLCMCA!B68,BCANCA!B68,ATBRCA!B68,CCDQCA!B68,CIBCCA!B68,NOSCCA!B68,TDOMCA!B68,ROYCCA!B68)</f>
        <v>0</v>
      </c>
      <c r="C66" s="9">
        <f>SUM(SBOSCA!C68,MCBTCA!C68,ICICCA!C68,HKBCCA!C68,CUCXCA!C68,BOFMCA!C68,BOFACA!C68,BNPACA!C68,BNDCCA!C68,BLCMCA!C68,BCANCA!C68,ATBRCA!C68,CCDQCA!C68,CIBCCA!C68,NOSCCA!C68,TDOMCA!C68,ROYCCA!C68)</f>
        <v>4782.1509999999998</v>
      </c>
      <c r="D66" s="6">
        <f>SUM(SBOSCA!D68,MCBTCA!D68,ICICCA!D68,HKBCCA!D68,CUCXCA!D68,BOFMCA!D68,BOFACA!D68,BNPACA!D68,BNDCCA!D68,BLCMCA!D68,BCANCA!D68,ATBRCA!D68,CCDQCA!D68,CIBCCA!D68,NOSCCA!D68,TDOMCA!D68,ROYCCA!D68)</f>
        <v>0</v>
      </c>
      <c r="E66" s="6">
        <f>SUM(SBOSCA!E68,MCBTCA!E68,ICICCA!E68,HKBCCA!E68,CUCXCA!E68,BOFMCA!E68,BOFACA!E68,BNPACA!E68,BNDCCA!E68,BLCMCA!E68,BCANCA!E68,ATBRCA!E68,CCDQCA!E68,CIBCCA!E68,NOSCCA!E68,TDOMCA!E68,ROYCCA!E68)</f>
        <v>0</v>
      </c>
      <c r="F66" s="9">
        <f>SUM(SBOSCA!F68,MCBTCA!F68,ICICCA!F68,HKBCCA!F68,CUCXCA!F68,BOFMCA!F68,BOFACA!F68,BNPACA!F68,BNDCCA!F68,BLCMCA!F68,BCANCA!F68,ATBRCA!F68,CCDQCA!F68,CIBCCA!F68,NOSCCA!F68,TDOMCA!F68,ROYCCA!F68)</f>
        <v>6.8870000000000005</v>
      </c>
      <c r="G66" s="6">
        <f>SUM(SBOSCA!G68,MCBTCA!G68,ICICCA!G68,HKBCCA!G68,CUCXCA!G68,BOFMCA!G68,BOFACA!G68,BNPACA!G68,BNDCCA!G68,BLCMCA!G68,BCANCA!G68,ATBRCA!G68,CCDQCA!G68,CIBCCA!G68,NOSCCA!G68,TDOMCA!G68,ROYCCA!G68)</f>
        <v>0</v>
      </c>
      <c r="K66" s="7" t="str">
        <f>SBOSCA!K68</f>
        <v>2028Q1</v>
      </c>
      <c r="L66" s="6">
        <f>SUM(SBOSCA!L68,MCBTCA!L68,ICICCA!L68,HKBCCA!L68,CUCXCA!L68,BOFMCA!L68,BOFACA!L68,BNPACA!L68,BNDCCA!L68,BLCMCA!L68,BCANCA!L68,ATBRCA!L68,CCDQCA!L68,CIBCCA!L68,NOSCCA!L68,TDOMCA!L68,ROYCCA!L68)</f>
        <v>0</v>
      </c>
      <c r="M66" s="9">
        <f>SUM(SBOSCA!M68,MCBTCA!M68,ICICCA!M68,HKBCCA!M68,CUCXCA!M68,BOFMCA!M68,BOFACA!M68,BNPACA!M68,BNDCCA!M68,BLCMCA!M68,BCANCA!M68,ATBRCA!M68,CCDQCA!M68,CIBCCA!M68,NOSCCA!M68,TDOMCA!M68,ROYCCA!M68)</f>
        <v>4673.5590000000002</v>
      </c>
      <c r="N66" s="6">
        <f>SUM(SBOSCA!N68,MCBTCA!N68,ICICCA!N68,HKBCCA!N68,CUCXCA!N68,BOFMCA!N68,BOFACA!N68,BNPACA!N68,BNDCCA!N68,BLCMCA!N68,BCANCA!N68,ATBRCA!N68,CCDQCA!N68,CIBCCA!N68,NOSCCA!N68,TDOMCA!N68,ROYCCA!N68)</f>
        <v>0</v>
      </c>
      <c r="O66" s="6">
        <f>SUM(SBOSCA!O68,MCBTCA!O68,ICICCA!O68,HKBCCA!O68,CUCXCA!O68,BOFMCA!O68,BOFACA!O68,BNPACA!O68,BNDCCA!O68,BLCMCA!O68,BCANCA!O68,ATBRCA!O68,CCDQCA!O68,CIBCCA!O68,NOSCCA!O68,TDOMCA!O68,ROYCCA!O68)</f>
        <v>0</v>
      </c>
      <c r="P66" s="9">
        <f>SUM(SBOSCA!P68,MCBTCA!P68,ICICCA!P68,HKBCCA!P68,CUCXCA!P68,BOFMCA!P68,BOFACA!P68,BNPACA!P68,BNDCCA!P68,BLCMCA!P68,BCANCA!P68,ATBRCA!P68,CCDQCA!P68,CIBCCA!P68,NOSCCA!P68,TDOMCA!P68,ROYCCA!P68)</f>
        <v>6.6599999999999993</v>
      </c>
      <c r="Q66" s="6">
        <f>SUM(SBOSCA!Q68,MCBTCA!Q68,ICICCA!Q68,HKBCCA!Q68,CUCXCA!Q68,BOFMCA!Q68,BOFACA!Q68,BNPACA!Q68,BNDCCA!Q68,BLCMCA!Q68,BCANCA!Q68,ATBRCA!Q68,CCDQCA!Q68,CIBCCA!Q68,NOSCCA!Q68,TDOMCA!Q68,ROYCCA!Q68)</f>
        <v>0</v>
      </c>
    </row>
    <row r="67" spans="1:17" ht="15.5" thickTop="1" thickBot="1" x14ac:dyDescent="0.4">
      <c r="A67" s="7" t="str">
        <f>SBOSCA!A69</f>
        <v>2028Q2</v>
      </c>
      <c r="B67" s="6">
        <f>SUM(SBOSCA!B69,MCBTCA!B69,ICICCA!B69,HKBCCA!B69,CUCXCA!B69,BOFMCA!B69,BOFACA!B69,BNPACA!B69,BNDCCA!B69,BLCMCA!B69,BCANCA!B69,ATBRCA!B69,CCDQCA!B69,CIBCCA!B69,NOSCCA!B69,TDOMCA!B69,ROYCCA!B69)</f>
        <v>0</v>
      </c>
      <c r="C67" s="9">
        <f>SUM(SBOSCA!C69,MCBTCA!C69,ICICCA!C69,HKBCCA!C69,CUCXCA!C69,BOFMCA!C69,BOFACA!C69,BNPACA!C69,BNDCCA!C69,BLCMCA!C69,BCANCA!C69,ATBRCA!C69,CCDQCA!C69,CIBCCA!C69,NOSCCA!C69,TDOMCA!C69,ROYCCA!C69)</f>
        <v>5040.9949999999999</v>
      </c>
      <c r="D67" s="6">
        <f>SUM(SBOSCA!D69,MCBTCA!D69,ICICCA!D69,HKBCCA!D69,CUCXCA!D69,BOFMCA!D69,BOFACA!D69,BNPACA!D69,BNDCCA!D69,BLCMCA!D69,BCANCA!D69,ATBRCA!D69,CCDQCA!D69,CIBCCA!D69,NOSCCA!D69,TDOMCA!D69,ROYCCA!D69)</f>
        <v>0</v>
      </c>
      <c r="E67" s="6">
        <f>SUM(SBOSCA!E69,MCBTCA!E69,ICICCA!E69,HKBCCA!E69,CUCXCA!E69,BOFMCA!E69,BOFACA!E69,BNPACA!E69,BNDCCA!E69,BLCMCA!E69,BCANCA!E69,ATBRCA!E69,CCDQCA!E69,CIBCCA!E69,NOSCCA!E69,TDOMCA!E69,ROYCCA!E69)</f>
        <v>0</v>
      </c>
      <c r="F67" s="9">
        <f>SUM(SBOSCA!F69,MCBTCA!F69,ICICCA!F69,HKBCCA!F69,CUCXCA!F69,BOFMCA!F69,BOFACA!F69,BNPACA!F69,BNDCCA!F69,BLCMCA!F69,BCANCA!F69,ATBRCA!F69,CCDQCA!F69,CIBCCA!F69,NOSCCA!F69,TDOMCA!F69,ROYCCA!F69)</f>
        <v>7.0640000000000001</v>
      </c>
      <c r="G67" s="6">
        <f>SUM(SBOSCA!G69,MCBTCA!G69,ICICCA!G69,HKBCCA!G69,CUCXCA!G69,BOFMCA!G69,BOFACA!G69,BNPACA!G69,BNDCCA!G69,BLCMCA!G69,BCANCA!G69,ATBRCA!G69,CCDQCA!G69,CIBCCA!G69,NOSCCA!G69,TDOMCA!G69,ROYCCA!G69)</f>
        <v>0</v>
      </c>
      <c r="K67" s="7" t="str">
        <f>SBOSCA!K69</f>
        <v>2028Q2</v>
      </c>
      <c r="L67" s="6">
        <f>SUM(SBOSCA!L69,MCBTCA!L69,ICICCA!L69,HKBCCA!L69,CUCXCA!L69,BOFMCA!L69,BOFACA!L69,BNPACA!L69,BNDCCA!L69,BLCMCA!L69,BCANCA!L69,ATBRCA!L69,CCDQCA!L69,CIBCCA!L69,NOSCCA!L69,TDOMCA!L69,ROYCCA!L69)</f>
        <v>0</v>
      </c>
      <c r="M67" s="9">
        <f>SUM(SBOSCA!M69,MCBTCA!M69,ICICCA!M69,HKBCCA!M69,CUCXCA!M69,BOFMCA!M69,BOFACA!M69,BNPACA!M69,BNDCCA!M69,BLCMCA!M69,BCANCA!M69,ATBRCA!M69,CCDQCA!M69,CIBCCA!M69,NOSCCA!M69,TDOMCA!M69,ROYCCA!M69)</f>
        <v>4932.0479999999998</v>
      </c>
      <c r="N67" s="6">
        <f>SUM(SBOSCA!N69,MCBTCA!N69,ICICCA!N69,HKBCCA!N69,CUCXCA!N69,BOFMCA!N69,BOFACA!N69,BNPACA!N69,BNDCCA!N69,BLCMCA!N69,BCANCA!N69,ATBRCA!N69,CCDQCA!N69,CIBCCA!N69,NOSCCA!N69,TDOMCA!N69,ROYCCA!N69)</f>
        <v>0</v>
      </c>
      <c r="O67" s="6">
        <f>SUM(SBOSCA!O69,MCBTCA!O69,ICICCA!O69,HKBCCA!O69,CUCXCA!O69,BOFMCA!O69,BOFACA!O69,BNPACA!O69,BNDCCA!O69,BLCMCA!O69,BCANCA!O69,ATBRCA!O69,CCDQCA!O69,CIBCCA!O69,NOSCCA!O69,TDOMCA!O69,ROYCCA!O69)</f>
        <v>0</v>
      </c>
      <c r="P67" s="9">
        <f>SUM(SBOSCA!P69,MCBTCA!P69,ICICCA!P69,HKBCCA!P69,CUCXCA!P69,BOFMCA!P69,BOFACA!P69,BNPACA!P69,BNDCCA!P69,BLCMCA!P69,BCANCA!P69,ATBRCA!P69,CCDQCA!P69,CIBCCA!P69,NOSCCA!P69,TDOMCA!P69,ROYCCA!P69)</f>
        <v>6.8340000000000005</v>
      </c>
      <c r="Q67" s="6">
        <f>SUM(SBOSCA!Q69,MCBTCA!Q69,ICICCA!Q69,HKBCCA!Q69,CUCXCA!Q69,BOFMCA!Q69,BOFACA!Q69,BNPACA!Q69,BNDCCA!Q69,BLCMCA!Q69,BCANCA!Q69,ATBRCA!Q69,CCDQCA!Q69,CIBCCA!Q69,NOSCCA!Q69,TDOMCA!Q69,ROYCCA!Q69)</f>
        <v>0</v>
      </c>
    </row>
    <row r="68" spans="1:17" ht="15.5" thickTop="1" thickBot="1" x14ac:dyDescent="0.4">
      <c r="A68" s="7" t="str">
        <f>SBOSCA!A70</f>
        <v>2028Q3</v>
      </c>
      <c r="B68" s="6">
        <f>SUM(SBOSCA!B70,MCBTCA!B70,ICICCA!B70,HKBCCA!B70,CUCXCA!B70,BOFMCA!B70,BOFACA!B70,BNPACA!B70,BNDCCA!B70,BLCMCA!B70,BCANCA!B70,ATBRCA!B70,CCDQCA!B70,CIBCCA!B70,NOSCCA!B70,TDOMCA!B70,ROYCCA!B70)</f>
        <v>0</v>
      </c>
      <c r="C68" s="9">
        <f>SUM(SBOSCA!C70,MCBTCA!C70,ICICCA!C70,HKBCCA!C70,CUCXCA!C70,BOFMCA!C70,BOFACA!C70,BNPACA!C70,BNDCCA!C70,BLCMCA!C70,BCANCA!C70,ATBRCA!C70,CCDQCA!C70,CIBCCA!C70,NOSCCA!C70,TDOMCA!C70,ROYCCA!C70)</f>
        <v>5031.9789999999994</v>
      </c>
      <c r="D68" s="6">
        <f>SUM(SBOSCA!D70,MCBTCA!D70,ICICCA!D70,HKBCCA!D70,CUCXCA!D70,BOFMCA!D70,BOFACA!D70,BNPACA!D70,BNDCCA!D70,BLCMCA!D70,BCANCA!D70,ATBRCA!D70,CCDQCA!D70,CIBCCA!D70,NOSCCA!D70,TDOMCA!D70,ROYCCA!D70)</f>
        <v>0</v>
      </c>
      <c r="E68" s="6">
        <f>SUM(SBOSCA!E70,MCBTCA!E70,ICICCA!E70,HKBCCA!E70,CUCXCA!E70,BOFMCA!E70,BOFACA!E70,BNPACA!E70,BNDCCA!E70,BLCMCA!E70,BCANCA!E70,ATBRCA!E70,CCDQCA!E70,CIBCCA!E70,NOSCCA!E70,TDOMCA!E70,ROYCCA!E70)</f>
        <v>0</v>
      </c>
      <c r="F68" s="9">
        <f>SUM(SBOSCA!F70,MCBTCA!F70,ICICCA!F70,HKBCCA!F70,CUCXCA!F70,BOFMCA!F70,BOFACA!F70,BNPACA!F70,BNDCCA!F70,BLCMCA!F70,BCANCA!F70,ATBRCA!F70,CCDQCA!F70,CIBCCA!F70,NOSCCA!F70,TDOMCA!F70,ROYCCA!F70)</f>
        <v>7.0729999999999995</v>
      </c>
      <c r="G68" s="6">
        <f>SUM(SBOSCA!G70,MCBTCA!G70,ICICCA!G70,HKBCCA!G70,CUCXCA!G70,BOFMCA!G70,BOFACA!G70,BNPACA!G70,BNDCCA!G70,BLCMCA!G70,BCANCA!G70,ATBRCA!G70,CCDQCA!G70,CIBCCA!G70,NOSCCA!G70,TDOMCA!G70,ROYCCA!G70)</f>
        <v>0</v>
      </c>
      <c r="K68" s="7" t="str">
        <f>SBOSCA!K70</f>
        <v>2028Q3</v>
      </c>
      <c r="L68" s="6">
        <f>SUM(SBOSCA!L70,MCBTCA!L70,ICICCA!L70,HKBCCA!L70,CUCXCA!L70,BOFMCA!L70,BOFACA!L70,BNPACA!L70,BNDCCA!L70,BLCMCA!L70,BCANCA!L70,ATBRCA!L70,CCDQCA!L70,CIBCCA!L70,NOSCCA!L70,TDOMCA!L70,ROYCCA!L70)</f>
        <v>0</v>
      </c>
      <c r="M68" s="9">
        <f>SUM(SBOSCA!M70,MCBTCA!M70,ICICCA!M70,HKBCCA!M70,CUCXCA!M70,BOFMCA!M70,BOFACA!M70,BNPACA!M70,BNDCCA!M70,BLCMCA!M70,BCANCA!M70,ATBRCA!M70,CCDQCA!M70,CIBCCA!M70,NOSCCA!M70,TDOMCA!M70,ROYCCA!M70)</f>
        <v>4922.701</v>
      </c>
      <c r="N68" s="6">
        <f>SUM(SBOSCA!N70,MCBTCA!N70,ICICCA!N70,HKBCCA!N70,CUCXCA!N70,BOFMCA!N70,BOFACA!N70,BNPACA!N70,BNDCCA!N70,BLCMCA!N70,BCANCA!N70,ATBRCA!N70,CCDQCA!N70,CIBCCA!N70,NOSCCA!N70,TDOMCA!N70,ROYCCA!N70)</f>
        <v>0</v>
      </c>
      <c r="O68" s="6">
        <f>SUM(SBOSCA!O70,MCBTCA!O70,ICICCA!O70,HKBCCA!O70,CUCXCA!O70,BOFMCA!O70,BOFACA!O70,BNPACA!O70,BNDCCA!O70,BLCMCA!O70,BCANCA!O70,ATBRCA!O70,CCDQCA!O70,CIBCCA!O70,NOSCCA!O70,TDOMCA!O70,ROYCCA!O70)</f>
        <v>0</v>
      </c>
      <c r="P68" s="9">
        <f>SUM(SBOSCA!P70,MCBTCA!P70,ICICCA!P70,HKBCCA!P70,CUCXCA!P70,BOFMCA!P70,BOFACA!P70,BNPACA!P70,BNDCCA!P70,BLCMCA!P70,BCANCA!P70,ATBRCA!P70,CCDQCA!P70,CIBCCA!P70,NOSCCA!P70,TDOMCA!P70,ROYCCA!P70)</f>
        <v>6.8379999999999992</v>
      </c>
      <c r="Q68" s="6">
        <f>SUM(SBOSCA!Q70,MCBTCA!Q70,ICICCA!Q70,HKBCCA!Q70,CUCXCA!Q70,BOFMCA!Q70,BOFACA!Q70,BNPACA!Q70,BNDCCA!Q70,BLCMCA!Q70,BCANCA!Q70,ATBRCA!Q70,CCDQCA!Q70,CIBCCA!Q70,NOSCCA!Q70,TDOMCA!Q70,ROYCCA!Q70)</f>
        <v>0</v>
      </c>
    </row>
    <row r="69" spans="1:17" ht="15.5" thickTop="1" thickBot="1" x14ac:dyDescent="0.4">
      <c r="A69" s="7" t="str">
        <f>SBOSCA!A71</f>
        <v>2028Q4</v>
      </c>
      <c r="B69" s="6">
        <f>SUM(SBOSCA!B71,MCBTCA!B71,ICICCA!B71,HKBCCA!B71,CUCXCA!B71,BOFMCA!B71,BOFACA!B71,BNPACA!B71,BNDCCA!B71,BLCMCA!B71,BCANCA!B71,ATBRCA!B71,CCDQCA!B71,CIBCCA!B71,NOSCCA!B71,TDOMCA!B71,ROYCCA!B71)</f>
        <v>0</v>
      </c>
      <c r="C69" s="9">
        <f>SUM(SBOSCA!C71,MCBTCA!C71,ICICCA!C71,HKBCCA!C71,CUCXCA!C71,BOFMCA!C71,BOFACA!C71,BNPACA!C71,BNDCCA!C71,BLCMCA!C71,BCANCA!C71,ATBRCA!C71,CCDQCA!C71,CIBCCA!C71,NOSCCA!C71,TDOMCA!C71,ROYCCA!C71)</f>
        <v>5093.3940000000002</v>
      </c>
      <c r="D69" s="6">
        <f>SUM(SBOSCA!D71,MCBTCA!D71,ICICCA!D71,HKBCCA!D71,CUCXCA!D71,BOFMCA!D71,BOFACA!D71,BNPACA!D71,BNDCCA!D71,BLCMCA!D71,BCANCA!D71,ATBRCA!D71,CCDQCA!D71,CIBCCA!D71,NOSCCA!D71,TDOMCA!D71,ROYCCA!D71)</f>
        <v>0</v>
      </c>
      <c r="E69" s="6">
        <f>SUM(SBOSCA!E71,MCBTCA!E71,ICICCA!E71,HKBCCA!E71,CUCXCA!E71,BOFMCA!E71,BOFACA!E71,BNPACA!E71,BNDCCA!E71,BLCMCA!E71,BCANCA!E71,ATBRCA!E71,CCDQCA!E71,CIBCCA!E71,NOSCCA!E71,TDOMCA!E71,ROYCCA!E71)</f>
        <v>0</v>
      </c>
      <c r="F69" s="9">
        <f>SUM(SBOSCA!F71,MCBTCA!F71,ICICCA!F71,HKBCCA!F71,CUCXCA!F71,BOFMCA!F71,BOFACA!F71,BNPACA!F71,BNDCCA!F71,BLCMCA!F71,BCANCA!F71,ATBRCA!F71,CCDQCA!F71,CIBCCA!F71,NOSCCA!F71,TDOMCA!F71,ROYCCA!F71)</f>
        <v>7.12</v>
      </c>
      <c r="G69" s="6">
        <f>SUM(SBOSCA!G71,MCBTCA!G71,ICICCA!G71,HKBCCA!G71,CUCXCA!G71,BOFMCA!G71,BOFACA!G71,BNPACA!G71,BNDCCA!G71,BLCMCA!G71,BCANCA!G71,ATBRCA!G71,CCDQCA!G71,CIBCCA!G71,NOSCCA!G71,TDOMCA!G71,ROYCCA!G71)</f>
        <v>0</v>
      </c>
      <c r="K69" s="7" t="str">
        <f>SBOSCA!K71</f>
        <v>2028Q4</v>
      </c>
      <c r="L69" s="6">
        <f>SUM(SBOSCA!L71,MCBTCA!L71,ICICCA!L71,HKBCCA!L71,CUCXCA!L71,BOFMCA!L71,BOFACA!L71,BNPACA!L71,BNDCCA!L71,BLCMCA!L71,BCANCA!L71,ATBRCA!L71,CCDQCA!L71,CIBCCA!L71,NOSCCA!L71,TDOMCA!L71,ROYCCA!L71)</f>
        <v>0</v>
      </c>
      <c r="M69" s="9">
        <f>SUM(SBOSCA!M71,MCBTCA!M71,ICICCA!M71,HKBCCA!M71,CUCXCA!M71,BOFMCA!M71,BOFACA!M71,BNPACA!M71,BNDCCA!M71,BLCMCA!M71,BCANCA!M71,ATBRCA!M71,CCDQCA!M71,CIBCCA!M71,NOSCCA!M71,TDOMCA!M71,ROYCCA!M71)</f>
        <v>4983.8050000000003</v>
      </c>
      <c r="N69" s="6">
        <f>SUM(SBOSCA!N71,MCBTCA!N71,ICICCA!N71,HKBCCA!N71,CUCXCA!N71,BOFMCA!N71,BOFACA!N71,BNPACA!N71,BNDCCA!N71,BLCMCA!N71,BCANCA!N71,ATBRCA!N71,CCDQCA!N71,CIBCCA!N71,NOSCCA!N71,TDOMCA!N71,ROYCCA!N71)</f>
        <v>0</v>
      </c>
      <c r="O69" s="6">
        <f>SUM(SBOSCA!O71,MCBTCA!O71,ICICCA!O71,HKBCCA!O71,CUCXCA!O71,BOFMCA!O71,BOFACA!O71,BNPACA!O71,BNDCCA!O71,BLCMCA!O71,BCANCA!O71,ATBRCA!O71,CCDQCA!O71,CIBCCA!O71,NOSCCA!O71,TDOMCA!O71,ROYCCA!O71)</f>
        <v>0</v>
      </c>
      <c r="P69" s="9">
        <f>SUM(SBOSCA!P71,MCBTCA!P71,ICICCA!P71,HKBCCA!P71,CUCXCA!P71,BOFMCA!P71,BOFACA!P71,BNPACA!P71,BNDCCA!P71,BLCMCA!P71,BCANCA!P71,ATBRCA!P71,CCDQCA!P71,CIBCCA!P71,NOSCCA!P71,TDOMCA!P71,ROYCCA!P71)</f>
        <v>6.8859999999999992</v>
      </c>
      <c r="Q69" s="6">
        <f>SUM(SBOSCA!Q71,MCBTCA!Q71,ICICCA!Q71,HKBCCA!Q71,CUCXCA!Q71,BOFMCA!Q71,BOFACA!Q71,BNPACA!Q71,BNDCCA!Q71,BLCMCA!Q71,BCANCA!Q71,ATBRCA!Q71,CCDQCA!Q71,CIBCCA!Q71,NOSCCA!Q71,TDOMCA!Q71,ROYCCA!Q71)</f>
        <v>0</v>
      </c>
    </row>
    <row r="70" spans="1:17" ht="15.5" thickTop="1" thickBot="1" x14ac:dyDescent="0.4">
      <c r="A70" s="7" t="str">
        <f>SBOSCA!A72</f>
        <v>2029Q1</v>
      </c>
      <c r="B70" s="6">
        <f>SUM(SBOSCA!B72,MCBTCA!B72,ICICCA!B72,HKBCCA!B72,CUCXCA!B72,BOFMCA!B72,BOFACA!B72,BNPACA!B72,BNDCCA!B72,BLCMCA!B72,BCANCA!B72,ATBRCA!B72,CCDQCA!B72,CIBCCA!B72,NOSCCA!B72,TDOMCA!B72,ROYCCA!B72)</f>
        <v>0</v>
      </c>
      <c r="C70" s="9">
        <f>SUM(SBOSCA!C72,MCBTCA!C72,ICICCA!C72,HKBCCA!C72,CUCXCA!C72,BOFMCA!C72,BOFACA!C72,BNPACA!C72,BNDCCA!C72,BLCMCA!C72,BCANCA!C72,ATBRCA!C72,CCDQCA!C72,CIBCCA!C72,NOSCCA!C72,TDOMCA!C72,ROYCCA!C72)</f>
        <v>4883.8629999999994</v>
      </c>
      <c r="D70" s="6">
        <f>SUM(SBOSCA!D72,MCBTCA!D72,ICICCA!D72,HKBCCA!D72,CUCXCA!D72,BOFMCA!D72,BOFACA!D72,BNPACA!D72,BNDCCA!D72,BLCMCA!D72,BCANCA!D72,ATBRCA!D72,CCDQCA!D72,CIBCCA!D72,NOSCCA!D72,TDOMCA!D72,ROYCCA!D72)</f>
        <v>0</v>
      </c>
      <c r="E70" s="6">
        <f>SUM(SBOSCA!E72,MCBTCA!E72,ICICCA!E72,HKBCCA!E72,CUCXCA!E72,BOFMCA!E72,BOFACA!E72,BNPACA!E72,BNDCCA!E72,BLCMCA!E72,BCANCA!E72,ATBRCA!E72,CCDQCA!E72,CIBCCA!E72,NOSCCA!E72,TDOMCA!E72,ROYCCA!E72)</f>
        <v>0</v>
      </c>
      <c r="F70" s="9">
        <f>SUM(SBOSCA!F72,MCBTCA!F72,ICICCA!F72,HKBCCA!F72,CUCXCA!F72,BOFMCA!F72,BOFACA!F72,BNPACA!F72,BNDCCA!F72,BLCMCA!F72,BCANCA!F72,ATBRCA!F72,CCDQCA!F72,CIBCCA!F72,NOSCCA!F72,TDOMCA!F72,ROYCCA!F72)</f>
        <v>7.077</v>
      </c>
      <c r="G70" s="6">
        <f>SUM(SBOSCA!G72,MCBTCA!G72,ICICCA!G72,HKBCCA!G72,CUCXCA!G72,BOFMCA!G72,BOFACA!G72,BNPACA!G72,BNDCCA!G72,BLCMCA!G72,BCANCA!G72,ATBRCA!G72,CCDQCA!G72,CIBCCA!G72,NOSCCA!G72,TDOMCA!G72,ROYCCA!G72)</f>
        <v>0</v>
      </c>
      <c r="K70" s="7" t="str">
        <f>SBOSCA!K72</f>
        <v>2029Q1</v>
      </c>
      <c r="L70" s="6">
        <f>SUM(SBOSCA!L72,MCBTCA!L72,ICICCA!L72,HKBCCA!L72,CUCXCA!L72,BOFMCA!L72,BOFACA!L72,BNPACA!L72,BNDCCA!L72,BLCMCA!L72,BCANCA!L72,ATBRCA!L72,CCDQCA!L72,CIBCCA!L72,NOSCCA!L72,TDOMCA!L72,ROYCCA!L72)</f>
        <v>0</v>
      </c>
      <c r="M70" s="9">
        <f>SUM(SBOSCA!M72,MCBTCA!M72,ICICCA!M72,HKBCCA!M72,CUCXCA!M72,BOFMCA!M72,BOFACA!M72,BNPACA!M72,BNDCCA!M72,BLCMCA!M72,BCANCA!M72,ATBRCA!M72,CCDQCA!M72,CIBCCA!M72,NOSCCA!M72,TDOMCA!M72,ROYCCA!M72)</f>
        <v>4773.9830000000002</v>
      </c>
      <c r="N70" s="6">
        <f>SUM(SBOSCA!N72,MCBTCA!N72,ICICCA!N72,HKBCCA!N72,CUCXCA!N72,BOFMCA!N72,BOFACA!N72,BNPACA!N72,BNDCCA!N72,BLCMCA!N72,BCANCA!N72,ATBRCA!N72,CCDQCA!N72,CIBCCA!N72,NOSCCA!N72,TDOMCA!N72,ROYCCA!N72)</f>
        <v>0</v>
      </c>
      <c r="O70" s="6">
        <f>SUM(SBOSCA!O72,MCBTCA!O72,ICICCA!O72,HKBCCA!O72,CUCXCA!O72,BOFMCA!O72,BOFACA!O72,BNPACA!O72,BNDCCA!O72,BLCMCA!O72,BCANCA!O72,ATBRCA!O72,CCDQCA!O72,CIBCCA!O72,NOSCCA!O72,TDOMCA!O72,ROYCCA!O72)</f>
        <v>0</v>
      </c>
      <c r="P70" s="9">
        <f>SUM(SBOSCA!P72,MCBTCA!P72,ICICCA!P72,HKBCCA!P72,CUCXCA!P72,BOFMCA!P72,BOFACA!P72,BNPACA!P72,BNDCCA!P72,BLCMCA!P72,BCANCA!P72,ATBRCA!P72,CCDQCA!P72,CIBCCA!P72,NOSCCA!P72,TDOMCA!P72,ROYCCA!P72)</f>
        <v>6.8339999999999996</v>
      </c>
      <c r="Q70" s="6">
        <f>SUM(SBOSCA!Q72,MCBTCA!Q72,ICICCA!Q72,HKBCCA!Q72,CUCXCA!Q72,BOFMCA!Q72,BOFACA!Q72,BNPACA!Q72,BNDCCA!Q72,BLCMCA!Q72,BCANCA!Q72,ATBRCA!Q72,CCDQCA!Q72,CIBCCA!Q72,NOSCCA!Q72,TDOMCA!Q72,ROYCCA!Q72)</f>
        <v>0</v>
      </c>
    </row>
    <row r="71" spans="1:17" ht="15.5" thickTop="1" thickBot="1" x14ac:dyDescent="0.4">
      <c r="A71" s="7" t="str">
        <f>SBOSCA!A73</f>
        <v>2029Q2</v>
      </c>
      <c r="B71" s="6">
        <f>SUM(SBOSCA!B73,MCBTCA!B73,ICICCA!B73,HKBCCA!B73,CUCXCA!B73,BOFMCA!B73,BOFACA!B73,BNPACA!B73,BNDCCA!B73,BLCMCA!B73,BCANCA!B73,ATBRCA!B73,CCDQCA!B73,CIBCCA!B73,NOSCCA!B73,TDOMCA!B73,ROYCCA!B73)</f>
        <v>0</v>
      </c>
      <c r="C71" s="9">
        <f>SUM(SBOSCA!C73,MCBTCA!C73,ICICCA!C73,HKBCCA!C73,CUCXCA!C73,BOFMCA!C73,BOFACA!C73,BNPACA!C73,BNDCCA!C73,BLCMCA!C73,BCANCA!C73,ATBRCA!C73,CCDQCA!C73,CIBCCA!C73,NOSCCA!C73,TDOMCA!C73,ROYCCA!C73)</f>
        <v>5142.8890000000001</v>
      </c>
      <c r="D71" s="6">
        <f>SUM(SBOSCA!D73,MCBTCA!D73,ICICCA!D73,HKBCCA!D73,CUCXCA!D73,BOFMCA!D73,BOFACA!D73,BNPACA!D73,BNDCCA!D73,BLCMCA!D73,BCANCA!D73,ATBRCA!D73,CCDQCA!D73,CIBCCA!D73,NOSCCA!D73,TDOMCA!D73,ROYCCA!D73)</f>
        <v>0</v>
      </c>
      <c r="E71" s="6">
        <f>SUM(SBOSCA!E73,MCBTCA!E73,ICICCA!E73,HKBCCA!E73,CUCXCA!E73,BOFMCA!E73,BOFACA!E73,BNPACA!E73,BNDCCA!E73,BLCMCA!E73,BCANCA!E73,ATBRCA!E73,CCDQCA!E73,CIBCCA!E73,NOSCCA!E73,TDOMCA!E73,ROYCCA!E73)</f>
        <v>0</v>
      </c>
      <c r="F71" s="9">
        <f>SUM(SBOSCA!F73,MCBTCA!F73,ICICCA!F73,HKBCCA!F73,CUCXCA!F73,BOFMCA!F73,BOFACA!F73,BNPACA!F73,BNDCCA!F73,BLCMCA!F73,BCANCA!F73,ATBRCA!F73,CCDQCA!F73,CIBCCA!F73,NOSCCA!F73,TDOMCA!F73,ROYCCA!F73)</f>
        <v>7.2489999999999997</v>
      </c>
      <c r="G71" s="6">
        <f>SUM(SBOSCA!G73,MCBTCA!G73,ICICCA!G73,HKBCCA!G73,CUCXCA!G73,BOFMCA!G73,BOFACA!G73,BNPACA!G73,BNDCCA!G73,BLCMCA!G73,BCANCA!G73,ATBRCA!G73,CCDQCA!G73,CIBCCA!G73,NOSCCA!G73,TDOMCA!G73,ROYCCA!G73)</f>
        <v>0</v>
      </c>
      <c r="K71" s="7" t="str">
        <f>SBOSCA!K73</f>
        <v>2029Q2</v>
      </c>
      <c r="L71" s="6">
        <f>SUM(SBOSCA!L73,MCBTCA!L73,ICICCA!L73,HKBCCA!L73,CUCXCA!L73,BOFMCA!L73,BOFACA!L73,BNPACA!L73,BNDCCA!L73,BLCMCA!L73,BCANCA!L73,ATBRCA!L73,CCDQCA!L73,CIBCCA!L73,NOSCCA!L73,TDOMCA!L73,ROYCCA!L73)</f>
        <v>0</v>
      </c>
      <c r="M71" s="9">
        <f>SUM(SBOSCA!M73,MCBTCA!M73,ICICCA!M73,HKBCCA!M73,CUCXCA!M73,BOFMCA!M73,BOFACA!M73,BNPACA!M73,BNDCCA!M73,BLCMCA!M73,BCANCA!M73,ATBRCA!M73,CCDQCA!M73,CIBCCA!M73,NOSCCA!M73,TDOMCA!M73,ROYCCA!M73)</f>
        <v>5032.732</v>
      </c>
      <c r="N71" s="6">
        <f>SUM(SBOSCA!N73,MCBTCA!N73,ICICCA!N73,HKBCCA!N73,CUCXCA!N73,BOFMCA!N73,BOFACA!N73,BNPACA!N73,BNDCCA!N73,BLCMCA!N73,BCANCA!N73,ATBRCA!N73,CCDQCA!N73,CIBCCA!N73,NOSCCA!N73,TDOMCA!N73,ROYCCA!N73)</f>
        <v>0</v>
      </c>
      <c r="O71" s="6">
        <f>SUM(SBOSCA!O73,MCBTCA!O73,ICICCA!O73,HKBCCA!O73,CUCXCA!O73,BOFMCA!O73,BOFACA!O73,BNPACA!O73,BNDCCA!O73,BLCMCA!O73,BCANCA!O73,ATBRCA!O73,CCDQCA!O73,CIBCCA!O73,NOSCCA!O73,TDOMCA!O73,ROYCCA!O73)</f>
        <v>0</v>
      </c>
      <c r="P71" s="9">
        <f>SUM(SBOSCA!P73,MCBTCA!P73,ICICCA!P73,HKBCCA!P73,CUCXCA!P73,BOFMCA!P73,BOFACA!P73,BNPACA!P73,BNDCCA!P73,BLCMCA!P73,BCANCA!P73,ATBRCA!P73,CCDQCA!P73,CIBCCA!P73,NOSCCA!P73,TDOMCA!P73,ROYCCA!P73)</f>
        <v>7.0030000000000001</v>
      </c>
      <c r="Q71" s="6">
        <f>SUM(SBOSCA!Q73,MCBTCA!Q73,ICICCA!Q73,HKBCCA!Q73,CUCXCA!Q73,BOFMCA!Q73,BOFACA!Q73,BNPACA!Q73,BNDCCA!Q73,BLCMCA!Q73,BCANCA!Q73,ATBRCA!Q73,CCDQCA!Q73,CIBCCA!Q73,NOSCCA!Q73,TDOMCA!Q73,ROYCCA!Q73)</f>
        <v>0</v>
      </c>
    </row>
    <row r="72" spans="1:17" ht="15.5" thickTop="1" thickBot="1" x14ac:dyDescent="0.4">
      <c r="A72" s="7" t="str">
        <f>SBOSCA!A74</f>
        <v>2029Q3</v>
      </c>
      <c r="B72" s="6">
        <f>SUM(SBOSCA!B74,MCBTCA!B74,ICICCA!B74,HKBCCA!B74,CUCXCA!B74,BOFMCA!B74,BOFACA!B74,BNPACA!B74,BNDCCA!B74,BLCMCA!B74,BCANCA!B74,ATBRCA!B74,CCDQCA!B74,CIBCCA!B74,NOSCCA!B74,TDOMCA!B74,ROYCCA!B74)</f>
        <v>0</v>
      </c>
      <c r="C72" s="9">
        <f>SUM(SBOSCA!C74,MCBTCA!C74,ICICCA!C74,HKBCCA!C74,CUCXCA!C74,BOFMCA!C74,BOFACA!C74,BNPACA!C74,BNDCCA!C74,BLCMCA!C74,BCANCA!C74,ATBRCA!C74,CCDQCA!C74,CIBCCA!C74,NOSCCA!C74,TDOMCA!C74,ROYCCA!C74)</f>
        <v>5134.0460000000003</v>
      </c>
      <c r="D72" s="6">
        <f>SUM(SBOSCA!D74,MCBTCA!D74,ICICCA!D74,HKBCCA!D74,CUCXCA!D74,BOFMCA!D74,BOFACA!D74,BNPACA!D74,BNDCCA!D74,BLCMCA!D74,BCANCA!D74,ATBRCA!D74,CCDQCA!D74,CIBCCA!D74,NOSCCA!D74,TDOMCA!D74,ROYCCA!D74)</f>
        <v>0</v>
      </c>
      <c r="E72" s="6">
        <f>SUM(SBOSCA!E74,MCBTCA!E74,ICICCA!E74,HKBCCA!E74,CUCXCA!E74,BOFMCA!E74,BOFACA!E74,BNPACA!E74,BNDCCA!E74,BLCMCA!E74,BCANCA!E74,ATBRCA!E74,CCDQCA!E74,CIBCCA!E74,NOSCCA!E74,TDOMCA!E74,ROYCCA!E74)</f>
        <v>0</v>
      </c>
      <c r="F72" s="9">
        <f>SUM(SBOSCA!F74,MCBTCA!F74,ICICCA!F74,HKBCCA!F74,CUCXCA!F74,BOFMCA!F74,BOFACA!F74,BNPACA!F74,BNDCCA!F74,BLCMCA!F74,BCANCA!F74,ATBRCA!F74,CCDQCA!F74,CIBCCA!F74,NOSCCA!F74,TDOMCA!F74,ROYCCA!F74)</f>
        <v>7.266</v>
      </c>
      <c r="G72" s="6">
        <f>SUM(SBOSCA!G74,MCBTCA!G74,ICICCA!G74,HKBCCA!G74,CUCXCA!G74,BOFMCA!G74,BOFACA!G74,BNPACA!G74,BNDCCA!G74,BLCMCA!G74,BCANCA!G74,ATBRCA!G74,CCDQCA!G74,CIBCCA!G74,NOSCCA!G74,TDOMCA!G74,ROYCCA!G74)</f>
        <v>0</v>
      </c>
      <c r="K72" s="7" t="str">
        <f>SBOSCA!K74</f>
        <v>2029Q3</v>
      </c>
      <c r="L72" s="6">
        <f>SUM(SBOSCA!L74,MCBTCA!L74,ICICCA!L74,HKBCCA!L74,CUCXCA!L74,BOFMCA!L74,BOFACA!L74,BNPACA!L74,BNDCCA!L74,BLCMCA!L74,BCANCA!L74,ATBRCA!L74,CCDQCA!L74,CIBCCA!L74,NOSCCA!L74,TDOMCA!L74,ROYCCA!L74)</f>
        <v>0</v>
      </c>
      <c r="M72" s="9">
        <f>SUM(SBOSCA!M74,MCBTCA!M74,ICICCA!M74,HKBCCA!M74,CUCXCA!M74,BOFMCA!M74,BOFACA!M74,BNPACA!M74,BNDCCA!M74,BLCMCA!M74,BCANCA!M74,ATBRCA!M74,CCDQCA!M74,CIBCCA!M74,NOSCCA!M74,TDOMCA!M74,ROYCCA!M74)</f>
        <v>5023.6350000000002</v>
      </c>
      <c r="N72" s="6">
        <f>SUM(SBOSCA!N74,MCBTCA!N74,ICICCA!N74,HKBCCA!N74,CUCXCA!N74,BOFMCA!N74,BOFACA!N74,BNPACA!N74,BNDCCA!N74,BLCMCA!N74,BCANCA!N74,ATBRCA!N74,CCDQCA!N74,CIBCCA!N74,NOSCCA!N74,TDOMCA!N74,ROYCCA!N74)</f>
        <v>0</v>
      </c>
      <c r="O72" s="6">
        <f>SUM(SBOSCA!O74,MCBTCA!O74,ICICCA!O74,HKBCCA!O74,CUCXCA!O74,BOFMCA!O74,BOFACA!O74,BNPACA!O74,BNDCCA!O74,BLCMCA!O74,BCANCA!O74,ATBRCA!O74,CCDQCA!O74,CIBCCA!O74,NOSCCA!O74,TDOMCA!O74,ROYCCA!O74)</f>
        <v>0</v>
      </c>
      <c r="P72" s="9">
        <f>SUM(SBOSCA!P74,MCBTCA!P74,ICICCA!P74,HKBCCA!P74,CUCXCA!P74,BOFMCA!P74,BOFACA!P74,BNPACA!P74,BNDCCA!P74,BLCMCA!P74,BCANCA!P74,ATBRCA!P74,CCDQCA!P74,CIBCCA!P74,NOSCCA!P74,TDOMCA!P74,ROYCCA!P74)</f>
        <v>7.0149999999999988</v>
      </c>
      <c r="Q72" s="6">
        <f>SUM(SBOSCA!Q74,MCBTCA!Q74,ICICCA!Q74,HKBCCA!Q74,CUCXCA!Q74,BOFMCA!Q74,BOFACA!Q74,BNPACA!Q74,BNDCCA!Q74,BLCMCA!Q74,BCANCA!Q74,ATBRCA!Q74,CCDQCA!Q74,CIBCCA!Q74,NOSCCA!Q74,TDOMCA!Q74,ROYCCA!Q74)</f>
        <v>0</v>
      </c>
    </row>
    <row r="73" spans="1:17" ht="15.5" thickTop="1" thickBot="1" x14ac:dyDescent="0.4">
      <c r="A73" s="7" t="str">
        <f>SBOSCA!A75</f>
        <v>2029Q4</v>
      </c>
      <c r="B73" s="6">
        <f>SUM(SBOSCA!B75,MCBTCA!B75,ICICCA!B75,HKBCCA!B75,CUCXCA!B75,BOFMCA!B75,BOFACA!B75,BNPACA!B75,BNDCCA!B75,BLCMCA!B75,BCANCA!B75,ATBRCA!B75,CCDQCA!B75,CIBCCA!B75,NOSCCA!B75,TDOMCA!B75,ROYCCA!B75)</f>
        <v>0</v>
      </c>
      <c r="C73" s="9">
        <f>SUM(SBOSCA!C75,MCBTCA!C75,ICICCA!C75,HKBCCA!C75,CUCXCA!C75,BOFMCA!C75,BOFACA!C75,BNPACA!C75,BNDCCA!C75,BLCMCA!C75,BCANCA!C75,ATBRCA!C75,CCDQCA!C75,CIBCCA!C75,NOSCCA!C75,TDOMCA!C75,ROYCCA!C75)</f>
        <v>5195.6310000000003</v>
      </c>
      <c r="D73" s="6">
        <f>SUM(SBOSCA!D75,MCBTCA!D75,ICICCA!D75,HKBCCA!D75,CUCXCA!D75,BOFMCA!D75,BOFACA!D75,BNPACA!D75,BNDCCA!D75,BLCMCA!D75,BCANCA!D75,ATBRCA!D75,CCDQCA!D75,CIBCCA!D75,NOSCCA!D75,TDOMCA!D75,ROYCCA!D75)</f>
        <v>0</v>
      </c>
      <c r="E73" s="6">
        <f>SUM(SBOSCA!E75,MCBTCA!E75,ICICCA!E75,HKBCCA!E75,CUCXCA!E75,BOFMCA!E75,BOFACA!E75,BNPACA!E75,BNDCCA!E75,BLCMCA!E75,BCANCA!E75,ATBRCA!E75,CCDQCA!E75,CIBCCA!E75,NOSCCA!E75,TDOMCA!E75,ROYCCA!E75)</f>
        <v>0</v>
      </c>
      <c r="F73" s="9">
        <f>SUM(SBOSCA!F75,MCBTCA!F75,ICICCA!F75,HKBCCA!F75,CUCXCA!F75,BOFMCA!F75,BOFACA!F75,BNPACA!F75,BNDCCA!F75,BLCMCA!F75,BCANCA!F75,ATBRCA!F75,CCDQCA!F75,CIBCCA!F75,NOSCCA!F75,TDOMCA!F75,ROYCCA!F75)</f>
        <v>7.3119999999999994</v>
      </c>
      <c r="G73" s="6">
        <f>SUM(SBOSCA!G75,MCBTCA!G75,ICICCA!G75,HKBCCA!G75,CUCXCA!G75,BOFMCA!G75,BOFACA!G75,BNPACA!G75,BNDCCA!G75,BLCMCA!G75,BCANCA!G75,ATBRCA!G75,CCDQCA!G75,CIBCCA!G75,NOSCCA!G75,TDOMCA!G75,ROYCCA!G75)</f>
        <v>0</v>
      </c>
      <c r="K73" s="7" t="str">
        <f>SBOSCA!K75</f>
        <v>2029Q4</v>
      </c>
      <c r="L73" s="6">
        <f>SUM(SBOSCA!L75,MCBTCA!L75,ICICCA!L75,HKBCCA!L75,CUCXCA!L75,BOFMCA!L75,BOFACA!L75,BNPACA!L75,BNDCCA!L75,BLCMCA!L75,BCANCA!L75,ATBRCA!L75,CCDQCA!L75,CIBCCA!L75,NOSCCA!L75,TDOMCA!L75,ROYCCA!L75)</f>
        <v>0</v>
      </c>
      <c r="M73" s="9">
        <f>SUM(SBOSCA!M75,MCBTCA!M75,ICICCA!M75,HKBCCA!M75,CUCXCA!M75,BOFMCA!M75,BOFACA!M75,BNPACA!M75,BNDCCA!M75,BLCMCA!M75,BCANCA!M75,ATBRCA!M75,CCDQCA!M75,CIBCCA!M75,NOSCCA!M75,TDOMCA!M75,ROYCCA!M75)</f>
        <v>5084.9750000000004</v>
      </c>
      <c r="N73" s="6">
        <f>SUM(SBOSCA!N75,MCBTCA!N75,ICICCA!N75,HKBCCA!N75,CUCXCA!N75,BOFMCA!N75,BOFACA!N75,BNPACA!N75,BNDCCA!N75,BLCMCA!N75,BCANCA!N75,ATBRCA!N75,CCDQCA!N75,CIBCCA!N75,NOSCCA!N75,TDOMCA!N75,ROYCCA!N75)</f>
        <v>0</v>
      </c>
      <c r="O73" s="6">
        <f>SUM(SBOSCA!O75,MCBTCA!O75,ICICCA!O75,HKBCCA!O75,CUCXCA!O75,BOFMCA!O75,BOFACA!O75,BNPACA!O75,BNDCCA!O75,BLCMCA!O75,BCANCA!O75,ATBRCA!O75,CCDQCA!O75,CIBCCA!O75,NOSCCA!O75,TDOMCA!O75,ROYCCA!O75)</f>
        <v>0</v>
      </c>
      <c r="P73" s="9">
        <f>SUM(SBOSCA!P75,MCBTCA!P75,ICICCA!P75,HKBCCA!P75,CUCXCA!P75,BOFMCA!P75,BOFACA!P75,BNPACA!P75,BNDCCA!P75,BLCMCA!P75,BCANCA!P75,ATBRCA!P75,CCDQCA!P75,CIBCCA!P75,NOSCCA!P75,TDOMCA!P75,ROYCCA!P75)</f>
        <v>7.0559999999999992</v>
      </c>
      <c r="Q73" s="6">
        <f>SUM(SBOSCA!Q75,MCBTCA!Q75,ICICCA!Q75,HKBCCA!Q75,CUCXCA!Q75,BOFMCA!Q75,BOFACA!Q75,BNPACA!Q75,BNDCCA!Q75,BLCMCA!Q75,BCANCA!Q75,ATBRCA!Q75,CCDQCA!Q75,CIBCCA!Q75,NOSCCA!Q75,TDOMCA!Q75,ROYCCA!Q75)</f>
        <v>0</v>
      </c>
    </row>
    <row r="74" spans="1:17" ht="15" thickTop="1" x14ac:dyDescent="0.35"/>
  </sheetData>
  <mergeCells count="12">
    <mergeCell ref="K39:Q39"/>
    <mergeCell ref="L40:N40"/>
    <mergeCell ref="O40:Q40"/>
    <mergeCell ref="A1:G1"/>
    <mergeCell ref="B2:D2"/>
    <mergeCell ref="E2:G2"/>
    <mergeCell ref="A39:G39"/>
    <mergeCell ref="B40:D40"/>
    <mergeCell ref="E40:G40"/>
    <mergeCell ref="K1:Q1"/>
    <mergeCell ref="L2:N2"/>
    <mergeCell ref="O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ROYCCA</vt:lpstr>
      <vt:lpstr>TDOMCA</vt:lpstr>
      <vt:lpstr>NOSCCA</vt:lpstr>
      <vt:lpstr>CIBCCA</vt:lpstr>
      <vt:lpstr>CCDQCA</vt:lpstr>
      <vt:lpstr>ATBRCA</vt:lpstr>
      <vt:lpstr>BCANCA</vt:lpstr>
      <vt:lpstr>BLCMCA</vt:lpstr>
      <vt:lpstr>BNDCCA</vt:lpstr>
      <vt:lpstr>BNPACA</vt:lpstr>
      <vt:lpstr>BOFACA</vt:lpstr>
      <vt:lpstr>BOFMCA</vt:lpstr>
      <vt:lpstr>CUCXCA</vt:lpstr>
      <vt:lpstr>HKBCCA</vt:lpstr>
      <vt:lpstr>ICICCA</vt:lpstr>
      <vt:lpstr>MCBTCA</vt:lpstr>
      <vt:lpstr>SBOSCA</vt:lpstr>
      <vt:lpstr>Porfolio Forecast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Bewaji</dc:creator>
  <cp:lastModifiedBy>Segun Bewaji</cp:lastModifiedBy>
  <dcterms:created xsi:type="dcterms:W3CDTF">2016-04-20T14:56:00Z</dcterms:created>
  <dcterms:modified xsi:type="dcterms:W3CDTF">2022-01-14T20:24:15Z</dcterms:modified>
</cp:coreProperties>
</file>